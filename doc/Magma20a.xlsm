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p696158\Project\whiteBook\doc\"/>
    </mc:Choice>
  </mc:AlternateContent>
  <bookViews>
    <workbookView xWindow="-108" yWindow="-108" windowWidth="23256" windowHeight="12576" tabRatio="760" activeTab="1"/>
  </bookViews>
  <sheets>
    <sheet name="Rcpts" sheetId="1" r:id="rId1"/>
    <sheet name="Paid" sheetId="2" r:id="rId2"/>
    <sheet name="BAS" sheetId="3" r:id="rId3"/>
    <sheet name="Amex" sheetId="4" r:id="rId4"/>
    <sheet name="=1" sheetId="5" r:id="rId5"/>
    <sheet name="Invs" sheetId="6" r:id="rId6"/>
    <sheet name="Custs" sheetId="7" r:id="rId7"/>
    <sheet name="Pivot" sheetId="8" r:id="rId8"/>
    <sheet name="=2" sheetId="9" r:id="rId9"/>
    <sheet name="Totals" sheetId="10" r:id="rId10"/>
    <sheet name="Netbank" sheetId="11" r:id="rId11"/>
    <sheet name="=3" sheetId="12" r:id="rId12"/>
    <sheet name="PAYG" sheetId="13" r:id="rId13"/>
    <sheet name="Emps" sheetId="14" r:id="rId14"/>
    <sheet name="Emps2019" sheetId="17" r:id="rId15"/>
    <sheet name="Expenses" sheetId="15" r:id="rId16"/>
    <sheet name="Tables" sheetId="16" r:id="rId17"/>
  </sheets>
  <functionGroups builtInGroupCount="18"/>
  <definedNames>
    <definedName name="_xlnm._FilterDatabase" localSheetId="13" hidden="1">Emps!$C$21:$C$678</definedName>
    <definedName name="_xlnm._FilterDatabase" localSheetId="14" hidden="1">Emps2019!$C$21:$C$687</definedName>
    <definedName name="_xlnm._FilterDatabase" localSheetId="5" hidden="1">Invs!$A$4:$X$140</definedName>
    <definedName name="_xlnm._FilterDatabase" localSheetId="10" hidden="1">Netbank!#REF!</definedName>
    <definedName name="_xlnm._FilterDatabase" localSheetId="0" hidden="1">Rcpts!$C$1:$C$188</definedName>
    <definedName name="_xlnm._FilterDatabase" localSheetId="16" hidden="1">Tables!$B$1:$C$158</definedName>
    <definedName name="bankDirect">Netbank!$E1048576</definedName>
    <definedName name="basGstNet">BAS!$G$17</definedName>
    <definedName name="basPayG">BAS!$I$17</definedName>
    <definedName name="basTaxMagma">SUM(BAS!$L$17:$L$17)</definedName>
    <definedName name="Customer">Custs!$A$3:$C$51</definedName>
    <definedName name="EmpID" localSheetId="14">Emps2019!$C$1</definedName>
    <definedName name="Error" localSheetId="6">BAS!$M$21</definedName>
    <definedName name="InsureRate">Tables!$L$151</definedName>
    <definedName name="InsureRate2">Tables!$L$152</definedName>
    <definedName name="invCustomer">Custs!$A$3:$B$51</definedName>
    <definedName name="invProject">Custs!$A$54:$G$150</definedName>
    <definedName name="PaidApr">Paid!$C$276</definedName>
    <definedName name="PaidAug">Paid!$C$58</definedName>
    <definedName name="PaidDec">Paid!$C$173</definedName>
    <definedName name="PaidFeb">Paid!$C$226</definedName>
    <definedName name="PaidFed">Paid!$C$226</definedName>
    <definedName name="PaidJan">Paid!$C$204</definedName>
    <definedName name="PaidJul">Paid!$C$34</definedName>
    <definedName name="PaidJun">Paid!$C$323</definedName>
    <definedName name="PaidMar">Paid!$C$252</definedName>
    <definedName name="PaidMay">Paid!$C$301</definedName>
    <definedName name="PaidNov">Paid!$C$143</definedName>
    <definedName name="PaidOct">Paid!$C$111</definedName>
    <definedName name="PaidSep">Paid!$C$89</definedName>
    <definedName name="payAllow" localSheetId="14">Emps2019!$U$266:$U$366</definedName>
    <definedName name="payCapGstQ1">Paid!$G$90</definedName>
    <definedName name="payCapGstQ2">Paid!$G$174</definedName>
    <definedName name="payCapGstQ3">Paid!$G$253</definedName>
    <definedName name="payCapGstQ4">Paid!$G$324</definedName>
    <definedName name="payDay" localSheetId="14">Emps2019!$V$266:$V$366</definedName>
    <definedName name="payDet" localSheetId="14">Emps2019!$U$23:$U$148</definedName>
    <definedName name="payDirRate">Tables!$H$151</definedName>
    <definedName name="payEmpIDs" localSheetId="14">Emps2019!$X$3:$X$12</definedName>
    <definedName name="payEmpNames" localSheetId="14">Emps2019!$X$3:$AA$13</definedName>
    <definedName name="payEmpPay" localSheetId="14">Emps2019!$U$152:$U$261</definedName>
    <definedName name="payMgmtRate">Tables!$G$151</definedName>
    <definedName name="payNonGstQ1">Paid!$H$90</definedName>
    <definedName name="payNonGstQ2">Paid!$H$174</definedName>
    <definedName name="payNonGstQ3">Paid!$H$253</definedName>
    <definedName name="payNonGstQ4">Paid!$H$324</definedName>
    <definedName name="payNonMonth" localSheetId="14">Emps2019!$U$371:$U$688</definedName>
    <definedName name="PayRollRate">Tables!$M$151</definedName>
    <definedName name="payTot" localSheetId="14">Emps2019!$A$24:$A$148</definedName>
    <definedName name="Project">Custs!$A$52:$G$150</definedName>
    <definedName name="rcpApr">Rcpts!$J$155</definedName>
    <definedName name="rcpAug">Rcpts!$J$37</definedName>
    <definedName name="rcpDec">Rcpts!$J$99</definedName>
    <definedName name="rcpEarnQ1">SUM(Rcpts!$E$54:$F$54)</definedName>
    <definedName name="rcpEarnQ2">SUM(Rcpts!$E$100:$F$100)</definedName>
    <definedName name="rcpEarnQ3">SUM(Rcpts!$E$142:$F$142)</definedName>
    <definedName name="rcpEarnQ4">SUM(Rcpts!$E$185:$F$185)</definedName>
    <definedName name="rcpFeb">Rcpts!$J$125</definedName>
    <definedName name="rcpGstQ1">Rcpts!$G$54</definedName>
    <definedName name="rcpGstQ2">Rcpts!$G$100</definedName>
    <definedName name="rcpGstQ3">Rcpts!$G$142</definedName>
    <definedName name="rcpGstQ4">Rcpts!$G$185</definedName>
    <definedName name="rcpJan">Rcpts!$J$114</definedName>
    <definedName name="rcpJul">Rcpts!$J$19</definedName>
    <definedName name="rcpJun">Rcpts!$J$184</definedName>
    <definedName name="rcpMar">Rcpts!$J$141</definedName>
    <definedName name="rcpMay">Rcpts!$J$170</definedName>
    <definedName name="rcpNov">Rcpts!$J$86</definedName>
    <definedName name="rcpOct">Rcpts!$J$70</definedName>
    <definedName name="rcpRcptQ1">Rcpts!$H$54</definedName>
    <definedName name="rcpRcptQ2">Rcpts!$H$100</definedName>
    <definedName name="rcpRcptQ3">Rcpts!$H$142</definedName>
    <definedName name="rcpRcptQ4">Rcpts!$H$185</definedName>
    <definedName name="rcpSep">Rcpts!$J$53</definedName>
    <definedName name="tblPayRates">Tables!$A$3:$N$147</definedName>
  </definedNames>
  <calcPr calcId="171027"/>
  <pivotCaches>
    <pivotCache cacheId="0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4" i="1" l="1"/>
  <c r="J64" i="1" s="1"/>
  <c r="G64" i="1"/>
  <c r="D64" i="1"/>
  <c r="C64" i="1"/>
  <c r="G63" i="1"/>
  <c r="H63" i="1" s="1"/>
  <c r="J63" i="1" s="1"/>
  <c r="D63" i="1"/>
  <c r="C63" i="1"/>
  <c r="H66" i="1"/>
  <c r="J66" i="1" s="1"/>
  <c r="G66" i="1"/>
  <c r="D66" i="1"/>
  <c r="C66" i="1"/>
  <c r="G65" i="1"/>
  <c r="H65" i="1" s="1"/>
  <c r="J65" i="1" s="1"/>
  <c r="D65" i="1"/>
  <c r="C65" i="1"/>
  <c r="I33" i="15" l="1"/>
  <c r="I32" i="15"/>
  <c r="C75" i="2"/>
  <c r="C85" i="2"/>
  <c r="W63" i="17" l="1"/>
  <c r="V63" i="17"/>
  <c r="W62" i="17"/>
  <c r="V62" i="17"/>
  <c r="A62" i="17"/>
  <c r="A63" i="17"/>
  <c r="U63" i="17" l="1"/>
  <c r="U62" i="17"/>
  <c r="W55" i="17"/>
  <c r="W54" i="17"/>
  <c r="G51" i="1"/>
  <c r="H51" i="1" s="1"/>
  <c r="J51" i="1" s="1"/>
  <c r="D51" i="1"/>
  <c r="C51" i="1"/>
  <c r="G50" i="1"/>
  <c r="H50" i="1" s="1"/>
  <c r="J50" i="1" s="1"/>
  <c r="D50" i="1"/>
  <c r="C50" i="1"/>
  <c r="D27" i="4" l="1"/>
  <c r="D28" i="4"/>
  <c r="D29" i="4"/>
  <c r="D30" i="4"/>
  <c r="D31" i="4"/>
  <c r="D26" i="4"/>
  <c r="D25" i="4"/>
  <c r="E392" i="17" l="1"/>
  <c r="E383" i="17"/>
  <c r="E512" i="17"/>
  <c r="E447" i="17"/>
  <c r="E507" i="17" l="1"/>
  <c r="E442" i="17"/>
  <c r="V278" i="17"/>
  <c r="U278" i="17"/>
  <c r="L278" i="17"/>
  <c r="R278" i="17" s="1"/>
  <c r="V277" i="17"/>
  <c r="U277" i="17"/>
  <c r="L277" i="17"/>
  <c r="R277" i="17" s="1"/>
  <c r="V276" i="17"/>
  <c r="U276" i="17"/>
  <c r="L276" i="17"/>
  <c r="R276" i="17" s="1"/>
  <c r="V275" i="17"/>
  <c r="U275" i="17"/>
  <c r="L275" i="17"/>
  <c r="R275" i="17" s="1"/>
  <c r="V274" i="17"/>
  <c r="U274" i="17"/>
  <c r="L274" i="17"/>
  <c r="V273" i="17"/>
  <c r="U273" i="17"/>
  <c r="L273" i="17"/>
  <c r="Q273" i="17" s="1"/>
  <c r="V272" i="17"/>
  <c r="U272" i="17"/>
  <c r="L272" i="17"/>
  <c r="Q272" i="17" s="1"/>
  <c r="S272" i="17" s="1"/>
  <c r="V271" i="17"/>
  <c r="U271" i="17"/>
  <c r="L271" i="17"/>
  <c r="R271" i="17" s="1"/>
  <c r="V270" i="17"/>
  <c r="U270" i="17"/>
  <c r="L270" i="17"/>
  <c r="R270" i="17" s="1"/>
  <c r="V269" i="17"/>
  <c r="U269" i="17"/>
  <c r="L269" i="17"/>
  <c r="R269" i="17" s="1"/>
  <c r="V268" i="17"/>
  <c r="U268" i="17"/>
  <c r="L268" i="17"/>
  <c r="R268" i="17" s="1"/>
  <c r="V267" i="17"/>
  <c r="U267" i="17"/>
  <c r="L267" i="17"/>
  <c r="R267" i="17" s="1"/>
  <c r="U644" i="17"/>
  <c r="U636" i="17"/>
  <c r="U635" i="17"/>
  <c r="E635" i="17"/>
  <c r="U634" i="17"/>
  <c r="U633" i="17"/>
  <c r="U632" i="17"/>
  <c r="E632" i="17"/>
  <c r="U631" i="17"/>
  <c r="U630" i="17"/>
  <c r="U629" i="17"/>
  <c r="E629" i="17"/>
  <c r="U628" i="17"/>
  <c r="U627" i="17"/>
  <c r="U626" i="17"/>
  <c r="E626" i="17"/>
  <c r="U625" i="17"/>
  <c r="U624" i="17"/>
  <c r="U623" i="17"/>
  <c r="E623" i="17"/>
  <c r="U622" i="17"/>
  <c r="U621" i="17"/>
  <c r="U620" i="17"/>
  <c r="E620" i="17"/>
  <c r="U619" i="17"/>
  <c r="U618" i="17"/>
  <c r="U617" i="17"/>
  <c r="E617" i="17"/>
  <c r="U616" i="17"/>
  <c r="U615" i="17"/>
  <c r="U614" i="17"/>
  <c r="E614" i="17"/>
  <c r="U613" i="17"/>
  <c r="U612" i="17"/>
  <c r="U611" i="17"/>
  <c r="E611" i="17"/>
  <c r="U610" i="17"/>
  <c r="U609" i="17"/>
  <c r="U608" i="17"/>
  <c r="E608" i="17"/>
  <c r="U607" i="17"/>
  <c r="U606" i="17"/>
  <c r="U605" i="17"/>
  <c r="E605" i="17"/>
  <c r="U604" i="17"/>
  <c r="U603" i="17"/>
  <c r="U602" i="17"/>
  <c r="E602" i="17"/>
  <c r="U601" i="17"/>
  <c r="U600" i="17"/>
  <c r="U599" i="17"/>
  <c r="E599" i="17"/>
  <c r="U598" i="17"/>
  <c r="U597" i="17"/>
  <c r="U596" i="17"/>
  <c r="E596" i="17"/>
  <c r="U595" i="17"/>
  <c r="U594" i="17"/>
  <c r="U593" i="17"/>
  <c r="E593" i="17"/>
  <c r="U592" i="17"/>
  <c r="U591" i="17"/>
  <c r="U590" i="17"/>
  <c r="E590" i="17"/>
  <c r="U589" i="17"/>
  <c r="U588" i="17"/>
  <c r="U587" i="17"/>
  <c r="E587" i="17"/>
  <c r="U586" i="17"/>
  <c r="U585" i="17"/>
  <c r="U584" i="17"/>
  <c r="E584" i="17"/>
  <c r="U583" i="17"/>
  <c r="U582" i="17"/>
  <c r="U581" i="17"/>
  <c r="E581" i="17"/>
  <c r="U580" i="17"/>
  <c r="U579" i="17"/>
  <c r="U578" i="17"/>
  <c r="E578" i="17"/>
  <c r="U577" i="17"/>
  <c r="U576" i="17"/>
  <c r="U575" i="17"/>
  <c r="E575" i="17"/>
  <c r="U574" i="17"/>
  <c r="U573" i="17"/>
  <c r="U572" i="17"/>
  <c r="E572" i="17"/>
  <c r="U571" i="17"/>
  <c r="U570" i="17"/>
  <c r="U569" i="17"/>
  <c r="E569" i="17"/>
  <c r="U568" i="17"/>
  <c r="U567" i="17"/>
  <c r="U566" i="17"/>
  <c r="E566" i="17"/>
  <c r="U565" i="17"/>
  <c r="U564" i="17"/>
  <c r="U563" i="17"/>
  <c r="E563" i="17"/>
  <c r="U562" i="17"/>
  <c r="U561" i="17"/>
  <c r="E560" i="17"/>
  <c r="E554" i="17"/>
  <c r="E549" i="17"/>
  <c r="E543" i="17"/>
  <c r="E538" i="17"/>
  <c r="E533" i="17"/>
  <c r="E527" i="17"/>
  <c r="E522" i="17"/>
  <c r="E517" i="17"/>
  <c r="E501" i="17"/>
  <c r="U497" i="17"/>
  <c r="E496" i="17"/>
  <c r="E490" i="17"/>
  <c r="E485" i="17"/>
  <c r="E480" i="17"/>
  <c r="E475" i="17"/>
  <c r="E468" i="17"/>
  <c r="E463" i="17"/>
  <c r="E458" i="17"/>
  <c r="E452" i="17"/>
  <c r="E436" i="17"/>
  <c r="U432" i="17"/>
  <c r="U371" i="17"/>
  <c r="C370" i="17"/>
  <c r="C369" i="17"/>
  <c r="V366" i="17"/>
  <c r="U366" i="17"/>
  <c r="L366" i="17"/>
  <c r="Q366" i="17" s="1"/>
  <c r="V365" i="17"/>
  <c r="U365" i="17"/>
  <c r="L365" i="17"/>
  <c r="R365" i="17" s="1"/>
  <c r="V364" i="17"/>
  <c r="U364" i="17"/>
  <c r="L364" i="17"/>
  <c r="Q364" i="17" s="1"/>
  <c r="V363" i="17"/>
  <c r="U363" i="17"/>
  <c r="L363" i="17"/>
  <c r="R363" i="17" s="1"/>
  <c r="V362" i="17"/>
  <c r="U362" i="17"/>
  <c r="L362" i="17"/>
  <c r="Q362" i="17" s="1"/>
  <c r="V361" i="17"/>
  <c r="U361" i="17"/>
  <c r="L361" i="17"/>
  <c r="R361" i="17" s="1"/>
  <c r="V360" i="17"/>
  <c r="U360" i="17"/>
  <c r="L360" i="17"/>
  <c r="Q360" i="17" s="1"/>
  <c r="V359" i="17"/>
  <c r="U359" i="17"/>
  <c r="L359" i="17"/>
  <c r="R359" i="17" s="1"/>
  <c r="V358" i="17"/>
  <c r="U358" i="17"/>
  <c r="L358" i="17"/>
  <c r="Q358" i="17" s="1"/>
  <c r="V357" i="17"/>
  <c r="U357" i="17"/>
  <c r="L357" i="17"/>
  <c r="Q357" i="17" s="1"/>
  <c r="V356" i="17"/>
  <c r="U356" i="17"/>
  <c r="L356" i="17"/>
  <c r="Q356" i="17" s="1"/>
  <c r="V355" i="17"/>
  <c r="U355" i="17"/>
  <c r="L355" i="17"/>
  <c r="Q355" i="17" s="1"/>
  <c r="V354" i="17"/>
  <c r="U354" i="17"/>
  <c r="L354" i="17"/>
  <c r="Q354" i="17" s="1"/>
  <c r="V353" i="17"/>
  <c r="U353" i="17"/>
  <c r="L353" i="17"/>
  <c r="Q353" i="17" s="1"/>
  <c r="V352" i="17"/>
  <c r="U352" i="17"/>
  <c r="L352" i="17"/>
  <c r="Q352" i="17" s="1"/>
  <c r="V351" i="17"/>
  <c r="U351" i="17"/>
  <c r="L351" i="17"/>
  <c r="Q351" i="17" s="1"/>
  <c r="V350" i="17"/>
  <c r="U350" i="17"/>
  <c r="L350" i="17"/>
  <c r="Q350" i="17" s="1"/>
  <c r="V349" i="17"/>
  <c r="U349" i="17"/>
  <c r="L349" i="17"/>
  <c r="Q349" i="17" s="1"/>
  <c r="V348" i="17"/>
  <c r="U348" i="17"/>
  <c r="L348" i="17"/>
  <c r="Q348" i="17" s="1"/>
  <c r="V347" i="17"/>
  <c r="U347" i="17"/>
  <c r="L347" i="17"/>
  <c r="Q347" i="17" s="1"/>
  <c r="V346" i="17"/>
  <c r="U346" i="17"/>
  <c r="L346" i="17"/>
  <c r="Q346" i="17" s="1"/>
  <c r="V345" i="17"/>
  <c r="U345" i="17"/>
  <c r="L345" i="17"/>
  <c r="Q345" i="17" s="1"/>
  <c r="V344" i="17"/>
  <c r="U344" i="17"/>
  <c r="L344" i="17"/>
  <c r="Q344" i="17" s="1"/>
  <c r="V343" i="17"/>
  <c r="U343" i="17"/>
  <c r="L343" i="17"/>
  <c r="Q343" i="17" s="1"/>
  <c r="V342" i="17"/>
  <c r="U342" i="17"/>
  <c r="L342" i="17"/>
  <c r="Q342" i="17" s="1"/>
  <c r="V341" i="17"/>
  <c r="U341" i="17"/>
  <c r="L341" i="17"/>
  <c r="Q341" i="17" s="1"/>
  <c r="V340" i="17"/>
  <c r="U340" i="17"/>
  <c r="L340" i="17"/>
  <c r="Q340" i="17" s="1"/>
  <c r="V339" i="17"/>
  <c r="U339" i="17"/>
  <c r="L339" i="17"/>
  <c r="Q339" i="17" s="1"/>
  <c r="V338" i="17"/>
  <c r="U338" i="17"/>
  <c r="L338" i="17"/>
  <c r="Q338" i="17" s="1"/>
  <c r="V337" i="17"/>
  <c r="U337" i="17"/>
  <c r="L337" i="17"/>
  <c r="Q337" i="17" s="1"/>
  <c r="V336" i="17"/>
  <c r="U336" i="17"/>
  <c r="L336" i="17"/>
  <c r="Q336" i="17" s="1"/>
  <c r="V335" i="17"/>
  <c r="U335" i="17"/>
  <c r="L335" i="17"/>
  <c r="Q335" i="17" s="1"/>
  <c r="V334" i="17"/>
  <c r="U334" i="17"/>
  <c r="L334" i="17"/>
  <c r="Q334" i="17" s="1"/>
  <c r="V333" i="17"/>
  <c r="U333" i="17"/>
  <c r="L333" i="17"/>
  <c r="Q333" i="17" s="1"/>
  <c r="V332" i="17"/>
  <c r="U332" i="17"/>
  <c r="L332" i="17"/>
  <c r="Q332" i="17" s="1"/>
  <c r="V331" i="17"/>
  <c r="U331" i="17"/>
  <c r="L331" i="17"/>
  <c r="Q331" i="17" s="1"/>
  <c r="V330" i="17"/>
  <c r="U330" i="17"/>
  <c r="L330" i="17"/>
  <c r="Q330" i="17" s="1"/>
  <c r="V329" i="17"/>
  <c r="U329" i="17"/>
  <c r="L329" i="17"/>
  <c r="Q329" i="17" s="1"/>
  <c r="V328" i="17"/>
  <c r="U328" i="17"/>
  <c r="L328" i="17"/>
  <c r="Q328" i="17" s="1"/>
  <c r="V327" i="17"/>
  <c r="U327" i="17"/>
  <c r="L327" i="17"/>
  <c r="R327" i="17" s="1"/>
  <c r="V326" i="17"/>
  <c r="U326" i="17"/>
  <c r="L326" i="17"/>
  <c r="Q326" i="17" s="1"/>
  <c r="V325" i="17"/>
  <c r="U325" i="17"/>
  <c r="L325" i="17"/>
  <c r="Q325" i="17" s="1"/>
  <c r="V324" i="17"/>
  <c r="U324" i="17"/>
  <c r="L324" i="17"/>
  <c r="Q324" i="17" s="1"/>
  <c r="V323" i="17"/>
  <c r="U323" i="17"/>
  <c r="L323" i="17"/>
  <c r="R323" i="17" s="1"/>
  <c r="V322" i="17"/>
  <c r="U322" i="17"/>
  <c r="L322" i="17"/>
  <c r="Q322" i="17" s="1"/>
  <c r="V321" i="17"/>
  <c r="U321" i="17"/>
  <c r="L321" i="17"/>
  <c r="Q321" i="17" s="1"/>
  <c r="V320" i="17"/>
  <c r="U320" i="17"/>
  <c r="L320" i="17"/>
  <c r="Q320" i="17" s="1"/>
  <c r="V319" i="17"/>
  <c r="U319" i="17"/>
  <c r="L319" i="17"/>
  <c r="V318" i="17"/>
  <c r="U318" i="17"/>
  <c r="L318" i="17"/>
  <c r="Q318" i="17" s="1"/>
  <c r="V317" i="17"/>
  <c r="U317" i="17"/>
  <c r="L317" i="17"/>
  <c r="Q317" i="17" s="1"/>
  <c r="V316" i="17"/>
  <c r="U316" i="17"/>
  <c r="L316" i="17"/>
  <c r="Q316" i="17" s="1"/>
  <c r="V315" i="17"/>
  <c r="U315" i="17"/>
  <c r="L315" i="17"/>
  <c r="Q315" i="17" s="1"/>
  <c r="V314" i="17"/>
  <c r="U314" i="17"/>
  <c r="L314" i="17"/>
  <c r="Q314" i="17" s="1"/>
  <c r="V313" i="17"/>
  <c r="U313" i="17"/>
  <c r="L313" i="17"/>
  <c r="Q313" i="17" s="1"/>
  <c r="V312" i="17"/>
  <c r="U312" i="17"/>
  <c r="L312" i="17"/>
  <c r="Q312" i="17" s="1"/>
  <c r="V311" i="17"/>
  <c r="U311" i="17"/>
  <c r="L311" i="17"/>
  <c r="Q311" i="17" s="1"/>
  <c r="V310" i="17"/>
  <c r="U310" i="17"/>
  <c r="L310" i="17"/>
  <c r="Q310" i="17" s="1"/>
  <c r="V309" i="17"/>
  <c r="U309" i="17"/>
  <c r="L309" i="17"/>
  <c r="Q309" i="17" s="1"/>
  <c r="V308" i="17"/>
  <c r="U308" i="17"/>
  <c r="L308" i="17"/>
  <c r="Q308" i="17" s="1"/>
  <c r="V307" i="17"/>
  <c r="U307" i="17"/>
  <c r="L307" i="17"/>
  <c r="R307" i="17" s="1"/>
  <c r="V306" i="17"/>
  <c r="U306" i="17"/>
  <c r="L306" i="17"/>
  <c r="Q306" i="17" s="1"/>
  <c r="V305" i="17"/>
  <c r="U305" i="17"/>
  <c r="L305" i="17"/>
  <c r="Q305" i="17" s="1"/>
  <c r="V304" i="17"/>
  <c r="U304" i="17"/>
  <c r="L304" i="17"/>
  <c r="Q304" i="17" s="1"/>
  <c r="V303" i="17"/>
  <c r="U303" i="17"/>
  <c r="L303" i="17"/>
  <c r="Q303" i="17" s="1"/>
  <c r="V302" i="17"/>
  <c r="U302" i="17"/>
  <c r="L302" i="17"/>
  <c r="Q302" i="17" s="1"/>
  <c r="V301" i="17"/>
  <c r="U301" i="17"/>
  <c r="L301" i="17"/>
  <c r="Q301" i="17" s="1"/>
  <c r="V300" i="17"/>
  <c r="U300" i="17"/>
  <c r="L300" i="17"/>
  <c r="Q300" i="17" s="1"/>
  <c r="V299" i="17"/>
  <c r="U299" i="17"/>
  <c r="L299" i="17"/>
  <c r="Q299" i="17" s="1"/>
  <c r="V298" i="17"/>
  <c r="U298" i="17"/>
  <c r="L298" i="17"/>
  <c r="Q298" i="17" s="1"/>
  <c r="V297" i="17"/>
  <c r="U297" i="17"/>
  <c r="L297" i="17"/>
  <c r="Q297" i="17" s="1"/>
  <c r="V296" i="17"/>
  <c r="U296" i="17"/>
  <c r="L296" i="17"/>
  <c r="Q296" i="17" s="1"/>
  <c r="V295" i="17"/>
  <c r="U295" i="17"/>
  <c r="L295" i="17"/>
  <c r="R295" i="17" s="1"/>
  <c r="V294" i="17"/>
  <c r="U294" i="17"/>
  <c r="L294" i="17"/>
  <c r="Q294" i="17" s="1"/>
  <c r="V293" i="17"/>
  <c r="U293" i="17"/>
  <c r="L293" i="17"/>
  <c r="Q293" i="17" s="1"/>
  <c r="V292" i="17"/>
  <c r="U292" i="17"/>
  <c r="L292" i="17"/>
  <c r="Q292" i="17" s="1"/>
  <c r="V291" i="17"/>
  <c r="U291" i="17"/>
  <c r="L291" i="17"/>
  <c r="Q291" i="17" s="1"/>
  <c r="V290" i="17"/>
  <c r="U290" i="17"/>
  <c r="L290" i="17"/>
  <c r="Q290" i="17" s="1"/>
  <c r="V289" i="17"/>
  <c r="U289" i="17"/>
  <c r="L289" i="17"/>
  <c r="Q289" i="17" s="1"/>
  <c r="V288" i="17"/>
  <c r="U288" i="17"/>
  <c r="L288" i="17"/>
  <c r="Q288" i="17" s="1"/>
  <c r="V287" i="17"/>
  <c r="U287" i="17"/>
  <c r="L287" i="17"/>
  <c r="Q287" i="17" s="1"/>
  <c r="V286" i="17"/>
  <c r="U286" i="17"/>
  <c r="L286" i="17"/>
  <c r="Q286" i="17" s="1"/>
  <c r="V285" i="17"/>
  <c r="U285" i="17"/>
  <c r="L285" i="17"/>
  <c r="Q285" i="17" s="1"/>
  <c r="V284" i="17"/>
  <c r="U284" i="17"/>
  <c r="L284" i="17"/>
  <c r="Q284" i="17" s="1"/>
  <c r="V283" i="17"/>
  <c r="U283" i="17"/>
  <c r="L283" i="17"/>
  <c r="Q283" i="17" s="1"/>
  <c r="V282" i="17"/>
  <c r="U282" i="17"/>
  <c r="L282" i="17"/>
  <c r="Q282" i="17" s="1"/>
  <c r="V281" i="17"/>
  <c r="U281" i="17"/>
  <c r="L281" i="17"/>
  <c r="Q281" i="17" s="1"/>
  <c r="V280" i="17"/>
  <c r="U280" i="17"/>
  <c r="L280" i="17"/>
  <c r="Q280" i="17" s="1"/>
  <c r="V279" i="17"/>
  <c r="U279" i="17"/>
  <c r="L279" i="17"/>
  <c r="Q279" i="17" s="1"/>
  <c r="V266" i="17"/>
  <c r="U266" i="17"/>
  <c r="L266" i="17"/>
  <c r="C265" i="17"/>
  <c r="C264" i="17"/>
  <c r="C262" i="17"/>
  <c r="U261" i="17"/>
  <c r="J261" i="17"/>
  <c r="U260" i="17"/>
  <c r="J260" i="17"/>
  <c r="U259" i="17"/>
  <c r="J259" i="17"/>
  <c r="U258" i="17"/>
  <c r="J258" i="17"/>
  <c r="U257" i="17"/>
  <c r="J257" i="17"/>
  <c r="U256" i="17"/>
  <c r="J256" i="17"/>
  <c r="U255" i="17"/>
  <c r="J255" i="17"/>
  <c r="U254" i="17"/>
  <c r="J254" i="17"/>
  <c r="U253" i="17"/>
  <c r="J253" i="17"/>
  <c r="U252" i="17"/>
  <c r="J252" i="17"/>
  <c r="U251" i="17"/>
  <c r="J251" i="17"/>
  <c r="U250" i="17"/>
  <c r="J250" i="17"/>
  <c r="U249" i="17"/>
  <c r="J249" i="17"/>
  <c r="U248" i="17"/>
  <c r="J248" i="17"/>
  <c r="U247" i="17"/>
  <c r="J247" i="17"/>
  <c r="U246" i="17"/>
  <c r="J246" i="17"/>
  <c r="U245" i="17"/>
  <c r="J245" i="17"/>
  <c r="U244" i="17"/>
  <c r="J244" i="17"/>
  <c r="U243" i="17"/>
  <c r="J243" i="17"/>
  <c r="U242" i="17"/>
  <c r="J242" i="17"/>
  <c r="U241" i="17"/>
  <c r="J241" i="17"/>
  <c r="U240" i="17"/>
  <c r="J240" i="17"/>
  <c r="U239" i="17"/>
  <c r="J239" i="17"/>
  <c r="U238" i="17"/>
  <c r="J238" i="17"/>
  <c r="U237" i="17"/>
  <c r="J237" i="17"/>
  <c r="U236" i="17"/>
  <c r="J236" i="17"/>
  <c r="U235" i="17"/>
  <c r="J235" i="17"/>
  <c r="U234" i="17"/>
  <c r="J234" i="17"/>
  <c r="U233" i="17"/>
  <c r="J233" i="17"/>
  <c r="U232" i="17"/>
  <c r="J232" i="17"/>
  <c r="V231" i="17"/>
  <c r="U231" i="17"/>
  <c r="J231" i="17"/>
  <c r="U230" i="17"/>
  <c r="J230" i="17"/>
  <c r="U229" i="17"/>
  <c r="J229" i="17"/>
  <c r="U228" i="17"/>
  <c r="J228" i="17"/>
  <c r="U227" i="17"/>
  <c r="J227" i="17"/>
  <c r="U226" i="17"/>
  <c r="J226" i="17"/>
  <c r="U225" i="17"/>
  <c r="J225" i="17"/>
  <c r="V224" i="17"/>
  <c r="U224" i="17"/>
  <c r="J224" i="17"/>
  <c r="U223" i="17"/>
  <c r="J223" i="17"/>
  <c r="V222" i="17"/>
  <c r="U222" i="17"/>
  <c r="J222" i="17"/>
  <c r="U221" i="17"/>
  <c r="J221" i="17"/>
  <c r="U220" i="17"/>
  <c r="J220" i="17"/>
  <c r="U219" i="17"/>
  <c r="J219" i="17"/>
  <c r="U218" i="17"/>
  <c r="J218" i="17"/>
  <c r="U217" i="17"/>
  <c r="J217" i="17"/>
  <c r="U216" i="17"/>
  <c r="J216" i="17"/>
  <c r="V215" i="17"/>
  <c r="U215" i="17"/>
  <c r="J215" i="17"/>
  <c r="U214" i="17"/>
  <c r="J214" i="17"/>
  <c r="V213" i="17"/>
  <c r="U213" i="17"/>
  <c r="J213" i="17"/>
  <c r="U212" i="17"/>
  <c r="J212" i="17"/>
  <c r="V211" i="17"/>
  <c r="U211" i="17"/>
  <c r="J211" i="17"/>
  <c r="U210" i="17"/>
  <c r="J210" i="17"/>
  <c r="V209" i="17"/>
  <c r="U209" i="17"/>
  <c r="J209" i="17"/>
  <c r="U208" i="17"/>
  <c r="J208" i="17"/>
  <c r="U207" i="17"/>
  <c r="J207" i="17"/>
  <c r="U206" i="17"/>
  <c r="J206" i="17"/>
  <c r="U205" i="17"/>
  <c r="J205" i="17"/>
  <c r="U204" i="17"/>
  <c r="J204" i="17"/>
  <c r="U203" i="17"/>
  <c r="J203" i="17"/>
  <c r="U202" i="17"/>
  <c r="J202" i="17"/>
  <c r="U201" i="17"/>
  <c r="J201" i="17"/>
  <c r="U200" i="17"/>
  <c r="J200" i="17"/>
  <c r="U199" i="17"/>
  <c r="J199" i="17"/>
  <c r="U198" i="17"/>
  <c r="J198" i="17"/>
  <c r="V197" i="17"/>
  <c r="U197" i="17"/>
  <c r="J197" i="17"/>
  <c r="U196" i="17"/>
  <c r="J196" i="17"/>
  <c r="W195" i="17"/>
  <c r="V195" i="17"/>
  <c r="U195" i="17"/>
  <c r="J195" i="17"/>
  <c r="U194" i="17"/>
  <c r="J194" i="17"/>
  <c r="U193" i="17"/>
  <c r="J193" i="17"/>
  <c r="U192" i="17"/>
  <c r="J192" i="17"/>
  <c r="U191" i="17"/>
  <c r="J191" i="17"/>
  <c r="U190" i="17"/>
  <c r="J190" i="17"/>
  <c r="U189" i="17"/>
  <c r="J189" i="17"/>
  <c r="W188" i="17"/>
  <c r="V188" i="17"/>
  <c r="U188" i="17"/>
  <c r="J188" i="17"/>
  <c r="U187" i="17"/>
  <c r="J187" i="17"/>
  <c r="W186" i="17"/>
  <c r="V186" i="17"/>
  <c r="U186" i="17"/>
  <c r="J186" i="17"/>
  <c r="U185" i="17"/>
  <c r="J185" i="17"/>
  <c r="W184" i="17"/>
  <c r="V184" i="17"/>
  <c r="U184" i="17"/>
  <c r="J184" i="17"/>
  <c r="U183" i="17"/>
  <c r="J183" i="17"/>
  <c r="U182" i="17"/>
  <c r="J182" i="17"/>
  <c r="U181" i="17"/>
  <c r="J181" i="17"/>
  <c r="U180" i="17"/>
  <c r="J180" i="17"/>
  <c r="U179" i="17"/>
  <c r="J179" i="17"/>
  <c r="U178" i="17"/>
  <c r="J178" i="17"/>
  <c r="U177" i="17"/>
  <c r="J177" i="17"/>
  <c r="U176" i="17"/>
  <c r="J176" i="17"/>
  <c r="U175" i="17"/>
  <c r="J175" i="17"/>
  <c r="U174" i="17"/>
  <c r="J174" i="17"/>
  <c r="U173" i="17"/>
  <c r="J173" i="17"/>
  <c r="U172" i="17"/>
  <c r="J172" i="17"/>
  <c r="U171" i="17"/>
  <c r="J171" i="17"/>
  <c r="U170" i="17"/>
  <c r="J170" i="17"/>
  <c r="U169" i="17"/>
  <c r="J169" i="17"/>
  <c r="U168" i="17"/>
  <c r="J168" i="17"/>
  <c r="U167" i="17"/>
  <c r="J167" i="17"/>
  <c r="U166" i="17"/>
  <c r="J166" i="17"/>
  <c r="U165" i="17"/>
  <c r="J165" i="17"/>
  <c r="U164" i="17"/>
  <c r="J164" i="17"/>
  <c r="U163" i="17"/>
  <c r="J163" i="17"/>
  <c r="U162" i="17"/>
  <c r="J162" i="17"/>
  <c r="U161" i="17"/>
  <c r="J161" i="17"/>
  <c r="U160" i="17"/>
  <c r="J160" i="17"/>
  <c r="U159" i="17"/>
  <c r="J159" i="17"/>
  <c r="U158" i="17"/>
  <c r="J158" i="17"/>
  <c r="U157" i="17"/>
  <c r="J157" i="17"/>
  <c r="U156" i="17"/>
  <c r="J156" i="17"/>
  <c r="U155" i="17"/>
  <c r="J155" i="17"/>
  <c r="U154" i="17"/>
  <c r="J154" i="17"/>
  <c r="U153" i="17"/>
  <c r="J153" i="17"/>
  <c r="U152" i="17"/>
  <c r="J152" i="17"/>
  <c r="C151" i="17"/>
  <c r="C150" i="17"/>
  <c r="V147" i="17"/>
  <c r="V146" i="17"/>
  <c r="V145" i="17"/>
  <c r="V144" i="17"/>
  <c r="V143" i="17"/>
  <c r="V142" i="17"/>
  <c r="V141" i="17"/>
  <c r="V140" i="17"/>
  <c r="V139" i="17"/>
  <c r="V138" i="17"/>
  <c r="V137" i="17"/>
  <c r="V136" i="17"/>
  <c r="V135" i="17"/>
  <c r="V134" i="17"/>
  <c r="V133" i="17"/>
  <c r="V132" i="17"/>
  <c r="V131" i="17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5" i="17"/>
  <c r="W114" i="17"/>
  <c r="V114" i="17"/>
  <c r="W113" i="17"/>
  <c r="V113" i="17"/>
  <c r="W112" i="17"/>
  <c r="V112" i="17"/>
  <c r="W111" i="17"/>
  <c r="V111" i="17"/>
  <c r="V110" i="17"/>
  <c r="V109" i="17"/>
  <c r="V108" i="17"/>
  <c r="V107" i="17"/>
  <c r="V106" i="17"/>
  <c r="V105" i="17"/>
  <c r="W104" i="17"/>
  <c r="V104" i="17"/>
  <c r="W103" i="17"/>
  <c r="V103" i="17"/>
  <c r="W102" i="17"/>
  <c r="V102" i="17"/>
  <c r="W101" i="17"/>
  <c r="V101" i="17"/>
  <c r="V100" i="17"/>
  <c r="V99" i="17"/>
  <c r="V98" i="17"/>
  <c r="V97" i="17"/>
  <c r="V96" i="17"/>
  <c r="V95" i="17"/>
  <c r="W94" i="17"/>
  <c r="V94" i="17"/>
  <c r="W93" i="17"/>
  <c r="V93" i="17"/>
  <c r="W92" i="17"/>
  <c r="V92" i="17"/>
  <c r="W91" i="17"/>
  <c r="V91" i="17"/>
  <c r="W90" i="17"/>
  <c r="V90" i="17"/>
  <c r="W89" i="17"/>
  <c r="V89" i="17"/>
  <c r="V88" i="17"/>
  <c r="V87" i="17"/>
  <c r="V86" i="17"/>
  <c r="V85" i="17"/>
  <c r="V84" i="17"/>
  <c r="V83" i="17"/>
  <c r="W82" i="17"/>
  <c r="V82" i="17"/>
  <c r="W81" i="17"/>
  <c r="V81" i="17"/>
  <c r="W80" i="17"/>
  <c r="V80" i="17"/>
  <c r="W79" i="17"/>
  <c r="V79" i="17"/>
  <c r="V78" i="17"/>
  <c r="V77" i="17"/>
  <c r="V76" i="17"/>
  <c r="V75" i="17"/>
  <c r="V74" i="17"/>
  <c r="V73" i="17"/>
  <c r="W72" i="17"/>
  <c r="V72" i="17"/>
  <c r="W71" i="17"/>
  <c r="V71" i="17"/>
  <c r="W70" i="17"/>
  <c r="V70" i="17"/>
  <c r="W69" i="17"/>
  <c r="V69" i="17"/>
  <c r="W68" i="17"/>
  <c r="V68" i="17"/>
  <c r="W67" i="17"/>
  <c r="V67" i="17"/>
  <c r="V66" i="17"/>
  <c r="V65" i="17"/>
  <c r="V64" i="17"/>
  <c r="V61" i="17"/>
  <c r="V60" i="17"/>
  <c r="V59" i="17"/>
  <c r="V58" i="17"/>
  <c r="V57" i="17"/>
  <c r="V56" i="17"/>
  <c r="V55" i="17"/>
  <c r="V54" i="17"/>
  <c r="W53" i="17"/>
  <c r="V53" i="17"/>
  <c r="W52" i="17"/>
  <c r="V52" i="17"/>
  <c r="V51" i="17"/>
  <c r="V50" i="17"/>
  <c r="V49" i="17"/>
  <c r="V48" i="17"/>
  <c r="V47" i="17"/>
  <c r="V46" i="17"/>
  <c r="W45" i="17"/>
  <c r="V45" i="17"/>
  <c r="W44" i="17"/>
  <c r="V44" i="17"/>
  <c r="W43" i="17"/>
  <c r="V43" i="17"/>
  <c r="W42" i="17"/>
  <c r="V42" i="17"/>
  <c r="W41" i="17"/>
  <c r="V41" i="17"/>
  <c r="W40" i="17"/>
  <c r="V40" i="17"/>
  <c r="V39" i="17"/>
  <c r="V38" i="17"/>
  <c r="V37" i="17"/>
  <c r="V36" i="17"/>
  <c r="V35" i="17"/>
  <c r="V34" i="17"/>
  <c r="W33" i="17"/>
  <c r="V33" i="17"/>
  <c r="W32" i="17"/>
  <c r="V32" i="17"/>
  <c r="W31" i="17"/>
  <c r="V31" i="17"/>
  <c r="W30" i="17"/>
  <c r="V30" i="17"/>
  <c r="G30" i="17"/>
  <c r="V29" i="17"/>
  <c r="V28" i="17"/>
  <c r="V27" i="17"/>
  <c r="V26" i="17"/>
  <c r="V25" i="17"/>
  <c r="V24" i="17"/>
  <c r="V23" i="17"/>
  <c r="C22" i="17"/>
  <c r="C21" i="17"/>
  <c r="U17" i="17"/>
  <c r="U16" i="17"/>
  <c r="U15" i="17"/>
  <c r="U13" i="17"/>
  <c r="U12" i="17"/>
  <c r="U11" i="17"/>
  <c r="U9" i="17"/>
  <c r="U8" i="17"/>
  <c r="U7" i="17"/>
  <c r="U5" i="17"/>
  <c r="U4" i="17"/>
  <c r="U3" i="17"/>
  <c r="E1" i="17"/>
  <c r="A118" i="17"/>
  <c r="A144" i="17"/>
  <c r="A529" i="17"/>
  <c r="A585" i="17"/>
  <c r="A399" i="17"/>
  <c r="A316" i="17"/>
  <c r="A560" i="17"/>
  <c r="A674" i="17"/>
  <c r="A278" i="17"/>
  <c r="A552" i="17"/>
  <c r="A442" i="17"/>
  <c r="A507" i="17"/>
  <c r="A488" i="17"/>
  <c r="A294" i="17"/>
  <c r="A646" i="17"/>
  <c r="A589" i="17"/>
  <c r="A567" i="17"/>
  <c r="A351" i="17"/>
  <c r="A643" i="17"/>
  <c r="A117" i="17"/>
  <c r="A597" i="17"/>
  <c r="A459" i="17"/>
  <c r="A531" i="17"/>
  <c r="A604" i="17"/>
  <c r="A481" i="17"/>
  <c r="A663" i="17"/>
  <c r="A255" i="17"/>
  <c r="A194" i="17"/>
  <c r="A97" i="17"/>
  <c r="A96" i="17"/>
  <c r="A48" i="17"/>
  <c r="A556" i="17"/>
  <c r="A489" i="17"/>
  <c r="A227" i="17"/>
  <c r="A635" i="17"/>
  <c r="A429" i="17"/>
  <c r="A274" i="17"/>
  <c r="A44" i="17"/>
  <c r="A582" i="17"/>
  <c r="A436" i="17"/>
  <c r="A621" i="17"/>
  <c r="A571" i="17"/>
  <c r="A411" i="17"/>
  <c r="A231" i="17"/>
  <c r="A24" i="17"/>
  <c r="A456" i="17"/>
  <c r="A210" i="17"/>
  <c r="A471" i="17"/>
  <c r="A55" i="17"/>
  <c r="A501" i="17"/>
  <c r="A462" i="17"/>
  <c r="A340" i="17"/>
  <c r="A593" i="17"/>
  <c r="A109" i="17"/>
  <c r="A240" i="17"/>
  <c r="A603" i="17"/>
  <c r="A594" i="17"/>
  <c r="A209" i="17"/>
  <c r="A438" i="17"/>
  <c r="A51" i="17"/>
  <c r="A87" i="17"/>
  <c r="A364" i="17"/>
  <c r="A686" i="17"/>
  <c r="A111" i="17"/>
  <c r="A279" i="17"/>
  <c r="A394" i="17"/>
  <c r="A270" i="17"/>
  <c r="A650" i="17"/>
  <c r="A90" i="17"/>
  <c r="A347" i="17"/>
  <c r="A174" i="17"/>
  <c r="A575" i="17"/>
  <c r="A512" i="17"/>
  <c r="A108" i="17"/>
  <c r="A28" i="17"/>
  <c r="A295" i="17"/>
  <c r="A542" i="17"/>
  <c r="A417" i="17"/>
  <c r="A216" i="17"/>
  <c r="A384" i="17"/>
  <c r="A416" i="17"/>
  <c r="A360" i="17"/>
  <c r="A107" i="17"/>
  <c r="A95" i="17"/>
  <c r="A288" i="17"/>
  <c r="A676" i="17"/>
  <c r="A166" i="17"/>
  <c r="A624" i="17"/>
  <c r="A89" i="17"/>
  <c r="A491" i="17"/>
  <c r="A362" i="17"/>
  <c r="A495" i="17"/>
  <c r="A53" i="17"/>
  <c r="A284" i="17"/>
  <c r="A618" i="17"/>
  <c r="A641" i="17"/>
  <c r="A125" i="17"/>
  <c r="A682" i="17"/>
  <c r="A244" i="17"/>
  <c r="A49" i="17"/>
  <c r="A337" i="17"/>
  <c r="A215" i="17"/>
  <c r="A202" i="17"/>
  <c r="A563" i="17"/>
  <c r="A225" i="17"/>
  <c r="A309" i="17"/>
  <c r="A684" i="17"/>
  <c r="A307" i="17"/>
  <c r="A226" i="17"/>
  <c r="A350" i="17"/>
  <c r="A85" i="17"/>
  <c r="A562" i="17"/>
  <c r="A83" i="17"/>
  <c r="A208" i="17"/>
  <c r="A444" i="17"/>
  <c r="A204" i="17"/>
  <c r="A287" i="17"/>
  <c r="A532" i="17"/>
  <c r="A290" i="17"/>
  <c r="A631" i="17"/>
  <c r="A514" i="17"/>
  <c r="A587" i="17"/>
  <c r="A99" i="17"/>
  <c r="A228" i="17"/>
  <c r="A301" i="17"/>
  <c r="A627" i="17"/>
  <c r="A322" i="17"/>
  <c r="A201" i="17"/>
  <c r="A460" i="17"/>
  <c r="A148" i="17"/>
  <c r="A281" i="17"/>
  <c r="A431" i="17"/>
  <c r="A595" i="17"/>
  <c r="A271" i="17"/>
  <c r="A41" i="17"/>
  <c r="A23" i="17"/>
  <c r="A435" i="17"/>
  <c r="A69" i="17"/>
  <c r="A42" i="17"/>
  <c r="A346" i="17"/>
  <c r="A680" i="17"/>
  <c r="A29" i="17"/>
  <c r="A205" i="17"/>
  <c r="A528" i="17"/>
  <c r="A677" i="17"/>
  <c r="A629" i="17"/>
  <c r="A58" i="17"/>
  <c r="A569" i="17"/>
  <c r="A549" i="17"/>
  <c r="A80" i="17"/>
  <c r="A479" i="17"/>
  <c r="A522" i="17"/>
  <c r="A473" i="17"/>
  <c r="A504" i="17"/>
  <c r="A131" i="17"/>
  <c r="A323" i="17"/>
  <c r="A566" i="17"/>
  <c r="A559" i="17"/>
  <c r="A238" i="17"/>
  <c r="A633" i="17"/>
  <c r="A622" i="17"/>
  <c r="A637" i="17"/>
  <c r="A546" i="17"/>
  <c r="A291" i="17"/>
  <c r="A544" i="17"/>
  <c r="A120" i="17"/>
  <c r="A114" i="17"/>
  <c r="A246" i="17"/>
  <c r="A601" i="17"/>
  <c r="A470" i="17"/>
  <c r="A649" i="17"/>
  <c r="A57" i="17"/>
  <c r="A667" i="17"/>
  <c r="A487" i="17"/>
  <c r="A405" i="17"/>
  <c r="A123" i="17"/>
  <c r="A338" i="17"/>
  <c r="A162" i="17"/>
  <c r="A243" i="17"/>
  <c r="A548" i="17"/>
  <c r="A615" i="17"/>
  <c r="A381" i="17"/>
  <c r="A449" i="17"/>
  <c r="A523" i="17"/>
  <c r="A638" i="17"/>
  <c r="A160" i="17"/>
  <c r="A607" i="17"/>
  <c r="A190" i="17"/>
  <c r="A325" i="17"/>
  <c r="A498" i="17"/>
  <c r="A185" i="17"/>
  <c r="A356" i="17"/>
  <c r="A656" i="17"/>
  <c r="A46" i="17"/>
  <c r="A152" i="17"/>
  <c r="A421" i="17"/>
  <c r="A324" i="17"/>
  <c r="A142" i="17"/>
  <c r="A660" i="17"/>
  <c r="A397" i="17"/>
  <c r="A35" i="17"/>
  <c r="A463" i="17"/>
  <c r="A555" i="17"/>
  <c r="A662" i="17"/>
  <c r="A354" i="17"/>
  <c r="A458" i="17"/>
  <c r="A554" i="17"/>
  <c r="A136" i="17"/>
  <c r="A321" i="17"/>
  <c r="A651" i="17"/>
  <c r="A104" i="17"/>
  <c r="A344" i="17"/>
  <c r="A38" i="17"/>
  <c r="A670" i="17"/>
  <c r="A79" i="17"/>
  <c r="A170" i="17"/>
  <c r="A298" i="17"/>
  <c r="A25" i="17"/>
  <c r="A632" i="17"/>
  <c r="A130" i="17"/>
  <c r="A658" i="17"/>
  <c r="A236" i="17"/>
  <c r="A616" i="17"/>
  <c r="A468" i="17"/>
  <c r="A675" i="17"/>
  <c r="A518" i="17"/>
  <c r="A373" i="17"/>
  <c r="A634" i="17"/>
  <c r="A147" i="17"/>
  <c r="A334" i="17"/>
  <c r="A188" i="17"/>
  <c r="A409" i="17"/>
  <c r="A229" i="17"/>
  <c r="A82" i="17"/>
  <c r="A98" i="17"/>
  <c r="A355" i="17"/>
  <c r="A389" i="17"/>
  <c r="A81" i="17"/>
  <c r="A214" i="17"/>
  <c r="A213" i="17"/>
  <c r="A366" i="17"/>
  <c r="A383" i="17"/>
  <c r="A657" i="17"/>
  <c r="A105" i="17"/>
  <c r="A127" i="17"/>
  <c r="A687" i="17"/>
  <c r="A476" i="17"/>
  <c r="A515" i="17"/>
  <c r="A477" i="17"/>
  <c r="A197" i="17"/>
  <c r="A425" i="17"/>
  <c r="A608" i="17"/>
  <c r="A241" i="17"/>
  <c r="A450" i="17"/>
  <c r="A472" i="17"/>
  <c r="A666" i="17"/>
  <c r="A191" i="17"/>
  <c r="A516" i="17"/>
  <c r="A339" i="17"/>
  <c r="A315" i="17"/>
  <c r="A537" i="17"/>
  <c r="A242" i="17"/>
  <c r="A652" i="17"/>
  <c r="A333" i="17"/>
  <c r="A32" i="17"/>
  <c r="A234" i="17"/>
  <c r="A285" i="17"/>
  <c r="A319" i="17"/>
  <c r="A276" i="17"/>
  <c r="A574" i="17"/>
  <c r="A282" i="17"/>
  <c r="A189" i="17"/>
  <c r="A203" i="17"/>
  <c r="A486" i="17"/>
  <c r="A343" i="17"/>
  <c r="A66" i="17"/>
  <c r="A466" i="17"/>
  <c r="A68" i="17"/>
  <c r="A678" i="17"/>
  <c r="A305" i="17"/>
  <c r="A430" i="17"/>
  <c r="A379" i="17"/>
  <c r="A303" i="17"/>
  <c r="A557" i="17"/>
  <c r="A349" i="17"/>
  <c r="A576" i="17"/>
  <c r="A181" i="17"/>
  <c r="A176" i="17"/>
  <c r="A31" i="17"/>
  <c r="A300" i="17"/>
  <c r="A143" i="17"/>
  <c r="A453" i="17"/>
  <c r="A317" i="17"/>
  <c r="A289" i="17"/>
  <c r="A626" i="17"/>
  <c r="A526" i="17"/>
  <c r="A137" i="17"/>
  <c r="A27" i="17"/>
  <c r="A513" i="17"/>
  <c r="A588" i="17"/>
  <c r="A419" i="17"/>
  <c r="A259" i="17"/>
  <c r="A415" i="17"/>
  <c r="A437" i="17"/>
  <c r="A469" i="17"/>
  <c r="A161" i="17"/>
  <c r="A525" i="17"/>
  <c r="A565" i="17"/>
  <c r="A524" i="17"/>
  <c r="A391" i="17"/>
  <c r="A173" i="17"/>
  <c r="A410" i="17"/>
  <c r="A342" i="17"/>
  <c r="A414" i="17"/>
  <c r="A664" i="17"/>
  <c r="A254" i="17"/>
  <c r="A311" i="17"/>
  <c r="A592" i="17"/>
  <c r="A365" i="17"/>
  <c r="A239" i="17"/>
  <c r="A60" i="17"/>
  <c r="A600" i="17"/>
  <c r="A43" i="17"/>
  <c r="A258" i="17"/>
  <c r="A541" i="17"/>
  <c r="A269" i="17"/>
  <c r="A580" i="17"/>
  <c r="A443" i="17"/>
  <c r="A172" i="17"/>
  <c r="A609" i="17"/>
  <c r="A249" i="17"/>
  <c r="A93" i="17"/>
  <c r="A223" i="17"/>
  <c r="A648" i="17"/>
  <c r="A511" i="17"/>
  <c r="A50" i="17"/>
  <c r="A158" i="17"/>
  <c r="A586" i="17"/>
  <c r="A561" i="17"/>
  <c r="A428" i="17"/>
  <c r="A167" i="17"/>
  <c r="A613" i="17"/>
  <c r="A455" i="17"/>
  <c r="A564" i="17"/>
  <c r="A154" i="17"/>
  <c r="A558" i="17"/>
  <c r="A550" i="17"/>
  <c r="A302" i="17"/>
  <c r="A454" i="17"/>
  <c r="A482" i="17"/>
  <c r="A224" i="17"/>
  <c r="A543" i="17"/>
  <c r="A72" i="17"/>
  <c r="A505" i="17"/>
  <c r="A192" i="17"/>
  <c r="A521" i="17"/>
  <c r="A36" i="17"/>
  <c r="A221" i="17"/>
  <c r="A457" i="17"/>
  <c r="A596" i="17"/>
  <c r="A539" i="17"/>
  <c r="A668" i="17"/>
  <c r="A277" i="17"/>
  <c r="A37" i="17"/>
  <c r="A153" i="17"/>
  <c r="A52" i="17"/>
  <c r="A70" i="17"/>
  <c r="A200" i="17"/>
  <c r="A527" i="17"/>
  <c r="A483" i="17"/>
  <c r="A313" i="17"/>
  <c r="A517" i="17"/>
  <c r="A275" i="17"/>
  <c r="A248" i="17"/>
  <c r="A363" i="17"/>
  <c r="A332" i="17"/>
  <c r="A179" i="17"/>
  <c r="A599" i="17"/>
  <c r="A591" i="17"/>
  <c r="A212" i="17"/>
  <c r="A198" i="17"/>
  <c r="A182" i="17"/>
  <c r="A439" i="17"/>
  <c r="A139" i="17"/>
  <c r="A465" i="17"/>
  <c r="A178" i="17"/>
  <c r="A164" i="17"/>
  <c r="A392" i="17"/>
  <c r="A671" i="17"/>
  <c r="A533" i="17"/>
  <c r="A577" i="17"/>
  <c r="A257" i="17"/>
  <c r="A119" i="17"/>
  <c r="A480" i="17"/>
  <c r="A685" i="17"/>
  <c r="A296" i="17"/>
  <c r="A330" i="17"/>
  <c r="A640" i="17"/>
  <c r="A235" i="17"/>
  <c r="A598" i="17"/>
  <c r="A75" i="17"/>
  <c r="A530" i="17"/>
  <c r="A230" i="17"/>
  <c r="A538" i="17"/>
  <c r="A112" i="17"/>
  <c r="A250" i="17"/>
  <c r="A128" i="17"/>
  <c r="A433" i="17"/>
  <c r="A65" i="17"/>
  <c r="A232" i="17"/>
  <c r="A129" i="17"/>
  <c r="A540" i="17"/>
  <c r="A418" i="17"/>
  <c r="A193" i="17"/>
  <c r="A308" i="17"/>
  <c r="A253" i="17"/>
  <c r="A102" i="17"/>
  <c r="A84" i="17"/>
  <c r="A441" i="17"/>
  <c r="A478" i="17"/>
  <c r="A579" i="17"/>
  <c r="A581" i="17"/>
  <c r="A341" i="17"/>
  <c r="A146" i="17"/>
  <c r="A452" i="17"/>
  <c r="A207" i="17"/>
  <c r="A499" i="17"/>
  <c r="A304" i="17"/>
  <c r="A434" i="17"/>
  <c r="A56" i="17"/>
  <c r="A617" i="17"/>
  <c r="A67" i="17"/>
  <c r="A73" i="17"/>
  <c r="A86" i="17"/>
  <c r="A59" i="17"/>
  <c r="A252" i="17"/>
  <c r="A272" i="17"/>
  <c r="A509" i="17"/>
  <c r="A628" i="17"/>
  <c r="A623" i="17"/>
  <c r="A506" i="17"/>
  <c r="A345" i="17"/>
  <c r="A286" i="17"/>
  <c r="A625" i="17"/>
  <c r="A122" i="17"/>
  <c r="A402" i="17"/>
  <c r="A584" i="17"/>
  <c r="A222" i="17"/>
  <c r="A500" i="17"/>
  <c r="A171" i="17"/>
  <c r="A353" i="17"/>
  <c r="A157" i="17"/>
  <c r="A314" i="17"/>
  <c r="A423" i="17"/>
  <c r="A91" i="17"/>
  <c r="A673" i="17"/>
  <c r="A100" i="17"/>
  <c r="A26" i="17"/>
  <c r="A159" i="17"/>
  <c r="A329" i="17"/>
  <c r="A299" i="17"/>
  <c r="A233" i="17"/>
  <c r="A375" i="17"/>
  <c r="A92" i="17"/>
  <c r="A280" i="17"/>
  <c r="A412" i="17"/>
  <c r="A357" i="17"/>
  <c r="A508" i="17"/>
  <c r="A645" i="17"/>
  <c r="A40" i="17"/>
  <c r="A551" i="17"/>
  <c r="A683" i="17"/>
  <c r="A494" i="17"/>
  <c r="A175" i="17"/>
  <c r="A393" i="17"/>
  <c r="A654" i="17"/>
  <c r="A614" i="17"/>
  <c r="A372" i="17"/>
  <c r="A76" i="17"/>
  <c r="A94" i="17"/>
  <c r="A283" i="17"/>
  <c r="A260" i="17"/>
  <c r="A247" i="17"/>
  <c r="A331" i="17"/>
  <c r="A266" i="17"/>
  <c r="A382" i="17"/>
  <c r="A336" i="17"/>
  <c r="A407" i="17"/>
  <c r="A251" i="17"/>
  <c r="A659" i="17"/>
  <c r="A639" i="17"/>
  <c r="A195" i="17"/>
  <c r="A572" i="17"/>
  <c r="A211" i="17"/>
  <c r="A267" i="17"/>
  <c r="A293" i="17"/>
  <c r="A101" i="17"/>
  <c r="A121" i="17"/>
  <c r="A610" i="17"/>
  <c r="A570" i="17"/>
  <c r="A467" i="17"/>
  <c r="A376" i="17"/>
  <c r="A168" i="17"/>
  <c r="A206" i="17"/>
  <c r="A133" i="17"/>
  <c r="A386" i="17"/>
  <c r="A320" i="17"/>
  <c r="A424" i="17"/>
  <c r="A612" i="17"/>
  <c r="A348" i="17"/>
  <c r="A380" i="17"/>
  <c r="A186" i="17"/>
  <c r="A422" i="17"/>
  <c r="A61" i="17"/>
  <c r="A503" i="17"/>
  <c r="A578" i="17"/>
  <c r="A237" i="17"/>
  <c r="A408" i="17"/>
  <c r="A502" i="17"/>
  <c r="A679" i="17"/>
  <c r="A535" i="17"/>
  <c r="A71" i="17"/>
  <c r="A77" i="17"/>
  <c r="A156" i="17"/>
  <c r="A110" i="17"/>
  <c r="A306" i="17"/>
  <c r="A328" i="17"/>
  <c r="A374" i="17"/>
  <c r="A681" i="17"/>
  <c r="A377" i="17"/>
  <c r="A132" i="17"/>
  <c r="A292" i="17"/>
  <c r="A619" i="17"/>
  <c r="A245" i="17"/>
  <c r="A620" i="17"/>
  <c r="A403" i="17"/>
  <c r="A590" i="17"/>
  <c r="A427" i="17"/>
  <c r="A34" i="17"/>
  <c r="A358" i="17"/>
  <c r="A116" i="17"/>
  <c r="A217" i="17"/>
  <c r="A413" i="17"/>
  <c r="A165" i="17"/>
  <c r="A30" i="17"/>
  <c r="A602" i="17"/>
  <c r="A218" i="17"/>
  <c r="A326" i="17"/>
  <c r="A461" i="17"/>
  <c r="A219" i="17"/>
  <c r="A396" i="17"/>
  <c r="A642" i="17"/>
  <c r="A426" i="17"/>
  <c r="A33" i="17"/>
  <c r="A140" i="17"/>
  <c r="A106" i="17"/>
  <c r="A196" i="17"/>
  <c r="A534" i="17"/>
  <c r="A606" i="17"/>
  <c r="A406" i="17"/>
  <c r="A115" i="17"/>
  <c r="A318" i="17"/>
  <c r="A672" i="17"/>
  <c r="A398" i="17"/>
  <c r="A183" i="17"/>
  <c r="A669" i="17"/>
  <c r="A490" i="17"/>
  <c r="A273" i="17"/>
  <c r="A184" i="17"/>
  <c r="A126" i="17"/>
  <c r="A401" i="17"/>
  <c r="A653" i="17"/>
  <c r="A447" i="17"/>
  <c r="A484" i="17"/>
  <c r="A45" i="17"/>
  <c r="A64" i="17"/>
  <c r="A493" i="17"/>
  <c r="A113" i="17"/>
  <c r="A268" i="17"/>
  <c r="A448" i="17"/>
  <c r="A451" i="17"/>
  <c r="A378" i="17"/>
  <c r="A74" i="17"/>
  <c r="A611" i="17"/>
  <c r="A124" i="17"/>
  <c r="A655" i="17"/>
  <c r="A520" i="17"/>
  <c r="A385" i="17"/>
  <c r="A163" i="17"/>
  <c r="A553" i="17"/>
  <c r="A78" i="17"/>
  <c r="A547" i="17"/>
  <c r="A134" i="17"/>
  <c r="A400" i="17"/>
  <c r="A361" i="17"/>
  <c r="A54" i="17"/>
  <c r="A155" i="17"/>
  <c r="A492" i="17"/>
  <c r="A475" i="17"/>
  <c r="A519" i="17"/>
  <c r="A647" i="17"/>
  <c r="A496" i="17"/>
  <c r="A39" i="17"/>
  <c r="A440" i="17"/>
  <c r="A103" i="17"/>
  <c r="A180" i="17"/>
  <c r="A445" i="17"/>
  <c r="A169" i="17"/>
  <c r="A390" i="17"/>
  <c r="A545" i="17"/>
  <c r="A310" i="17"/>
  <c r="A177" i="17"/>
  <c r="A138" i="17"/>
  <c r="A359" i="17"/>
  <c r="A327" i="17"/>
  <c r="A335" i="17"/>
  <c r="A420" i="17"/>
  <c r="A583" i="17"/>
  <c r="A536" i="17"/>
  <c r="A256" i="17"/>
  <c r="A297" i="17"/>
  <c r="A312" i="17"/>
  <c r="A474" i="17"/>
  <c r="A446" i="17"/>
  <c r="A387" i="17"/>
  <c r="A141" i="17"/>
  <c r="A404" i="17"/>
  <c r="A568" i="17"/>
  <c r="A395" i="17"/>
  <c r="A352" i="17"/>
  <c r="A630" i="17"/>
  <c r="A464" i="17"/>
  <c r="A47" i="17"/>
  <c r="A573" i="17"/>
  <c r="A199" i="17"/>
  <c r="A510" i="17"/>
  <c r="A665" i="17"/>
  <c r="A145" i="17"/>
  <c r="A485" i="17"/>
  <c r="A135" i="17"/>
  <c r="A605" i="17"/>
  <c r="A220" i="17"/>
  <c r="A187" i="17"/>
  <c r="A661" i="17"/>
  <c r="A88" i="17"/>
  <c r="S17" i="13" l="1"/>
  <c r="O17" i="13"/>
  <c r="K17" i="13"/>
  <c r="F17" i="13"/>
  <c r="Q16" i="13"/>
  <c r="M16" i="13"/>
  <c r="I16" i="13"/>
  <c r="S15" i="13"/>
  <c r="O15" i="13"/>
  <c r="K15" i="13"/>
  <c r="F15" i="13"/>
  <c r="Q13" i="13"/>
  <c r="M13" i="13"/>
  <c r="I13" i="13"/>
  <c r="S12" i="13"/>
  <c r="O12" i="13"/>
  <c r="K12" i="13"/>
  <c r="F12" i="13"/>
  <c r="Q11" i="13"/>
  <c r="M11" i="13"/>
  <c r="I11" i="13"/>
  <c r="S9" i="13"/>
  <c r="O9" i="13"/>
  <c r="K9" i="13"/>
  <c r="F9" i="13"/>
  <c r="Q8" i="13"/>
  <c r="M8" i="13"/>
  <c r="I8" i="13"/>
  <c r="O7" i="13"/>
  <c r="F5" i="13"/>
  <c r="R17" i="13"/>
  <c r="N17" i="13"/>
  <c r="J17" i="13"/>
  <c r="E17" i="13"/>
  <c r="P16" i="13"/>
  <c r="L16" i="13"/>
  <c r="H16" i="13"/>
  <c r="R15" i="13"/>
  <c r="N15" i="13"/>
  <c r="J15" i="13"/>
  <c r="E15" i="13"/>
  <c r="P13" i="13"/>
  <c r="L13" i="13"/>
  <c r="H13" i="13"/>
  <c r="R12" i="13"/>
  <c r="N12" i="13"/>
  <c r="J12" i="13"/>
  <c r="E12" i="13"/>
  <c r="P11" i="13"/>
  <c r="L11" i="13"/>
  <c r="H11" i="13"/>
  <c r="R9" i="13"/>
  <c r="N9" i="13"/>
  <c r="J9" i="13"/>
  <c r="E9" i="13"/>
  <c r="P8" i="13"/>
  <c r="L8" i="13"/>
  <c r="H8" i="13"/>
  <c r="F7" i="13"/>
  <c r="O5" i="13"/>
  <c r="Q17" i="13"/>
  <c r="M17" i="13"/>
  <c r="I17" i="13"/>
  <c r="S16" i="13"/>
  <c r="O16" i="13"/>
  <c r="K16" i="13"/>
  <c r="F16" i="13"/>
  <c r="Q15" i="13"/>
  <c r="M15" i="13"/>
  <c r="I15" i="13"/>
  <c r="S13" i="13"/>
  <c r="O13" i="13"/>
  <c r="K13" i="13"/>
  <c r="F13" i="13"/>
  <c r="Q12" i="13"/>
  <c r="M12" i="13"/>
  <c r="I12" i="13"/>
  <c r="S11" i="13"/>
  <c r="O11" i="13"/>
  <c r="K11" i="13"/>
  <c r="F11" i="13"/>
  <c r="Q9" i="13"/>
  <c r="M9" i="13"/>
  <c r="I9" i="13"/>
  <c r="S8" i="13"/>
  <c r="O8" i="13"/>
  <c r="K8" i="13"/>
  <c r="F8" i="13"/>
  <c r="F4" i="13"/>
  <c r="O3" i="13"/>
  <c r="P17" i="13"/>
  <c r="L17" i="13"/>
  <c r="H17" i="13"/>
  <c r="R16" i="13"/>
  <c r="N16" i="13"/>
  <c r="J16" i="13"/>
  <c r="E16" i="13"/>
  <c r="P15" i="13"/>
  <c r="L15" i="13"/>
  <c r="H15" i="13"/>
  <c r="R13" i="13"/>
  <c r="N13" i="13"/>
  <c r="J13" i="13"/>
  <c r="E13" i="13"/>
  <c r="P12" i="13"/>
  <c r="L12" i="13"/>
  <c r="H12" i="13"/>
  <c r="R11" i="13"/>
  <c r="N11" i="13"/>
  <c r="J11" i="13"/>
  <c r="E11" i="13"/>
  <c r="P9" i="13"/>
  <c r="L9" i="13"/>
  <c r="H9" i="13"/>
  <c r="R8" i="13"/>
  <c r="N8" i="13"/>
  <c r="J8" i="13"/>
  <c r="E8" i="13"/>
  <c r="O4" i="13"/>
  <c r="F3" i="13"/>
  <c r="W61" i="17"/>
  <c r="W60" i="17"/>
  <c r="W59" i="17"/>
  <c r="W58" i="17"/>
  <c r="W50" i="17"/>
  <c r="W49" i="17"/>
  <c r="W48" i="17"/>
  <c r="W51" i="17"/>
  <c r="W34" i="17"/>
  <c r="Q270" i="17"/>
  <c r="S270" i="17" s="1"/>
  <c r="Q363" i="17"/>
  <c r="S363" i="17" s="1"/>
  <c r="R273" i="17"/>
  <c r="Q361" i="17"/>
  <c r="S361" i="17" s="1"/>
  <c r="Q267" i="17"/>
  <c r="S267" i="17" s="1"/>
  <c r="Q359" i="17"/>
  <c r="S359" i="17" s="1"/>
  <c r="Q327" i="17"/>
  <c r="S327" i="17" s="1"/>
  <c r="Q319" i="17"/>
  <c r="S319" i="17" s="1"/>
  <c r="Q295" i="17"/>
  <c r="S295" i="17" s="1"/>
  <c r="Q278" i="17"/>
  <c r="S278" i="17" s="1"/>
  <c r="R272" i="17"/>
  <c r="Q365" i="17"/>
  <c r="S365" i="17" s="1"/>
  <c r="Q276" i="17"/>
  <c r="S276" i="17" s="1"/>
  <c r="Q271" i="17"/>
  <c r="S271" i="17" s="1"/>
  <c r="Q323" i="17"/>
  <c r="S323" i="17" s="1"/>
  <c r="Q307" i="17"/>
  <c r="S307" i="17" s="1"/>
  <c r="Q269" i="17"/>
  <c r="S269" i="17" s="1"/>
  <c r="Q277" i="17"/>
  <c r="S277" i="17" s="1"/>
  <c r="Q275" i="17"/>
  <c r="S275" i="17" s="1"/>
  <c r="Q274" i="17"/>
  <c r="S274" i="17" s="1"/>
  <c r="R274" i="17"/>
  <c r="Q268" i="17"/>
  <c r="S268" i="17" s="1"/>
  <c r="S299" i="17"/>
  <c r="S321" i="17"/>
  <c r="S273" i="17"/>
  <c r="S331" i="17"/>
  <c r="S335" i="17"/>
  <c r="S333" i="17"/>
  <c r="S337" i="17"/>
  <c r="S341" i="17"/>
  <c r="S339" i="17"/>
  <c r="R308" i="17"/>
  <c r="R310" i="17"/>
  <c r="R316" i="17"/>
  <c r="R318" i="17"/>
  <c r="S344" i="17"/>
  <c r="S288" i="17"/>
  <c r="S290" i="17"/>
  <c r="S292" i="17"/>
  <c r="S294" i="17"/>
  <c r="S300" i="17"/>
  <c r="S302" i="17"/>
  <c r="R282" i="17"/>
  <c r="S328" i="17"/>
  <c r="S332" i="17"/>
  <c r="S334" i="17"/>
  <c r="S336" i="17"/>
  <c r="S338" i="17"/>
  <c r="S340" i="17"/>
  <c r="R342" i="17"/>
  <c r="R281" i="17"/>
  <c r="R287" i="17"/>
  <c r="R303" i="17"/>
  <c r="R309" i="17"/>
  <c r="R315" i="17"/>
  <c r="R301" i="17"/>
  <c r="S305" i="17"/>
  <c r="R324" i="17"/>
  <c r="R326" i="17"/>
  <c r="R346" i="17"/>
  <c r="R350" i="17"/>
  <c r="R352" i="17"/>
  <c r="R362" i="17"/>
  <c r="S280" i="17"/>
  <c r="S282" i="17"/>
  <c r="S311" i="17"/>
  <c r="S313" i="17"/>
  <c r="R317" i="17"/>
  <c r="R298" i="17"/>
  <c r="S304" i="17"/>
  <c r="S306" i="17"/>
  <c r="R325" i="17"/>
  <c r="S343" i="17"/>
  <c r="R345" i="17"/>
  <c r="R302" i="17"/>
  <c r="S312" i="17"/>
  <c r="S314" i="17"/>
  <c r="S291" i="17"/>
  <c r="S320" i="17"/>
  <c r="S322" i="17"/>
  <c r="R279" i="17"/>
  <c r="R299" i="17"/>
  <c r="S301" i="17"/>
  <c r="R304" i="17"/>
  <c r="R311" i="17"/>
  <c r="R313" i="17"/>
  <c r="S315" i="17"/>
  <c r="R320" i="17"/>
  <c r="R329" i="17"/>
  <c r="R331" i="17"/>
  <c r="R333" i="17"/>
  <c r="R335" i="17"/>
  <c r="R337" i="17"/>
  <c r="R339" i="17"/>
  <c r="S350" i="17"/>
  <c r="S287" i="17"/>
  <c r="R294" i="17"/>
  <c r="S296" i="17"/>
  <c r="S298" i="17"/>
  <c r="S303" i="17"/>
  <c r="R306" i="17"/>
  <c r="S308" i="17"/>
  <c r="S310" i="17"/>
  <c r="S317" i="17"/>
  <c r="R322" i="17"/>
  <c r="S324" i="17"/>
  <c r="S326" i="17"/>
  <c r="S352" i="17"/>
  <c r="S349" i="17"/>
  <c r="S347" i="17"/>
  <c r="R291" i="17"/>
  <c r="R305" i="17"/>
  <c r="R312" i="17"/>
  <c r="R319" i="17"/>
  <c r="R321" i="17"/>
  <c r="R328" i="17"/>
  <c r="R330" i="17"/>
  <c r="R332" i="17"/>
  <c r="R334" i="17"/>
  <c r="R336" i="17"/>
  <c r="R338" i="17"/>
  <c r="R340" i="17"/>
  <c r="S351" i="17"/>
  <c r="R280" i="17"/>
  <c r="S284" i="17"/>
  <c r="R300" i="17"/>
  <c r="S309" i="17"/>
  <c r="R314" i="17"/>
  <c r="S316" i="17"/>
  <c r="S318" i="17"/>
  <c r="S325" i="17"/>
  <c r="S342" i="17"/>
  <c r="R344" i="17"/>
  <c r="U39" i="17"/>
  <c r="W39" i="17"/>
  <c r="U51" i="17"/>
  <c r="U27" i="17"/>
  <c r="W27" i="17"/>
  <c r="W46" i="17"/>
  <c r="U46" i="17"/>
  <c r="W47" i="17"/>
  <c r="U47" i="17"/>
  <c r="U41" i="17"/>
  <c r="W26" i="17"/>
  <c r="U26" i="17"/>
  <c r="U32" i="17"/>
  <c r="W36" i="17"/>
  <c r="U36" i="17"/>
  <c r="U30" i="17"/>
  <c r="U33" i="17"/>
  <c r="W25" i="17"/>
  <c r="U25" i="17"/>
  <c r="U40" i="17"/>
  <c r="U42" i="17"/>
  <c r="U44" i="17"/>
  <c r="U48" i="17"/>
  <c r="U67" i="17"/>
  <c r="U31" i="17"/>
  <c r="W37" i="17"/>
  <c r="U37" i="17"/>
  <c r="W23" i="17"/>
  <c r="U23" i="17"/>
  <c r="U28" i="17"/>
  <c r="W28" i="17"/>
  <c r="U34" i="17"/>
  <c r="W35" i="17"/>
  <c r="U35" i="17"/>
  <c r="U24" i="17"/>
  <c r="W24" i="17"/>
  <c r="W38" i="17"/>
  <c r="U38" i="17"/>
  <c r="U50" i="17"/>
  <c r="U49" i="17"/>
  <c r="U60" i="17"/>
  <c r="W64" i="17"/>
  <c r="U64" i="17"/>
  <c r="U52" i="17"/>
  <c r="U54" i="17"/>
  <c r="U61" i="17"/>
  <c r="U65" i="17"/>
  <c r="W65" i="17"/>
  <c r="W66" i="17"/>
  <c r="U66" i="17"/>
  <c r="U73" i="17"/>
  <c r="W73" i="17"/>
  <c r="W29" i="17"/>
  <c r="U29" i="17"/>
  <c r="U43" i="17"/>
  <c r="U55" i="17"/>
  <c r="W78" i="17"/>
  <c r="U78" i="17"/>
  <c r="U80" i="17"/>
  <c r="U82" i="17"/>
  <c r="W107" i="17"/>
  <c r="U107" i="17"/>
  <c r="U45" i="17"/>
  <c r="U53" i="17"/>
  <c r="U59" i="17"/>
  <c r="U72" i="17"/>
  <c r="U76" i="17"/>
  <c r="W76" i="17"/>
  <c r="U79" i="17"/>
  <c r="U57" i="17"/>
  <c r="W57" i="17"/>
  <c r="U58" i="17"/>
  <c r="U70" i="17"/>
  <c r="U83" i="17"/>
  <c r="W83" i="17"/>
  <c r="W86" i="17"/>
  <c r="U86" i="17"/>
  <c r="U71" i="17"/>
  <c r="W77" i="17"/>
  <c r="U77" i="17"/>
  <c r="U87" i="17"/>
  <c r="W87" i="17"/>
  <c r="W99" i="17"/>
  <c r="U99" i="17"/>
  <c r="U103" i="17"/>
  <c r="U108" i="17"/>
  <c r="W108" i="17"/>
  <c r="U111" i="17"/>
  <c r="W128" i="17"/>
  <c r="U128" i="17"/>
  <c r="U89" i="17"/>
  <c r="U93" i="17"/>
  <c r="W97" i="17"/>
  <c r="U97" i="17"/>
  <c r="U100" i="17"/>
  <c r="W100" i="17"/>
  <c r="U69" i="17"/>
  <c r="W75" i="17"/>
  <c r="U75" i="17"/>
  <c r="W56" i="17"/>
  <c r="U56" i="17"/>
  <c r="U68" i="17"/>
  <c r="U74" i="17"/>
  <c r="W74" i="17"/>
  <c r="U84" i="17"/>
  <c r="W84" i="17"/>
  <c r="U94" i="17"/>
  <c r="U98" i="17"/>
  <c r="W98" i="17"/>
  <c r="U104" i="17"/>
  <c r="W106" i="17"/>
  <c r="U106" i="17"/>
  <c r="U113" i="17"/>
  <c r="U90" i="17"/>
  <c r="U92" i="17"/>
  <c r="U112" i="17"/>
  <c r="U119" i="17"/>
  <c r="W119" i="17"/>
  <c r="W85" i="17"/>
  <c r="U85" i="17"/>
  <c r="U91" i="17"/>
  <c r="W105" i="17"/>
  <c r="U105" i="17"/>
  <c r="U114" i="17"/>
  <c r="W118" i="17"/>
  <c r="U118" i="17"/>
  <c r="U129" i="17"/>
  <c r="W129" i="17"/>
  <c r="U110" i="17"/>
  <c r="W110" i="17"/>
  <c r="U115" i="17"/>
  <c r="W115" i="17"/>
  <c r="W117" i="17"/>
  <c r="U117" i="17"/>
  <c r="W121" i="17"/>
  <c r="U121" i="17"/>
  <c r="W88" i="17"/>
  <c r="U88" i="17"/>
  <c r="W96" i="17"/>
  <c r="U96" i="17"/>
  <c r="U102" i="17"/>
  <c r="W109" i="17"/>
  <c r="U109" i="17"/>
  <c r="W125" i="17"/>
  <c r="U125" i="17"/>
  <c r="W134" i="17"/>
  <c r="U134" i="17"/>
  <c r="U81" i="17"/>
  <c r="U95" i="17"/>
  <c r="W95" i="17"/>
  <c r="U101" i="17"/>
  <c r="U122" i="17"/>
  <c r="W122" i="17"/>
  <c r="U131" i="17"/>
  <c r="W131" i="17"/>
  <c r="U123" i="17"/>
  <c r="W123" i="17"/>
  <c r="W136" i="17"/>
  <c r="U136" i="17"/>
  <c r="W138" i="17"/>
  <c r="U138" i="17"/>
  <c r="U146" i="17"/>
  <c r="W146" i="17"/>
  <c r="U120" i="17"/>
  <c r="W120" i="17"/>
  <c r="U126" i="17"/>
  <c r="W126" i="17"/>
  <c r="U141" i="17"/>
  <c r="W141" i="17"/>
  <c r="W116" i="17"/>
  <c r="U116" i="17"/>
  <c r="U130" i="17"/>
  <c r="W130" i="17"/>
  <c r="W137" i="17"/>
  <c r="U137" i="17"/>
  <c r="W145" i="17"/>
  <c r="U145" i="17"/>
  <c r="W127" i="17"/>
  <c r="U127" i="17"/>
  <c r="U534" i="17"/>
  <c r="W133" i="17"/>
  <c r="U133" i="17"/>
  <c r="W124" i="17"/>
  <c r="U124" i="17"/>
  <c r="U132" i="17"/>
  <c r="W132" i="17"/>
  <c r="U139" i="17"/>
  <c r="W139" i="17"/>
  <c r="U147" i="17"/>
  <c r="W147" i="17"/>
  <c r="W140" i="17"/>
  <c r="U140" i="17"/>
  <c r="W144" i="17"/>
  <c r="U144" i="17"/>
  <c r="U479" i="17"/>
  <c r="W135" i="17"/>
  <c r="U135" i="17"/>
  <c r="W143" i="17"/>
  <c r="U143" i="17"/>
  <c r="U142" i="17"/>
  <c r="W142" i="17"/>
  <c r="U656" i="17"/>
  <c r="U441" i="17"/>
  <c r="U538" i="17"/>
  <c r="U660" i="17"/>
  <c r="U446" i="17"/>
  <c r="U556" i="17"/>
  <c r="U664" i="17"/>
  <c r="U464" i="17"/>
  <c r="U505" i="17"/>
  <c r="U523" i="17"/>
  <c r="U560" i="17"/>
  <c r="U668" i="17"/>
  <c r="U468" i="17"/>
  <c r="U486" i="17"/>
  <c r="U527" i="17"/>
  <c r="U672" i="17"/>
  <c r="U435" i="17"/>
  <c r="U490" i="17"/>
  <c r="U545" i="17"/>
  <c r="U676" i="17"/>
  <c r="U453" i="17"/>
  <c r="U549" i="17"/>
  <c r="U648" i="17"/>
  <c r="U680" i="17"/>
  <c r="U457" i="17"/>
  <c r="U516" i="17"/>
  <c r="U652" i="17"/>
  <c r="U684" i="17"/>
  <c r="U375" i="17"/>
  <c r="U379" i="17"/>
  <c r="U383" i="17"/>
  <c r="U387" i="17"/>
  <c r="U391" i="17"/>
  <c r="U395" i="17"/>
  <c r="U399" i="17"/>
  <c r="U403" i="17"/>
  <c r="U407" i="17"/>
  <c r="U411" i="17"/>
  <c r="U415" i="17"/>
  <c r="U419" i="17"/>
  <c r="U423" i="17"/>
  <c r="U427" i="17"/>
  <c r="U431" i="17"/>
  <c r="U439" i="17"/>
  <c r="U450" i="17"/>
  <c r="U461" i="17"/>
  <c r="U472" i="17"/>
  <c r="U483" i="17"/>
  <c r="U494" i="17"/>
  <c r="U498" i="17"/>
  <c r="U509" i="17"/>
  <c r="U520" i="17"/>
  <c r="U531" i="17"/>
  <c r="U542" i="17"/>
  <c r="U553" i="17"/>
  <c r="U640" i="17"/>
  <c r="U436" i="17"/>
  <c r="U443" i="17"/>
  <c r="U447" i="17"/>
  <c r="U454" i="17"/>
  <c r="U458" i="17"/>
  <c r="U465" i="17"/>
  <c r="U476" i="17"/>
  <c r="U480" i="17"/>
  <c r="U487" i="17"/>
  <c r="U502" i="17"/>
  <c r="U507" i="17"/>
  <c r="U513" i="17"/>
  <c r="U517" i="17"/>
  <c r="U524" i="17"/>
  <c r="U535" i="17"/>
  <c r="U546" i="17"/>
  <c r="U557" i="17"/>
  <c r="U645" i="17"/>
  <c r="U649" i="17"/>
  <c r="U653" i="17"/>
  <c r="U657" i="17"/>
  <c r="U661" i="17"/>
  <c r="U665" i="17"/>
  <c r="U669" i="17"/>
  <c r="U673" i="17"/>
  <c r="U677" i="17"/>
  <c r="U681" i="17"/>
  <c r="U685" i="17"/>
  <c r="U372" i="17"/>
  <c r="U376" i="17"/>
  <c r="U380" i="17"/>
  <c r="U384" i="17"/>
  <c r="U388" i="17"/>
  <c r="U392" i="17"/>
  <c r="U396" i="17"/>
  <c r="U400" i="17"/>
  <c r="U404" i="17"/>
  <c r="U408" i="17"/>
  <c r="U412" i="17"/>
  <c r="U416" i="17"/>
  <c r="U420" i="17"/>
  <c r="U424" i="17"/>
  <c r="U428" i="17"/>
  <c r="U440" i="17"/>
  <c r="U451" i="17"/>
  <c r="U462" i="17"/>
  <c r="U469" i="17"/>
  <c r="U473" i="17"/>
  <c r="U484" i="17"/>
  <c r="U491" i="17"/>
  <c r="U495" i="17"/>
  <c r="U499" i="17"/>
  <c r="U510" i="17"/>
  <c r="U521" i="17"/>
  <c r="U528" i="17"/>
  <c r="U532" i="17"/>
  <c r="U539" i="17"/>
  <c r="U543" i="17"/>
  <c r="U550" i="17"/>
  <c r="U554" i="17"/>
  <c r="U637" i="17"/>
  <c r="U641" i="17"/>
  <c r="U433" i="17"/>
  <c r="U444" i="17"/>
  <c r="U455" i="17"/>
  <c r="U466" i="17"/>
  <c r="U477" i="17"/>
  <c r="U488" i="17"/>
  <c r="U503" i="17"/>
  <c r="U514" i="17"/>
  <c r="U525" i="17"/>
  <c r="U536" i="17"/>
  <c r="U547" i="17"/>
  <c r="U558" i="17"/>
  <c r="U646" i="17"/>
  <c r="U650" i="17"/>
  <c r="U654" i="17"/>
  <c r="U658" i="17"/>
  <c r="U662" i="17"/>
  <c r="U666" i="17"/>
  <c r="U670" i="17"/>
  <c r="U674" i="17"/>
  <c r="U678" i="17"/>
  <c r="U682" i="17"/>
  <c r="U686" i="17"/>
  <c r="U373" i="17"/>
  <c r="U377" i="17"/>
  <c r="U381" i="17"/>
  <c r="U385" i="17"/>
  <c r="U389" i="17"/>
  <c r="U393" i="17"/>
  <c r="U397" i="17"/>
  <c r="U401" i="17"/>
  <c r="U405" i="17"/>
  <c r="U409" i="17"/>
  <c r="U413" i="17"/>
  <c r="U417" i="17"/>
  <c r="U421" i="17"/>
  <c r="U425" i="17"/>
  <c r="U429" i="17"/>
  <c r="U437" i="17"/>
  <c r="U442" i="17"/>
  <c r="U448" i="17"/>
  <c r="U452" i="17"/>
  <c r="U459" i="17"/>
  <c r="U463" i="17"/>
  <c r="U470" i="17"/>
  <c r="U474" i="17"/>
  <c r="U481" i="17"/>
  <c r="U485" i="17"/>
  <c r="U492" i="17"/>
  <c r="U496" i="17"/>
  <c r="U500" i="17"/>
  <c r="U506" i="17"/>
  <c r="U511" i="17"/>
  <c r="U518" i="17"/>
  <c r="U522" i="17"/>
  <c r="U529" i="17"/>
  <c r="U533" i="17"/>
  <c r="U540" i="17"/>
  <c r="U551" i="17"/>
  <c r="U638" i="17"/>
  <c r="U642" i="17"/>
  <c r="U434" i="17"/>
  <c r="U445" i="17"/>
  <c r="U456" i="17"/>
  <c r="U467" i="17"/>
  <c r="U478" i="17"/>
  <c r="U489" i="17"/>
  <c r="U504" i="17"/>
  <c r="U515" i="17"/>
  <c r="U526" i="17"/>
  <c r="U537" i="17"/>
  <c r="U544" i="17"/>
  <c r="U548" i="17"/>
  <c r="U555" i="17"/>
  <c r="U559" i="17"/>
  <c r="U647" i="17"/>
  <c r="U651" i="17"/>
  <c r="U655" i="17"/>
  <c r="U659" i="17"/>
  <c r="U663" i="17"/>
  <c r="U667" i="17"/>
  <c r="U671" i="17"/>
  <c r="U675" i="17"/>
  <c r="U679" i="17"/>
  <c r="U683" i="17"/>
  <c r="U687" i="17"/>
  <c r="U374" i="17"/>
  <c r="U378" i="17"/>
  <c r="U382" i="17"/>
  <c r="U386" i="17"/>
  <c r="U390" i="17"/>
  <c r="U394" i="17"/>
  <c r="U398" i="17"/>
  <c r="U402" i="17"/>
  <c r="U406" i="17"/>
  <c r="U410" i="17"/>
  <c r="U414" i="17"/>
  <c r="U418" i="17"/>
  <c r="U422" i="17"/>
  <c r="U426" i="17"/>
  <c r="U430" i="17"/>
  <c r="U438" i="17"/>
  <c r="U449" i="17"/>
  <c r="U460" i="17"/>
  <c r="U471" i="17"/>
  <c r="U475" i="17"/>
  <c r="U482" i="17"/>
  <c r="U493" i="17"/>
  <c r="U501" i="17"/>
  <c r="U508" i="17"/>
  <c r="U512" i="17"/>
  <c r="U519" i="17"/>
  <c r="U530" i="17"/>
  <c r="U541" i="17"/>
  <c r="U552" i="17"/>
  <c r="U639" i="17"/>
  <c r="U643" i="17"/>
  <c r="N30" i="17"/>
  <c r="L30" i="17"/>
  <c r="S30" i="17"/>
  <c r="S286" i="17"/>
  <c r="R286" i="17"/>
  <c r="S289" i="17"/>
  <c r="R289" i="17"/>
  <c r="S293" i="17"/>
  <c r="R293" i="17"/>
  <c r="S297" i="17"/>
  <c r="R297" i="17"/>
  <c r="S266" i="17"/>
  <c r="R266" i="17"/>
  <c r="S285" i="17"/>
  <c r="R285" i="17"/>
  <c r="R290" i="17"/>
  <c r="S279" i="17"/>
  <c r="S329" i="17"/>
  <c r="R348" i="17"/>
  <c r="S348" i="17"/>
  <c r="S283" i="17"/>
  <c r="R284" i="17"/>
  <c r="R288" i="17"/>
  <c r="R292" i="17"/>
  <c r="R296" i="17"/>
  <c r="S330" i="17"/>
  <c r="S281" i="17"/>
  <c r="R283" i="17"/>
  <c r="R347" i="17"/>
  <c r="R354" i="17"/>
  <c r="S354" i="17"/>
  <c r="R360" i="17"/>
  <c r="R357" i="17"/>
  <c r="S357" i="17"/>
  <c r="R353" i="17"/>
  <c r="S353" i="17"/>
  <c r="S346" i="17"/>
  <c r="R343" i="17"/>
  <c r="S345" i="17"/>
  <c r="R351" i="17"/>
  <c r="R356" i="17"/>
  <c r="S356" i="17"/>
  <c r="R364" i="17"/>
  <c r="R341" i="17"/>
  <c r="R349" i="17"/>
  <c r="R355" i="17"/>
  <c r="S355" i="17"/>
  <c r="R358" i="17"/>
  <c r="S358" i="17"/>
  <c r="R366" i="17"/>
  <c r="S360" i="17"/>
  <c r="S362" i="17"/>
  <c r="S364" i="17"/>
  <c r="S366" i="17"/>
  <c r="G46" i="1"/>
  <c r="H46" i="1" s="1"/>
  <c r="J46" i="1" s="1"/>
  <c r="D46" i="1"/>
  <c r="C46" i="1"/>
  <c r="G45" i="1"/>
  <c r="H45" i="1" s="1"/>
  <c r="J45" i="1" s="1"/>
  <c r="D45" i="1"/>
  <c r="C45" i="1"/>
  <c r="G44" i="1"/>
  <c r="H44" i="1" s="1"/>
  <c r="J44" i="1" s="1"/>
  <c r="D44" i="1"/>
  <c r="C44" i="1"/>
  <c r="G43" i="1"/>
  <c r="H43" i="1" s="1"/>
  <c r="J43" i="1" s="1"/>
  <c r="D43" i="1"/>
  <c r="C43" i="1"/>
  <c r="G42" i="1"/>
  <c r="H42" i="1" s="1"/>
  <c r="J42" i="1" s="1"/>
  <c r="D42" i="1"/>
  <c r="C42" i="1"/>
  <c r="G34" i="1"/>
  <c r="H34" i="1" s="1"/>
  <c r="J34" i="1" s="1"/>
  <c r="D34" i="1"/>
  <c r="C34" i="1"/>
  <c r="I25" i="15"/>
  <c r="I24" i="15"/>
  <c r="E62" i="17" l="1"/>
  <c r="G62" i="17" s="1"/>
  <c r="E63" i="17"/>
  <c r="E34" i="17"/>
  <c r="E112" i="17"/>
  <c r="G112" i="17" s="1"/>
  <c r="L112" i="17" s="1"/>
  <c r="E94" i="17"/>
  <c r="G94" i="17" s="1"/>
  <c r="S94" i="17" s="1"/>
  <c r="K9" i="17"/>
  <c r="E114" i="17"/>
  <c r="G114" i="17" s="1"/>
  <c r="L114" i="17" s="1"/>
  <c r="E111" i="17"/>
  <c r="G111" i="17" s="1"/>
  <c r="L111" i="17" s="1"/>
  <c r="K17" i="17"/>
  <c r="K15" i="17"/>
  <c r="K13" i="17"/>
  <c r="K16" i="17"/>
  <c r="K12" i="17"/>
  <c r="K11" i="17"/>
  <c r="E60" i="17"/>
  <c r="G60" i="17" s="1"/>
  <c r="S60" i="17" s="1"/>
  <c r="E69" i="17"/>
  <c r="G69" i="17" s="1"/>
  <c r="N69" i="17" s="1"/>
  <c r="E59" i="17"/>
  <c r="G59" i="17" s="1"/>
  <c r="L59" i="17" s="1"/>
  <c r="E72" i="17"/>
  <c r="G72" i="17" s="1"/>
  <c r="L72" i="17" s="1"/>
  <c r="E104" i="17"/>
  <c r="G104" i="17" s="1"/>
  <c r="N104" i="17" s="1"/>
  <c r="E80" i="17"/>
  <c r="G80" i="17" s="1"/>
  <c r="N80" i="17" s="1"/>
  <c r="E79" i="17"/>
  <c r="G79" i="17" s="1"/>
  <c r="L79" i="17" s="1"/>
  <c r="E68" i="17"/>
  <c r="G68" i="17" s="1"/>
  <c r="L68" i="17" s="1"/>
  <c r="E50" i="17"/>
  <c r="G50" i="17" s="1"/>
  <c r="L50" i="17" s="1"/>
  <c r="E42" i="17"/>
  <c r="G42" i="17" s="1"/>
  <c r="S42" i="17" s="1"/>
  <c r="Q9" i="17"/>
  <c r="E31" i="17"/>
  <c r="G31" i="17" s="1"/>
  <c r="P13" i="17"/>
  <c r="E45" i="17"/>
  <c r="G45" i="17" s="1"/>
  <c r="S45" i="17" s="1"/>
  <c r="R15" i="17"/>
  <c r="H13" i="17"/>
  <c r="P12" i="17"/>
  <c r="S15" i="17"/>
  <c r="R12" i="17"/>
  <c r="O13" i="17"/>
  <c r="E12" i="17"/>
  <c r="Q12" i="17"/>
  <c r="M12" i="17"/>
  <c r="S16" i="17"/>
  <c r="I12" i="17"/>
  <c r="H12" i="17"/>
  <c r="Q15" i="17"/>
  <c r="P15" i="17"/>
  <c r="O3" i="17"/>
  <c r="I15" i="17"/>
  <c r="H15" i="17"/>
  <c r="O12" i="17"/>
  <c r="Q16" i="17"/>
  <c r="N16" i="17"/>
  <c r="O5" i="17"/>
  <c r="J15" i="17"/>
  <c r="L12" i="17"/>
  <c r="E133" i="17"/>
  <c r="G133" i="17" s="1"/>
  <c r="E130" i="17"/>
  <c r="G130" i="17" s="1"/>
  <c r="E120" i="17"/>
  <c r="G120" i="17" s="1"/>
  <c r="E123" i="17"/>
  <c r="G123" i="17" s="1"/>
  <c r="E117" i="17"/>
  <c r="G117" i="17" s="1"/>
  <c r="E118" i="17"/>
  <c r="G118" i="17" s="1"/>
  <c r="E98" i="17"/>
  <c r="G98" i="17" s="1"/>
  <c r="E128" i="17"/>
  <c r="G128" i="17" s="1"/>
  <c r="E78" i="17"/>
  <c r="G78" i="17" s="1"/>
  <c r="E36" i="17"/>
  <c r="E47" i="17"/>
  <c r="G47" i="17" s="1"/>
  <c r="J9" i="17"/>
  <c r="E44" i="17"/>
  <c r="E135" i="17"/>
  <c r="G135" i="17" s="1"/>
  <c r="E139" i="17"/>
  <c r="G139" i="17" s="1"/>
  <c r="E115" i="17"/>
  <c r="G115" i="17" s="1"/>
  <c r="E100" i="17"/>
  <c r="G100" i="17" s="1"/>
  <c r="E55" i="17"/>
  <c r="G55" i="17" s="1"/>
  <c r="E38" i="17"/>
  <c r="M17" i="17"/>
  <c r="M11" i="17"/>
  <c r="Q17" i="17"/>
  <c r="I17" i="17"/>
  <c r="L15" i="17"/>
  <c r="M13" i="17"/>
  <c r="O11" i="17"/>
  <c r="E11" i="17"/>
  <c r="P9" i="17"/>
  <c r="H9" i="17"/>
  <c r="M9" i="17"/>
  <c r="P16" i="17"/>
  <c r="N15" i="17"/>
  <c r="Q11" i="17"/>
  <c r="S9" i="17"/>
  <c r="O7" i="17"/>
  <c r="J17" i="17"/>
  <c r="M15" i="17"/>
  <c r="H11" i="17"/>
  <c r="P17" i="17"/>
  <c r="H17" i="17"/>
  <c r="L13" i="17"/>
  <c r="O9" i="17"/>
  <c r="E9" i="17"/>
  <c r="O17" i="17"/>
  <c r="M16" i="17"/>
  <c r="S13" i="17"/>
  <c r="N17" i="17"/>
  <c r="J16" i="17"/>
  <c r="E15" i="17"/>
  <c r="S11" i="17"/>
  <c r="S17" i="17"/>
  <c r="H16" i="17"/>
  <c r="P11" i="17"/>
  <c r="E17" i="17"/>
  <c r="N11" i="17"/>
  <c r="O4" i="17"/>
  <c r="I13" i="17"/>
  <c r="E16" i="17"/>
  <c r="S12" i="17"/>
  <c r="R9" i="17"/>
  <c r="R13" i="17"/>
  <c r="J13" i="17"/>
  <c r="L11" i="17"/>
  <c r="N9" i="17"/>
  <c r="R16" i="17"/>
  <c r="O15" i="17"/>
  <c r="Q13" i="17"/>
  <c r="I11" i="17"/>
  <c r="R17" i="17"/>
  <c r="J12" i="17"/>
  <c r="O8" i="17"/>
  <c r="L17" i="17"/>
  <c r="R11" i="17"/>
  <c r="J11" i="17"/>
  <c r="L9" i="17"/>
  <c r="O16" i="17"/>
  <c r="N13" i="17"/>
  <c r="I9" i="17"/>
  <c r="E61" i="17"/>
  <c r="G61" i="17" s="1"/>
  <c r="E146" i="17"/>
  <c r="G146" i="17" s="1"/>
  <c r="E131" i="17"/>
  <c r="G131" i="17" s="1"/>
  <c r="E96" i="17"/>
  <c r="G96" i="17" s="1"/>
  <c r="E108" i="17"/>
  <c r="G108" i="17" s="1"/>
  <c r="E77" i="17"/>
  <c r="G77" i="17" s="1"/>
  <c r="E57" i="17"/>
  <c r="G57" i="17" s="1"/>
  <c r="E66" i="17"/>
  <c r="G66" i="17" s="1"/>
  <c r="E64" i="17"/>
  <c r="G64" i="17" s="1"/>
  <c r="E24" i="17"/>
  <c r="E23" i="17"/>
  <c r="G23" i="17" s="1"/>
  <c r="E46" i="17"/>
  <c r="G46" i="17" s="1"/>
  <c r="E58" i="17"/>
  <c r="G58" i="17" s="1"/>
  <c r="E132" i="17"/>
  <c r="G132" i="17" s="1"/>
  <c r="E127" i="17"/>
  <c r="G127" i="17" s="1"/>
  <c r="E116" i="17"/>
  <c r="G116" i="17" s="1"/>
  <c r="E134" i="17"/>
  <c r="G134" i="17" s="1"/>
  <c r="E110" i="17"/>
  <c r="G110" i="17" s="1"/>
  <c r="E105" i="17"/>
  <c r="G105" i="17" s="1"/>
  <c r="E84" i="17"/>
  <c r="G84" i="17" s="1"/>
  <c r="E56" i="17"/>
  <c r="G56" i="17" s="1"/>
  <c r="E65" i="17"/>
  <c r="G65" i="17" s="1"/>
  <c r="E26" i="17"/>
  <c r="G26" i="17" s="1"/>
  <c r="E27" i="17"/>
  <c r="G27" i="17" s="1"/>
  <c r="E142" i="17"/>
  <c r="G142" i="17" s="1"/>
  <c r="E144" i="17"/>
  <c r="G144" i="17" s="1"/>
  <c r="E141" i="17"/>
  <c r="G141" i="17" s="1"/>
  <c r="E122" i="17"/>
  <c r="G122" i="17" s="1"/>
  <c r="E88" i="17"/>
  <c r="G88" i="17" s="1"/>
  <c r="E97" i="17"/>
  <c r="G97" i="17" s="1"/>
  <c r="E107" i="17"/>
  <c r="G107" i="17" s="1"/>
  <c r="E37" i="17"/>
  <c r="E25" i="17"/>
  <c r="L16" i="17"/>
  <c r="E40" i="17"/>
  <c r="G40" i="17" s="1"/>
  <c r="I16" i="17"/>
  <c r="E49" i="17"/>
  <c r="G49" i="17" s="1"/>
  <c r="E145" i="17"/>
  <c r="G145" i="17" s="1"/>
  <c r="E138" i="17"/>
  <c r="G138" i="17" s="1"/>
  <c r="E125" i="17"/>
  <c r="G125" i="17" s="1"/>
  <c r="E129" i="17"/>
  <c r="G129" i="17" s="1"/>
  <c r="E74" i="17"/>
  <c r="G74" i="17" s="1"/>
  <c r="E75" i="17"/>
  <c r="G75" i="17" s="1"/>
  <c r="E86" i="17"/>
  <c r="G86" i="17" s="1"/>
  <c r="E76" i="17"/>
  <c r="G76" i="17" s="1"/>
  <c r="E35" i="17"/>
  <c r="G35" i="17" s="1"/>
  <c r="E140" i="17"/>
  <c r="G140" i="17" s="1"/>
  <c r="E124" i="17"/>
  <c r="G124" i="17" s="1"/>
  <c r="E126" i="17"/>
  <c r="G126" i="17" s="1"/>
  <c r="E121" i="17"/>
  <c r="G121" i="17" s="1"/>
  <c r="E85" i="17"/>
  <c r="G85" i="17" s="1"/>
  <c r="E106" i="17"/>
  <c r="G106" i="17" s="1"/>
  <c r="E99" i="17"/>
  <c r="G99" i="17" s="1"/>
  <c r="E83" i="17"/>
  <c r="G83" i="17" s="1"/>
  <c r="E29" i="17"/>
  <c r="G29" i="17" s="1"/>
  <c r="E39" i="17"/>
  <c r="E13" i="17"/>
  <c r="E102" i="17"/>
  <c r="G102" i="17" s="1"/>
  <c r="E82" i="17"/>
  <c r="G82" i="17" s="1"/>
  <c r="E103" i="17"/>
  <c r="G103" i="17" s="1"/>
  <c r="E89" i="17"/>
  <c r="G89" i="17" s="1"/>
  <c r="E92" i="17"/>
  <c r="G92" i="17" s="1"/>
  <c r="E101" i="17"/>
  <c r="G101" i="17" s="1"/>
  <c r="E113" i="17"/>
  <c r="G113" i="17" s="1"/>
  <c r="E91" i="17"/>
  <c r="G91" i="17" s="1"/>
  <c r="E90" i="17"/>
  <c r="G90" i="17" s="1"/>
  <c r="E93" i="17"/>
  <c r="G93" i="17" s="1"/>
  <c r="E70" i="17"/>
  <c r="G70" i="17" s="1"/>
  <c r="E81" i="17"/>
  <c r="G81" i="17" s="1"/>
  <c r="E67" i="17"/>
  <c r="G67" i="17" s="1"/>
  <c r="E71" i="17"/>
  <c r="G71" i="17" s="1"/>
  <c r="E32" i="17"/>
  <c r="G32" i="17" s="1"/>
  <c r="E53" i="17"/>
  <c r="G53" i="17" s="1"/>
  <c r="E48" i="17"/>
  <c r="G48" i="17" s="1"/>
  <c r="E43" i="17"/>
  <c r="E41" i="17"/>
  <c r="G41" i="17" s="1"/>
  <c r="E52" i="17"/>
  <c r="G52" i="17" s="1"/>
  <c r="E33" i="17"/>
  <c r="G33" i="17" s="1"/>
  <c r="E51" i="17"/>
  <c r="G51" i="17" s="1"/>
  <c r="E143" i="17"/>
  <c r="G143" i="17" s="1"/>
  <c r="E147" i="17"/>
  <c r="G147" i="17" s="1"/>
  <c r="E137" i="17"/>
  <c r="G137" i="17" s="1"/>
  <c r="E136" i="17"/>
  <c r="G136" i="17" s="1"/>
  <c r="E95" i="17"/>
  <c r="G95" i="17" s="1"/>
  <c r="E109" i="17"/>
  <c r="G109" i="17" s="1"/>
  <c r="E119" i="17"/>
  <c r="G119" i="17" s="1"/>
  <c r="E87" i="17"/>
  <c r="G87" i="17" s="1"/>
  <c r="E73" i="17"/>
  <c r="G73" i="17" s="1"/>
  <c r="E54" i="17"/>
  <c r="E28" i="17"/>
  <c r="G30" i="1"/>
  <c r="H30" i="1" s="1"/>
  <c r="J30" i="1" s="1"/>
  <c r="D30" i="1"/>
  <c r="C30" i="1"/>
  <c r="G29" i="1"/>
  <c r="H29" i="1" s="1"/>
  <c r="J29" i="1" s="1"/>
  <c r="D29" i="1"/>
  <c r="C29" i="1"/>
  <c r="G32" i="1"/>
  <c r="H32" i="1" s="1"/>
  <c r="J32" i="1" s="1"/>
  <c r="D32" i="1"/>
  <c r="C32" i="1"/>
  <c r="G31" i="1"/>
  <c r="H31" i="1" s="1"/>
  <c r="J31" i="1" s="1"/>
  <c r="D31" i="1"/>
  <c r="C31" i="1"/>
  <c r="C53" i="2"/>
  <c r="C52" i="2"/>
  <c r="C51" i="2"/>
  <c r="C50" i="2"/>
  <c r="C56" i="2"/>
  <c r="C55" i="2"/>
  <c r="C54" i="2"/>
  <c r="G54" i="17" l="1"/>
  <c r="N54" i="17" s="1"/>
  <c r="E7" i="13"/>
  <c r="G44" i="17"/>
  <c r="L44" i="17" s="1"/>
  <c r="E5" i="13"/>
  <c r="E4" i="13"/>
  <c r="E3" i="13"/>
  <c r="G63" i="17"/>
  <c r="S62" i="17"/>
  <c r="L62" i="17"/>
  <c r="N62" i="17"/>
  <c r="E8" i="17"/>
  <c r="N114" i="17"/>
  <c r="S114" i="17"/>
  <c r="E7" i="17"/>
  <c r="L94" i="17"/>
  <c r="N112" i="17"/>
  <c r="S112" i="17"/>
  <c r="N111" i="17"/>
  <c r="L80" i="17"/>
  <c r="S111" i="17"/>
  <c r="S80" i="17"/>
  <c r="N94" i="17"/>
  <c r="N60" i="17"/>
  <c r="L60" i="17"/>
  <c r="S69" i="17"/>
  <c r="L69" i="17"/>
  <c r="S59" i="17"/>
  <c r="L42" i="17"/>
  <c r="N59" i="17"/>
  <c r="N50" i="17"/>
  <c r="S50" i="17"/>
  <c r="S104" i="17"/>
  <c r="N72" i="17"/>
  <c r="S72" i="17"/>
  <c r="K14" i="17"/>
  <c r="K18" i="17"/>
  <c r="Q18" i="17"/>
  <c r="N79" i="17"/>
  <c r="P18" i="17"/>
  <c r="S79" i="17"/>
  <c r="H14" i="17"/>
  <c r="J18" i="17"/>
  <c r="S68" i="17"/>
  <c r="N68" i="17"/>
  <c r="L45" i="17"/>
  <c r="N45" i="17"/>
  <c r="O14" i="17"/>
  <c r="E5" i="17"/>
  <c r="H18" i="17"/>
  <c r="L14" i="17"/>
  <c r="N42" i="17"/>
  <c r="L104" i="17"/>
  <c r="S18" i="17"/>
  <c r="P14" i="17"/>
  <c r="O6" i="17"/>
  <c r="I18" i="17"/>
  <c r="R18" i="17"/>
  <c r="M18" i="17"/>
  <c r="O18" i="17"/>
  <c r="R14" i="17"/>
  <c r="I14" i="17"/>
  <c r="N18" i="17"/>
  <c r="L113" i="17"/>
  <c r="S113" i="17"/>
  <c r="N113" i="17"/>
  <c r="S109" i="17"/>
  <c r="L109" i="17"/>
  <c r="N109" i="17"/>
  <c r="S52" i="17"/>
  <c r="L52" i="17"/>
  <c r="N52" i="17"/>
  <c r="N67" i="17"/>
  <c r="L67" i="17"/>
  <c r="S67" i="17"/>
  <c r="N92" i="17"/>
  <c r="S92" i="17"/>
  <c r="L92" i="17"/>
  <c r="N29" i="17"/>
  <c r="L29" i="17"/>
  <c r="S29" i="17"/>
  <c r="S140" i="17"/>
  <c r="N140" i="17"/>
  <c r="L140" i="17"/>
  <c r="L74" i="17"/>
  <c r="S74" i="17"/>
  <c r="N74" i="17"/>
  <c r="N107" i="17"/>
  <c r="S107" i="17"/>
  <c r="L107" i="17"/>
  <c r="N110" i="17"/>
  <c r="S110" i="17"/>
  <c r="L110" i="17"/>
  <c r="L64" i="17"/>
  <c r="N64" i="17"/>
  <c r="S64" i="17"/>
  <c r="N61" i="17"/>
  <c r="L61" i="17"/>
  <c r="S61" i="17"/>
  <c r="Q14" i="17"/>
  <c r="S115" i="17"/>
  <c r="N115" i="17"/>
  <c r="L115" i="17"/>
  <c r="G36" i="17"/>
  <c r="S123" i="17"/>
  <c r="N123" i="17"/>
  <c r="L123" i="17"/>
  <c r="L95" i="17"/>
  <c r="N95" i="17"/>
  <c r="S95" i="17"/>
  <c r="L41" i="17"/>
  <c r="S41" i="17"/>
  <c r="N41" i="17"/>
  <c r="N81" i="17"/>
  <c r="L81" i="17"/>
  <c r="S81" i="17"/>
  <c r="L89" i="17"/>
  <c r="S89" i="17"/>
  <c r="N89" i="17"/>
  <c r="L83" i="17"/>
  <c r="S83" i="17"/>
  <c r="N83" i="17"/>
  <c r="L129" i="17"/>
  <c r="N129" i="17"/>
  <c r="S129" i="17"/>
  <c r="S40" i="17"/>
  <c r="L40" i="17"/>
  <c r="N40" i="17"/>
  <c r="L97" i="17"/>
  <c r="N97" i="17"/>
  <c r="S97" i="17"/>
  <c r="S134" i="17"/>
  <c r="L134" i="17"/>
  <c r="N134" i="17"/>
  <c r="L66" i="17"/>
  <c r="S66" i="17"/>
  <c r="N66" i="17"/>
  <c r="N14" i="17"/>
  <c r="S139" i="17"/>
  <c r="L139" i="17"/>
  <c r="N139" i="17"/>
  <c r="S78" i="17"/>
  <c r="N78" i="17"/>
  <c r="L78" i="17"/>
  <c r="S120" i="17"/>
  <c r="N120" i="17"/>
  <c r="L120" i="17"/>
  <c r="N147" i="17"/>
  <c r="S147" i="17"/>
  <c r="L147" i="17"/>
  <c r="L136" i="17"/>
  <c r="S136" i="17"/>
  <c r="N136" i="17"/>
  <c r="G43" i="17"/>
  <c r="L70" i="17"/>
  <c r="S70" i="17"/>
  <c r="N70" i="17"/>
  <c r="L103" i="17"/>
  <c r="S103" i="17"/>
  <c r="N103" i="17"/>
  <c r="L99" i="17"/>
  <c r="S99" i="17"/>
  <c r="N99" i="17"/>
  <c r="N125" i="17"/>
  <c r="S125" i="17"/>
  <c r="L125" i="17"/>
  <c r="S88" i="17"/>
  <c r="L88" i="17"/>
  <c r="N88" i="17"/>
  <c r="L27" i="17"/>
  <c r="N27" i="17"/>
  <c r="S27" i="17"/>
  <c r="L116" i="17"/>
  <c r="S116" i="17"/>
  <c r="N116" i="17"/>
  <c r="S57" i="17"/>
  <c r="L57" i="17"/>
  <c r="N57" i="17"/>
  <c r="L135" i="17"/>
  <c r="S135" i="17"/>
  <c r="N135" i="17"/>
  <c r="L128" i="17"/>
  <c r="N128" i="17"/>
  <c r="S128" i="17"/>
  <c r="L130" i="17"/>
  <c r="N130" i="17"/>
  <c r="S130" i="17"/>
  <c r="E3" i="17"/>
  <c r="G28" i="17"/>
  <c r="N137" i="17"/>
  <c r="S137" i="17"/>
  <c r="L137" i="17"/>
  <c r="N48" i="17"/>
  <c r="L48" i="17"/>
  <c r="S48" i="17"/>
  <c r="L93" i="17"/>
  <c r="N93" i="17"/>
  <c r="S93" i="17"/>
  <c r="S82" i="17"/>
  <c r="L82" i="17"/>
  <c r="N82" i="17"/>
  <c r="N106" i="17"/>
  <c r="L106" i="17"/>
  <c r="S106" i="17"/>
  <c r="L138" i="17"/>
  <c r="N138" i="17"/>
  <c r="S138" i="17"/>
  <c r="N122" i="17"/>
  <c r="L122" i="17"/>
  <c r="S122" i="17"/>
  <c r="L26" i="17"/>
  <c r="S26" i="17"/>
  <c r="N26" i="17"/>
  <c r="S127" i="17"/>
  <c r="L127" i="17"/>
  <c r="N127" i="17"/>
  <c r="S77" i="17"/>
  <c r="N77" i="17"/>
  <c r="L77" i="17"/>
  <c r="J14" i="17"/>
  <c r="M14" i="17"/>
  <c r="L133" i="17"/>
  <c r="S133" i="17"/>
  <c r="N133" i="17"/>
  <c r="N53" i="17"/>
  <c r="S53" i="17"/>
  <c r="L53" i="17"/>
  <c r="S102" i="17"/>
  <c r="L102" i="17"/>
  <c r="N102" i="17"/>
  <c r="L145" i="17"/>
  <c r="S145" i="17"/>
  <c r="N145" i="17"/>
  <c r="L141" i="17"/>
  <c r="S141" i="17"/>
  <c r="N141" i="17"/>
  <c r="N65" i="17"/>
  <c r="L65" i="17"/>
  <c r="S65" i="17"/>
  <c r="L132" i="17"/>
  <c r="S132" i="17"/>
  <c r="N132" i="17"/>
  <c r="L108" i="17"/>
  <c r="N108" i="17"/>
  <c r="S108" i="17"/>
  <c r="E4" i="17"/>
  <c r="E14" i="17"/>
  <c r="S31" i="17"/>
  <c r="L31" i="17"/>
  <c r="N31" i="17"/>
  <c r="S90" i="17"/>
  <c r="L90" i="17"/>
  <c r="N90" i="17"/>
  <c r="S85" i="17"/>
  <c r="L85" i="17"/>
  <c r="N85" i="17"/>
  <c r="L35" i="17"/>
  <c r="S35" i="17"/>
  <c r="N35" i="17"/>
  <c r="N73" i="17"/>
  <c r="L73" i="17"/>
  <c r="S73" i="17"/>
  <c r="L143" i="17"/>
  <c r="S143" i="17"/>
  <c r="N143" i="17"/>
  <c r="N32" i="17"/>
  <c r="L32" i="17"/>
  <c r="S32" i="17"/>
  <c r="L91" i="17"/>
  <c r="S91" i="17"/>
  <c r="N91" i="17"/>
  <c r="L121" i="17"/>
  <c r="S121" i="17"/>
  <c r="N121" i="17"/>
  <c r="S76" i="17"/>
  <c r="L76" i="17"/>
  <c r="N76" i="17"/>
  <c r="G25" i="17"/>
  <c r="S144" i="17"/>
  <c r="L144" i="17"/>
  <c r="N144" i="17"/>
  <c r="S56" i="17"/>
  <c r="N56" i="17"/>
  <c r="L56" i="17"/>
  <c r="S46" i="17"/>
  <c r="N46" i="17"/>
  <c r="L46" i="17"/>
  <c r="S96" i="17"/>
  <c r="L96" i="17"/>
  <c r="N96" i="17"/>
  <c r="S14" i="17"/>
  <c r="G38" i="17"/>
  <c r="L98" i="17"/>
  <c r="S98" i="17"/>
  <c r="N98" i="17"/>
  <c r="L51" i="17"/>
  <c r="N51" i="17"/>
  <c r="S51" i="17"/>
  <c r="G34" i="17"/>
  <c r="S126" i="17"/>
  <c r="L126" i="17"/>
  <c r="N126" i="17"/>
  <c r="L86" i="17"/>
  <c r="S86" i="17"/>
  <c r="N86" i="17"/>
  <c r="S49" i="17"/>
  <c r="N49" i="17"/>
  <c r="L49" i="17"/>
  <c r="G37" i="17"/>
  <c r="L142" i="17"/>
  <c r="S142" i="17"/>
  <c r="N142" i="17"/>
  <c r="S84" i="17"/>
  <c r="N84" i="17"/>
  <c r="L84" i="17"/>
  <c r="L23" i="17"/>
  <c r="N23" i="17"/>
  <c r="S23" i="17"/>
  <c r="L131" i="17"/>
  <c r="S131" i="17"/>
  <c r="N131" i="17"/>
  <c r="E18" i="17"/>
  <c r="O10" i="17"/>
  <c r="L55" i="17"/>
  <c r="N55" i="17"/>
  <c r="S55" i="17"/>
  <c r="L118" i="17"/>
  <c r="N118" i="17"/>
  <c r="S118" i="17"/>
  <c r="L87" i="17"/>
  <c r="S87" i="17"/>
  <c r="N87" i="17"/>
  <c r="N119" i="17"/>
  <c r="S119" i="17"/>
  <c r="L119" i="17"/>
  <c r="N33" i="17"/>
  <c r="S33" i="17"/>
  <c r="L33" i="17"/>
  <c r="S71" i="17"/>
  <c r="N71" i="17"/>
  <c r="L71" i="17"/>
  <c r="L101" i="17"/>
  <c r="N101" i="17"/>
  <c r="S101" i="17"/>
  <c r="G39" i="17"/>
  <c r="L124" i="17"/>
  <c r="S124" i="17"/>
  <c r="N124" i="17"/>
  <c r="L75" i="17"/>
  <c r="S75" i="17"/>
  <c r="N75" i="17"/>
  <c r="N105" i="17"/>
  <c r="L105" i="17"/>
  <c r="S105" i="17"/>
  <c r="N58" i="17"/>
  <c r="S58" i="17"/>
  <c r="L58" i="17"/>
  <c r="G24" i="17"/>
  <c r="N146" i="17"/>
  <c r="L146" i="17"/>
  <c r="S146" i="17"/>
  <c r="L18" i="17"/>
  <c r="N100" i="17"/>
  <c r="L100" i="17"/>
  <c r="S100" i="17"/>
  <c r="L47" i="17"/>
  <c r="N47" i="17"/>
  <c r="S47" i="17"/>
  <c r="L117" i="17"/>
  <c r="N117" i="17"/>
  <c r="S117" i="17"/>
  <c r="C42" i="2"/>
  <c r="D20" i="4"/>
  <c r="D19" i="4"/>
  <c r="D18" i="4"/>
  <c r="D17" i="4"/>
  <c r="D16" i="4"/>
  <c r="D15" i="4"/>
  <c r="D14" i="4"/>
  <c r="D13" i="4"/>
  <c r="L54" i="17" l="1"/>
  <c r="S54" i="17"/>
  <c r="N44" i="17"/>
  <c r="N5" i="13" s="1"/>
  <c r="S44" i="17"/>
  <c r="S5" i="17" s="1"/>
  <c r="L5" i="13"/>
  <c r="L63" i="17"/>
  <c r="S63" i="17"/>
  <c r="N63" i="17"/>
  <c r="N7" i="17" s="1"/>
  <c r="L8" i="17"/>
  <c r="N8" i="17"/>
  <c r="E10" i="17"/>
  <c r="S8" i="17"/>
  <c r="L5" i="17"/>
  <c r="O19" i="17"/>
  <c r="S34" i="17"/>
  <c r="N34" i="17"/>
  <c r="L34" i="17"/>
  <c r="N38" i="17"/>
  <c r="S38" i="17"/>
  <c r="L38" i="17"/>
  <c r="L39" i="17"/>
  <c r="N39" i="17"/>
  <c r="S39" i="17"/>
  <c r="S25" i="17"/>
  <c r="L25" i="17"/>
  <c r="N25" i="17"/>
  <c r="L24" i="17"/>
  <c r="N24" i="17"/>
  <c r="S24" i="17"/>
  <c r="S28" i="17"/>
  <c r="N28" i="17"/>
  <c r="L28" i="17"/>
  <c r="S43" i="17"/>
  <c r="L43" i="17"/>
  <c r="N43" i="17"/>
  <c r="L36" i="17"/>
  <c r="N36" i="17"/>
  <c r="S36" i="17"/>
  <c r="E6" i="17"/>
  <c r="S37" i="17"/>
  <c r="L37" i="17"/>
  <c r="N37" i="17"/>
  <c r="D12" i="4"/>
  <c r="X35" i="14"/>
  <c r="X34" i="14"/>
  <c r="W34" i="14"/>
  <c r="X46" i="14"/>
  <c r="X44" i="14"/>
  <c r="X42" i="14"/>
  <c r="W333" i="14"/>
  <c r="V333" i="14"/>
  <c r="L333" i="14"/>
  <c r="K333" i="14"/>
  <c r="W332" i="14"/>
  <c r="V332" i="14"/>
  <c r="L332" i="14"/>
  <c r="K332" i="14"/>
  <c r="W331" i="14"/>
  <c r="V331" i="14"/>
  <c r="L331" i="14"/>
  <c r="K331" i="14"/>
  <c r="W330" i="14"/>
  <c r="V330" i="14"/>
  <c r="L330" i="14"/>
  <c r="K330" i="14"/>
  <c r="W321" i="14"/>
  <c r="V321" i="14"/>
  <c r="L321" i="14"/>
  <c r="K321" i="14"/>
  <c r="W320" i="14"/>
  <c r="V320" i="14"/>
  <c r="L320" i="14"/>
  <c r="K320" i="14"/>
  <c r="W319" i="14"/>
  <c r="V319" i="14"/>
  <c r="L319" i="14"/>
  <c r="K319" i="14"/>
  <c r="W318" i="14"/>
  <c r="V318" i="14"/>
  <c r="L318" i="14"/>
  <c r="K318" i="14"/>
  <c r="X45" i="14"/>
  <c r="X43" i="14"/>
  <c r="X41" i="14"/>
  <c r="I17" i="15"/>
  <c r="I16" i="15"/>
  <c r="I15" i="15"/>
  <c r="I14" i="15"/>
  <c r="G26" i="1"/>
  <c r="H26" i="1" s="1"/>
  <c r="J26" i="1" s="1"/>
  <c r="D26" i="1"/>
  <c r="C26" i="1"/>
  <c r="G25" i="1"/>
  <c r="H25" i="1" s="1"/>
  <c r="J25" i="1" s="1"/>
  <c r="D25" i="1"/>
  <c r="C25" i="1"/>
  <c r="G24" i="1"/>
  <c r="H24" i="1" s="1"/>
  <c r="J24" i="1" s="1"/>
  <c r="D24" i="1"/>
  <c r="C24" i="1"/>
  <c r="G23" i="1"/>
  <c r="H23" i="1" s="1"/>
  <c r="J23" i="1" s="1"/>
  <c r="D23" i="1"/>
  <c r="C23" i="1"/>
  <c r="A375" i="14"/>
  <c r="A368" i="14"/>
  <c r="A369" i="14"/>
  <c r="A366" i="14"/>
  <c r="A367" i="14"/>
  <c r="A318" i="14"/>
  <c r="A374" i="14"/>
  <c r="A332" i="14"/>
  <c r="A320" i="14"/>
  <c r="A319" i="14"/>
  <c r="A34" i="14"/>
  <c r="A378" i="14"/>
  <c r="A331" i="14"/>
  <c r="A321" i="14"/>
  <c r="A330" i="14"/>
  <c r="A376" i="14"/>
  <c r="A377" i="14"/>
  <c r="A333" i="14"/>
  <c r="L7" i="17" l="1"/>
  <c r="L10" i="17" s="1"/>
  <c r="N5" i="17"/>
  <c r="S7" i="17"/>
  <c r="S10" i="17" s="1"/>
  <c r="S5" i="13"/>
  <c r="L7" i="13"/>
  <c r="S7" i="13"/>
  <c r="N7" i="13"/>
  <c r="N4" i="13"/>
  <c r="S4" i="13"/>
  <c r="L4" i="13"/>
  <c r="S3" i="13"/>
  <c r="N3" i="13"/>
  <c r="L3" i="13"/>
  <c r="E19" i="17"/>
  <c r="N10" i="17"/>
  <c r="N3" i="17"/>
  <c r="L3" i="17"/>
  <c r="S3" i="17"/>
  <c r="N4" i="17"/>
  <c r="S4" i="17"/>
  <c r="L4" i="17"/>
  <c r="R319" i="14"/>
  <c r="T319" i="14" s="1"/>
  <c r="R321" i="14"/>
  <c r="T321" i="14" s="1"/>
  <c r="S333" i="14"/>
  <c r="S332" i="14"/>
  <c r="V375" i="14"/>
  <c r="V374" i="14"/>
  <c r="V376" i="14"/>
  <c r="V378" i="14"/>
  <c r="V377" i="14"/>
  <c r="V366" i="14"/>
  <c r="V368" i="14"/>
  <c r="V367" i="14"/>
  <c r="V369" i="14"/>
  <c r="V34" i="14"/>
  <c r="S321" i="14"/>
  <c r="S331" i="14"/>
  <c r="S319" i="14"/>
  <c r="S320" i="14"/>
  <c r="R333" i="14"/>
  <c r="T333" i="14" s="1"/>
  <c r="R331" i="14"/>
  <c r="T331" i="14" s="1"/>
  <c r="S330" i="14"/>
  <c r="S318" i="14"/>
  <c r="R318" i="14"/>
  <c r="T318" i="14" s="1"/>
  <c r="R320" i="14"/>
  <c r="T320" i="14" s="1"/>
  <c r="R330" i="14"/>
  <c r="T330" i="14" s="1"/>
  <c r="R332" i="14"/>
  <c r="T332" i="14" s="1"/>
  <c r="I21" i="16"/>
  <c r="I22" i="16"/>
  <c r="H21" i="16"/>
  <c r="H22" i="16"/>
  <c r="N6" i="17" l="1"/>
  <c r="N19" i="17" s="1"/>
  <c r="N262" i="17" s="1"/>
  <c r="S6" i="17"/>
  <c r="S19" i="17" s="1"/>
  <c r="S262" i="17" s="1"/>
  <c r="L6" i="17" l="1"/>
  <c r="L19" i="17" s="1"/>
  <c r="G15" i="1"/>
  <c r="H15" i="1" s="1"/>
  <c r="J15" i="1" s="1"/>
  <c r="D15" i="1"/>
  <c r="C15" i="1"/>
  <c r="G14" i="1"/>
  <c r="H14" i="1" s="1"/>
  <c r="J14" i="1" s="1"/>
  <c r="D14" i="1"/>
  <c r="C14" i="1"/>
  <c r="X33" i="14"/>
  <c r="X32" i="14"/>
  <c r="D125" i="7" l="1"/>
  <c r="I28" i="16"/>
  <c r="I27" i="16"/>
  <c r="H27" i="16"/>
  <c r="H28" i="16"/>
  <c r="G28" i="16"/>
  <c r="G27" i="16"/>
  <c r="A28" i="16"/>
  <c r="A27" i="16"/>
  <c r="G13" i="1"/>
  <c r="H13" i="1" s="1"/>
  <c r="J13" i="1" s="1"/>
  <c r="D13" i="1"/>
  <c r="C13" i="1"/>
  <c r="G12" i="1"/>
  <c r="H12" i="1" s="1"/>
  <c r="J12" i="1" s="1"/>
  <c r="D12" i="1"/>
  <c r="C12" i="1"/>
  <c r="C25" i="2"/>
  <c r="C28" i="2" l="1"/>
  <c r="C27" i="2"/>
  <c r="C26" i="2"/>
  <c r="C32" i="2"/>
  <c r="C31" i="2"/>
  <c r="C30" i="2"/>
  <c r="C29" i="2"/>
  <c r="M9" i="15" l="1"/>
  <c r="I9" i="15"/>
  <c r="M8" i="15"/>
  <c r="I8" i="15"/>
  <c r="D9" i="4" l="1"/>
  <c r="D7" i="4"/>
  <c r="D8" i="4"/>
  <c r="D10" i="4"/>
  <c r="D6" i="4"/>
  <c r="D5" i="4"/>
  <c r="D4" i="4"/>
  <c r="D3" i="4"/>
  <c r="X31" i="14"/>
  <c r="X30" i="14"/>
  <c r="V625" i="14"/>
  <c r="V624" i="14"/>
  <c r="V622" i="14"/>
  <c r="V621" i="14"/>
  <c r="V619" i="14"/>
  <c r="V618" i="14"/>
  <c r="V616" i="14"/>
  <c r="V615" i="14"/>
  <c r="V613" i="14"/>
  <c r="V612" i="14"/>
  <c r="V610" i="14"/>
  <c r="V609" i="14"/>
  <c r="V607" i="14"/>
  <c r="V606" i="14"/>
  <c r="V604" i="14"/>
  <c r="V603" i="14"/>
  <c r="V601" i="14"/>
  <c r="V600" i="14"/>
  <c r="V598" i="14"/>
  <c r="V597" i="14"/>
  <c r="V595" i="14"/>
  <c r="V594" i="14"/>
  <c r="V592" i="14"/>
  <c r="V591" i="14"/>
  <c r="V589" i="14"/>
  <c r="V588" i="14"/>
  <c r="V586" i="14"/>
  <c r="V585" i="14"/>
  <c r="V583" i="14"/>
  <c r="V582" i="14"/>
  <c r="V580" i="14"/>
  <c r="V579" i="14"/>
  <c r="V577" i="14"/>
  <c r="V576" i="14"/>
  <c r="V574" i="14"/>
  <c r="V573" i="14"/>
  <c r="V571" i="14"/>
  <c r="V570" i="14"/>
  <c r="V568" i="14"/>
  <c r="V567" i="14"/>
  <c r="V565" i="14"/>
  <c r="V564" i="14"/>
  <c r="V562" i="14"/>
  <c r="V561" i="14"/>
  <c r="V559" i="14"/>
  <c r="V558" i="14"/>
  <c r="V556" i="14"/>
  <c r="V555" i="14"/>
  <c r="V552" i="14"/>
  <c r="D2" i="4" l="1"/>
  <c r="E2" i="4" s="1"/>
  <c r="G9" i="1" l="1"/>
  <c r="H9" i="1" s="1"/>
  <c r="J9" i="1" s="1"/>
  <c r="D9" i="1"/>
  <c r="C9" i="1"/>
  <c r="G8" i="1"/>
  <c r="H8" i="1" s="1"/>
  <c r="J8" i="1" s="1"/>
  <c r="D8" i="1"/>
  <c r="C8" i="1"/>
  <c r="G11" i="1"/>
  <c r="H11" i="1" s="1"/>
  <c r="J11" i="1" s="1"/>
  <c r="D11" i="1"/>
  <c r="C11" i="1"/>
  <c r="G10" i="1"/>
  <c r="H10" i="1" s="1"/>
  <c r="J10" i="1" s="1"/>
  <c r="D10" i="1"/>
  <c r="C10" i="1"/>
  <c r="G16" i="1"/>
  <c r="H16" i="1" s="1"/>
  <c r="J16" i="1" s="1"/>
  <c r="D16" i="1"/>
  <c r="C16" i="1"/>
  <c r="E581" i="14" l="1"/>
  <c r="V575" i="14" l="1"/>
  <c r="E575" i="14"/>
  <c r="V572" i="14"/>
  <c r="E572" i="14"/>
  <c r="V563" i="14"/>
  <c r="E563" i="14"/>
  <c r="V560" i="14"/>
  <c r="E560" i="14"/>
  <c r="V557" i="14"/>
  <c r="E557" i="14"/>
  <c r="V554" i="14"/>
  <c r="E554" i="14"/>
  <c r="V553" i="14"/>
  <c r="V569" i="14"/>
  <c r="E569" i="14"/>
  <c r="V566" i="14"/>
  <c r="E566" i="14"/>
  <c r="E587" i="14"/>
  <c r="E497" i="14"/>
  <c r="E492" i="14"/>
  <c r="V488" i="14"/>
  <c r="A489" i="14"/>
  <c r="A566" i="14"/>
  <c r="A572" i="14"/>
  <c r="A496" i="14"/>
  <c r="A554" i="14"/>
  <c r="A514" i="14"/>
  <c r="A567" i="14"/>
  <c r="A536" i="14"/>
  <c r="A569" i="14"/>
  <c r="A561" i="14"/>
  <c r="A560" i="14"/>
  <c r="A574" i="14"/>
  <c r="A549" i="14"/>
  <c r="A575" i="14"/>
  <c r="A555" i="14"/>
  <c r="A559" i="14"/>
  <c r="A535" i="14"/>
  <c r="A495" i="14"/>
  <c r="A543" i="14"/>
  <c r="A547" i="14"/>
  <c r="A519" i="14"/>
  <c r="A533" i="14"/>
  <c r="A491" i="14"/>
  <c r="A493" i="14"/>
  <c r="A564" i="14"/>
  <c r="A562" i="14"/>
  <c r="A540" i="14"/>
  <c r="A565" i="14"/>
  <c r="A568" i="14"/>
  <c r="A542" i="14"/>
  <c r="A541" i="14"/>
  <c r="A551" i="14"/>
  <c r="A545" i="14"/>
  <c r="A532" i="14"/>
  <c r="A553" i="14"/>
  <c r="A550" i="14"/>
  <c r="A539" i="14"/>
  <c r="A548" i="14"/>
  <c r="A570" i="14"/>
  <c r="A558" i="14"/>
  <c r="A497" i="14"/>
  <c r="A573" i="14"/>
  <c r="A557" i="14"/>
  <c r="A546" i="14"/>
  <c r="A538" i="14"/>
  <c r="A534" i="14"/>
  <c r="A563" i="14"/>
  <c r="A552" i="14"/>
  <c r="A556" i="14"/>
  <c r="A492" i="14"/>
  <c r="A530" i="14"/>
  <c r="A531" i="14"/>
  <c r="A490" i="14"/>
  <c r="A544" i="14"/>
  <c r="A537" i="14"/>
  <c r="A571" i="14"/>
  <c r="A494" i="14"/>
  <c r="V493" i="14" l="1"/>
  <c r="V497" i="14"/>
  <c r="V491" i="14"/>
  <c r="V496" i="14"/>
  <c r="V490" i="14"/>
  <c r="V495" i="14"/>
  <c r="V492" i="14"/>
  <c r="V489" i="14"/>
  <c r="V494" i="14"/>
  <c r="C300" i="2"/>
  <c r="A75" i="14"/>
  <c r="A80" i="14"/>
  <c r="A77" i="14"/>
  <c r="A76" i="14"/>
  <c r="A79" i="14"/>
  <c r="A69" i="14"/>
  <c r="A70" i="14"/>
  <c r="A73" i="14"/>
  <c r="A72" i="14"/>
  <c r="A78" i="14"/>
  <c r="A71" i="14"/>
  <c r="A74" i="14"/>
  <c r="V578" i="14" l="1"/>
  <c r="E578" i="14"/>
  <c r="V626" i="14"/>
  <c r="E626" i="14"/>
  <c r="X117" i="14"/>
  <c r="X116" i="14"/>
  <c r="A578" i="14"/>
  <c r="A626" i="14"/>
  <c r="A624" i="14"/>
  <c r="A577" i="14"/>
  <c r="A579" i="14"/>
  <c r="A576" i="14"/>
  <c r="A625" i="14"/>
  <c r="A580" i="14"/>
  <c r="C299" i="2" l="1"/>
  <c r="C297" i="2"/>
  <c r="C296" i="2"/>
  <c r="V255" i="14" l="1"/>
  <c r="K255" i="14"/>
  <c r="J255" i="14" s="1"/>
  <c r="V254" i="14"/>
  <c r="K254" i="14"/>
  <c r="J254" i="14" s="1"/>
  <c r="V253" i="14"/>
  <c r="K253" i="14"/>
  <c r="J253" i="14" s="1"/>
  <c r="V252" i="14"/>
  <c r="K252" i="14"/>
  <c r="J252" i="14" s="1"/>
  <c r="V259" i="14"/>
  <c r="K259" i="14"/>
  <c r="J259" i="14" s="1"/>
  <c r="V258" i="14"/>
  <c r="K258" i="14"/>
  <c r="J258" i="14" s="1"/>
  <c r="V257" i="14"/>
  <c r="K257" i="14"/>
  <c r="J257" i="14" s="1"/>
  <c r="V256" i="14"/>
  <c r="K256" i="14"/>
  <c r="J256" i="14" s="1"/>
  <c r="V261" i="14"/>
  <c r="K261" i="14"/>
  <c r="J261" i="14" s="1"/>
  <c r="V260" i="14"/>
  <c r="K260" i="14"/>
  <c r="J260" i="14" s="1"/>
  <c r="G165" i="1"/>
  <c r="H165" i="1" s="1"/>
  <c r="J165" i="1" s="1"/>
  <c r="D165" i="1"/>
  <c r="C165" i="1"/>
  <c r="G164" i="1"/>
  <c r="H164" i="1" s="1"/>
  <c r="J164" i="1" s="1"/>
  <c r="D164" i="1"/>
  <c r="C164" i="1"/>
  <c r="G167" i="1"/>
  <c r="H167" i="1" s="1"/>
  <c r="J167" i="1" s="1"/>
  <c r="D167" i="1"/>
  <c r="C167" i="1"/>
  <c r="G166" i="1"/>
  <c r="H166" i="1" s="1"/>
  <c r="J166" i="1" s="1"/>
  <c r="D166" i="1"/>
  <c r="C166" i="1"/>
  <c r="A252" i="14"/>
  <c r="A254" i="14"/>
  <c r="A257" i="14"/>
  <c r="A255" i="14"/>
  <c r="A253" i="14"/>
  <c r="A258" i="14"/>
  <c r="A260" i="14"/>
  <c r="A261" i="14"/>
  <c r="A259" i="14"/>
  <c r="A256" i="14"/>
  <c r="C284" i="2" l="1"/>
  <c r="C285" i="2"/>
  <c r="C286" i="2"/>
  <c r="C287" i="2"/>
  <c r="C288" i="2"/>
  <c r="G161" i="1" l="1"/>
  <c r="H161" i="1" s="1"/>
  <c r="J161" i="1" s="1"/>
  <c r="D161" i="1"/>
  <c r="C161" i="1"/>
  <c r="G160" i="1"/>
  <c r="H160" i="1" s="1"/>
  <c r="J160" i="1" s="1"/>
  <c r="D160" i="1"/>
  <c r="C160" i="1"/>
  <c r="G163" i="1"/>
  <c r="H163" i="1" s="1"/>
  <c r="J163" i="1" s="1"/>
  <c r="D163" i="1"/>
  <c r="C163" i="1"/>
  <c r="G162" i="1"/>
  <c r="H162" i="1" s="1"/>
  <c r="J162" i="1" s="1"/>
  <c r="D162" i="1"/>
  <c r="C162" i="1"/>
  <c r="X115" i="14"/>
  <c r="X114" i="14"/>
  <c r="X107" i="14"/>
  <c r="X106" i="14"/>
  <c r="G152" i="1" l="1"/>
  <c r="H152" i="1" s="1"/>
  <c r="J152" i="1" s="1"/>
  <c r="D152" i="1"/>
  <c r="C152" i="1"/>
  <c r="C268" i="2" l="1"/>
  <c r="X105" i="14" l="1"/>
  <c r="X104" i="14"/>
  <c r="V245" i="14"/>
  <c r="K245" i="14"/>
  <c r="J245" i="14" s="1"/>
  <c r="V244" i="14"/>
  <c r="K244" i="14"/>
  <c r="J244" i="14" s="1"/>
  <c r="V243" i="14"/>
  <c r="K243" i="14"/>
  <c r="J243" i="14" s="1"/>
  <c r="V242" i="14"/>
  <c r="K242" i="14"/>
  <c r="J242" i="14" s="1"/>
  <c r="V241" i="14"/>
  <c r="K241" i="14"/>
  <c r="J241" i="14" s="1"/>
  <c r="V240" i="14"/>
  <c r="K240" i="14"/>
  <c r="J240" i="14" s="1"/>
  <c r="V239" i="14"/>
  <c r="K239" i="14"/>
  <c r="J239" i="14" s="1"/>
  <c r="V238" i="14"/>
  <c r="K238" i="14"/>
  <c r="J238" i="14" s="1"/>
  <c r="V249" i="14"/>
  <c r="K249" i="14"/>
  <c r="J249" i="14" s="1"/>
  <c r="V248" i="14"/>
  <c r="K248" i="14"/>
  <c r="J248" i="14" s="1"/>
  <c r="V247" i="14"/>
  <c r="K247" i="14"/>
  <c r="J247" i="14" s="1"/>
  <c r="V246" i="14"/>
  <c r="K246" i="14"/>
  <c r="J246" i="14" s="1"/>
  <c r="B371" i="11"/>
  <c r="E371" i="11" s="1"/>
  <c r="B336" i="11"/>
  <c r="B296" i="11"/>
  <c r="B268" i="11"/>
  <c r="B227" i="11"/>
  <c r="B190" i="11"/>
  <c r="B155" i="11"/>
  <c r="B128" i="11"/>
  <c r="B93" i="11"/>
  <c r="B64" i="11"/>
  <c r="B32" i="11"/>
  <c r="B3" i="11"/>
  <c r="A239" i="14"/>
  <c r="A242" i="14"/>
  <c r="A247" i="14"/>
  <c r="A243" i="14"/>
  <c r="A246" i="14"/>
  <c r="A245" i="14"/>
  <c r="A241" i="14"/>
  <c r="A244" i="14"/>
  <c r="A248" i="14"/>
  <c r="A238" i="14"/>
  <c r="A240" i="14"/>
  <c r="A249" i="14"/>
  <c r="E336" i="11" l="1"/>
  <c r="E296" i="11" s="1"/>
  <c r="E268" i="11" s="1"/>
  <c r="E227" i="11" s="1"/>
  <c r="E190" i="11" s="1"/>
  <c r="E155" i="11" s="1"/>
  <c r="E128" i="11" s="1"/>
  <c r="E93" i="11" s="1"/>
  <c r="E64" i="11" s="1"/>
  <c r="E32" i="11" s="1"/>
  <c r="E3" i="11" s="1"/>
  <c r="E2" i="11" s="1"/>
  <c r="G150" i="1"/>
  <c r="H150" i="1" s="1"/>
  <c r="J150" i="1" s="1"/>
  <c r="D150" i="1"/>
  <c r="C150" i="1"/>
  <c r="G149" i="1"/>
  <c r="H149" i="1" s="1"/>
  <c r="J149" i="1" s="1"/>
  <c r="D149" i="1"/>
  <c r="C149" i="1"/>
  <c r="G148" i="1"/>
  <c r="H148" i="1" s="1"/>
  <c r="J148" i="1" s="1"/>
  <c r="D148" i="1"/>
  <c r="C148" i="1"/>
  <c r="G78" i="4" l="1"/>
  <c r="H78" i="4"/>
  <c r="I78" i="4"/>
  <c r="F78" i="4"/>
  <c r="C22" i="14" l="1"/>
  <c r="X97" i="14"/>
  <c r="W234" i="14"/>
  <c r="W227" i="14"/>
  <c r="W225" i="14"/>
  <c r="W218" i="14"/>
  <c r="X96" i="14"/>
  <c r="I79" i="15"/>
  <c r="I78" i="15"/>
  <c r="G146" i="1"/>
  <c r="H146" i="1" s="1"/>
  <c r="J146" i="1" s="1"/>
  <c r="D146" i="1"/>
  <c r="C146" i="1"/>
  <c r="G145" i="1"/>
  <c r="H145" i="1" s="1"/>
  <c r="J145" i="1" s="1"/>
  <c r="D145" i="1"/>
  <c r="C145" i="1"/>
  <c r="G144" i="1"/>
  <c r="H144" i="1" s="1"/>
  <c r="J144" i="1" s="1"/>
  <c r="D144" i="1"/>
  <c r="C144" i="1"/>
  <c r="G138" i="1" l="1"/>
  <c r="H138" i="1" s="1"/>
  <c r="J138" i="1" s="1"/>
  <c r="D138" i="1"/>
  <c r="C138" i="1"/>
  <c r="X95" i="14" l="1"/>
  <c r="X94" i="14"/>
  <c r="C245" i="2"/>
  <c r="C243" i="2"/>
  <c r="G134" i="1" l="1"/>
  <c r="H134" i="1" s="1"/>
  <c r="J134" i="1" s="1"/>
  <c r="D134" i="1"/>
  <c r="C134" i="1"/>
  <c r="G133" i="1"/>
  <c r="H133" i="1" s="1"/>
  <c r="J133" i="1" s="1"/>
  <c r="D133" i="1"/>
  <c r="C133" i="1"/>
  <c r="G136" i="1"/>
  <c r="H136" i="1" s="1"/>
  <c r="J136" i="1" s="1"/>
  <c r="D136" i="1"/>
  <c r="C136" i="1"/>
  <c r="G135" i="1"/>
  <c r="H135" i="1" s="1"/>
  <c r="J135" i="1" s="1"/>
  <c r="D135" i="1"/>
  <c r="C135" i="1"/>
  <c r="G64" i="4" l="1"/>
  <c r="I64" i="4"/>
  <c r="J64" i="4"/>
  <c r="K64" i="4"/>
  <c r="F64" i="4"/>
  <c r="H58" i="4"/>
  <c r="I58" i="4"/>
  <c r="J58" i="4"/>
  <c r="K58" i="4"/>
  <c r="G58" i="4"/>
  <c r="F58" i="4"/>
  <c r="V536" i="14" l="1"/>
  <c r="I71" i="15"/>
  <c r="I70" i="15"/>
  <c r="G127" i="1"/>
  <c r="H127" i="1" s="1"/>
  <c r="J127" i="1" s="1"/>
  <c r="D127" i="1"/>
  <c r="C127" i="1"/>
  <c r="G132" i="1"/>
  <c r="H132" i="1" s="1"/>
  <c r="J132" i="1" s="1"/>
  <c r="D132" i="1"/>
  <c r="C132" i="1"/>
  <c r="G131" i="1"/>
  <c r="H131" i="1" s="1"/>
  <c r="J131" i="1" s="1"/>
  <c r="D131" i="1"/>
  <c r="C131" i="1"/>
  <c r="G129" i="1" l="1"/>
  <c r="H129" i="1" s="1"/>
  <c r="J129" i="1" s="1"/>
  <c r="D129" i="1"/>
  <c r="C129" i="1"/>
  <c r="G128" i="1"/>
  <c r="H128" i="1" s="1"/>
  <c r="J128" i="1" s="1"/>
  <c r="D128" i="1"/>
  <c r="C128" i="1"/>
  <c r="X92" i="14" l="1"/>
  <c r="X93" i="14"/>
  <c r="C224" i="2"/>
  <c r="C221" i="2" l="1"/>
  <c r="C222" i="2"/>
  <c r="C217" i="2"/>
  <c r="F51" i="4"/>
  <c r="K51" i="4"/>
  <c r="I51" i="4"/>
  <c r="H51" i="4"/>
  <c r="G51" i="4"/>
  <c r="X85" i="14"/>
  <c r="X84" i="14"/>
  <c r="G123" i="1"/>
  <c r="H123" i="1" s="1"/>
  <c r="J123" i="1" s="1"/>
  <c r="D123" i="1"/>
  <c r="C123" i="1"/>
  <c r="E534" i="14" l="1"/>
  <c r="E529" i="14"/>
  <c r="X83" i="14" l="1"/>
  <c r="I63" i="15"/>
  <c r="I62" i="15"/>
  <c r="X82" i="14"/>
  <c r="W216" i="14"/>
  <c r="W214" i="14"/>
  <c r="W212" i="14"/>
  <c r="W200" i="14"/>
  <c r="G119" i="1"/>
  <c r="H119" i="1" s="1"/>
  <c r="J119" i="1" s="1"/>
  <c r="D119" i="1"/>
  <c r="C119" i="1"/>
  <c r="G118" i="1"/>
  <c r="H118" i="1" s="1"/>
  <c r="J118" i="1" s="1"/>
  <c r="D118" i="1"/>
  <c r="C118" i="1"/>
  <c r="G117" i="1"/>
  <c r="H117" i="1" s="1"/>
  <c r="J117" i="1" s="1"/>
  <c r="D117" i="1"/>
  <c r="C117" i="1"/>
  <c r="G116" i="1"/>
  <c r="H116" i="1" s="1"/>
  <c r="J116" i="1" s="1"/>
  <c r="D116" i="1"/>
  <c r="C116" i="1"/>
  <c r="A529" i="14"/>
  <c r="V529" i="14" l="1"/>
  <c r="C198" i="2"/>
  <c r="C197" i="2"/>
  <c r="C200" i="2"/>
  <c r="C199" i="2"/>
  <c r="G112" i="1" l="1"/>
  <c r="H112" i="1" s="1"/>
  <c r="J112" i="1" s="1"/>
  <c r="D112" i="1"/>
  <c r="C112" i="1"/>
  <c r="G109" i="1"/>
  <c r="H109" i="1" s="1"/>
  <c r="J109" i="1" s="1"/>
  <c r="D109" i="1"/>
  <c r="C109" i="1"/>
  <c r="V596" i="14"/>
  <c r="E596" i="14"/>
  <c r="X75" i="14"/>
  <c r="W75" i="14"/>
  <c r="X73" i="14"/>
  <c r="W73" i="14"/>
  <c r="X74" i="14"/>
  <c r="X72" i="14"/>
  <c r="A594" i="14"/>
  <c r="A596" i="14"/>
  <c r="A595" i="14"/>
  <c r="A461" i="14"/>
  <c r="V461" i="14" l="1"/>
  <c r="V75" i="14"/>
  <c r="V73" i="14"/>
  <c r="C194" i="2"/>
  <c r="C193" i="2"/>
  <c r="C192" i="2"/>
  <c r="C191" i="2"/>
  <c r="C196" i="2"/>
  <c r="C195" i="2"/>
  <c r="E524" i="14" l="1"/>
  <c r="E518" i="14"/>
  <c r="I20" i="16" l="1"/>
  <c r="I19" i="16"/>
  <c r="G22" i="16"/>
  <c r="G21" i="16"/>
  <c r="H20" i="16"/>
  <c r="G20" i="16"/>
  <c r="A20" i="16"/>
  <c r="H19" i="16"/>
  <c r="G19" i="16"/>
  <c r="A19" i="16"/>
  <c r="A22" i="16"/>
  <c r="A21" i="16"/>
  <c r="G102" i="1"/>
  <c r="H102" i="1" s="1"/>
  <c r="J102" i="1" s="1"/>
  <c r="D102" i="1"/>
  <c r="C102" i="1"/>
  <c r="C181" i="2"/>
  <c r="G106" i="1"/>
  <c r="H106" i="1" s="1"/>
  <c r="J106" i="1" s="1"/>
  <c r="D106" i="1"/>
  <c r="C106" i="1"/>
  <c r="G105" i="1"/>
  <c r="H105" i="1" s="1"/>
  <c r="J105" i="1" s="1"/>
  <c r="D105" i="1"/>
  <c r="C105" i="1"/>
  <c r="G104" i="1"/>
  <c r="H104" i="1" s="1"/>
  <c r="J104" i="1" s="1"/>
  <c r="D104" i="1"/>
  <c r="C104" i="1"/>
  <c r="G103" i="1"/>
  <c r="H103" i="1" s="1"/>
  <c r="J103" i="1" s="1"/>
  <c r="D103" i="1"/>
  <c r="C103" i="1"/>
  <c r="G111" i="1"/>
  <c r="H111" i="1" s="1"/>
  <c r="J111" i="1" s="1"/>
  <c r="D111" i="1"/>
  <c r="C111" i="1"/>
  <c r="G107" i="1"/>
  <c r="H107" i="1" s="1"/>
  <c r="J107" i="1" s="1"/>
  <c r="D107" i="1"/>
  <c r="C107" i="1"/>
  <c r="X71" i="14" l="1"/>
  <c r="X70" i="14"/>
  <c r="X198" i="14"/>
  <c r="X191" i="14"/>
  <c r="X189" i="14"/>
  <c r="X187" i="14"/>
  <c r="X180" i="14"/>
  <c r="W198" i="14"/>
  <c r="W191" i="14"/>
  <c r="W189" i="14"/>
  <c r="W187" i="14"/>
  <c r="W180" i="14"/>
  <c r="X64" i="14" l="1"/>
  <c r="X63" i="14"/>
  <c r="C166" i="2" l="1"/>
  <c r="C168" i="2"/>
  <c r="C167" i="2"/>
  <c r="C161" i="2" l="1"/>
  <c r="C165" i="2"/>
  <c r="I96" i="16" l="1"/>
  <c r="H96" i="16"/>
  <c r="G96" i="16"/>
  <c r="I95" i="16"/>
  <c r="H95" i="16"/>
  <c r="G95" i="16"/>
  <c r="A96" i="16"/>
  <c r="A95" i="16"/>
  <c r="X62" i="14" l="1"/>
  <c r="X61" i="14"/>
  <c r="K45" i="4" l="1"/>
  <c r="G93" i="1"/>
  <c r="H93" i="1" s="1"/>
  <c r="J93" i="1" s="1"/>
  <c r="D93" i="1"/>
  <c r="C93" i="1"/>
  <c r="G92" i="1"/>
  <c r="H92" i="1" s="1"/>
  <c r="J92" i="1" s="1"/>
  <c r="D92" i="1"/>
  <c r="C92" i="1"/>
  <c r="G91" i="1"/>
  <c r="H91" i="1" s="1"/>
  <c r="J91" i="1" s="1"/>
  <c r="D91" i="1"/>
  <c r="C91" i="1"/>
  <c r="G90" i="1"/>
  <c r="H90" i="1" s="1"/>
  <c r="J90" i="1" s="1"/>
  <c r="D90" i="1"/>
  <c r="C90" i="1"/>
  <c r="G95" i="1"/>
  <c r="H95" i="1" s="1"/>
  <c r="J95" i="1" s="1"/>
  <c r="D95" i="1"/>
  <c r="C95" i="1"/>
  <c r="G94" i="1"/>
  <c r="H94" i="1" s="1"/>
  <c r="J94" i="1" s="1"/>
  <c r="D94" i="1"/>
  <c r="C94" i="1"/>
  <c r="G83" i="1"/>
  <c r="H83" i="1" s="1"/>
  <c r="J83" i="1" s="1"/>
  <c r="D83" i="1"/>
  <c r="C83" i="1"/>
  <c r="C141" i="2"/>
  <c r="G82" i="1" l="1"/>
  <c r="H82" i="1" s="1"/>
  <c r="J82" i="1" s="1"/>
  <c r="D82" i="1"/>
  <c r="C82" i="1"/>
  <c r="G81" i="1"/>
  <c r="H81" i="1" s="1"/>
  <c r="J81" i="1" s="1"/>
  <c r="D81" i="1"/>
  <c r="C81" i="1"/>
  <c r="I49" i="15"/>
  <c r="I48" i="15"/>
  <c r="V51" i="6" l="1"/>
  <c r="U51" i="6"/>
  <c r="P51" i="6"/>
  <c r="Q51" i="6" s="1"/>
  <c r="I51" i="6"/>
  <c r="J51" i="6" s="1"/>
  <c r="C138" i="2"/>
  <c r="C137" i="2"/>
  <c r="C136" i="2"/>
  <c r="C134" i="2"/>
  <c r="C133" i="2"/>
  <c r="X51" i="6"/>
  <c r="W51" i="6"/>
  <c r="T51" i="6" l="1"/>
  <c r="L51" i="6"/>
  <c r="N51" i="6" s="1"/>
  <c r="O51" i="6" s="1"/>
  <c r="R51" i="6"/>
  <c r="S51" i="6" s="1"/>
  <c r="C128" i="2"/>
  <c r="C127" i="2"/>
  <c r="C126" i="2"/>
  <c r="C125" i="2"/>
  <c r="X54" i="14"/>
  <c r="X53" i="14"/>
  <c r="E623" i="14" l="1"/>
  <c r="E620" i="14"/>
  <c r="E617" i="14"/>
  <c r="E614" i="14"/>
  <c r="E611" i="14"/>
  <c r="E608" i="14"/>
  <c r="E605" i="14"/>
  <c r="E602" i="14"/>
  <c r="E599" i="14"/>
  <c r="E593" i="14"/>
  <c r="E590" i="14"/>
  <c r="E584" i="14"/>
  <c r="V581" i="14"/>
  <c r="V584" i="14"/>
  <c r="V587" i="14"/>
  <c r="V590" i="14"/>
  <c r="V593" i="14"/>
  <c r="V599" i="14"/>
  <c r="V602" i="14"/>
  <c r="V605" i="14"/>
  <c r="V608" i="14"/>
  <c r="V611" i="14"/>
  <c r="V614" i="14"/>
  <c r="V617" i="14"/>
  <c r="V620" i="14"/>
  <c r="V623" i="14"/>
  <c r="X52" i="14"/>
  <c r="X51" i="14"/>
  <c r="X50" i="14"/>
  <c r="X49" i="14"/>
  <c r="A593" i="14"/>
  <c r="A599" i="14"/>
  <c r="A448" i="14"/>
  <c r="A612" i="14"/>
  <c r="A611" i="14"/>
  <c r="A581" i="14"/>
  <c r="A623" i="14"/>
  <c r="A607" i="14"/>
  <c r="A586" i="14"/>
  <c r="A615" i="14"/>
  <c r="A590" i="14"/>
  <c r="A617" i="14"/>
  <c r="A614" i="14"/>
  <c r="A597" i="14"/>
  <c r="A583" i="14"/>
  <c r="A582" i="14"/>
  <c r="A598" i="14"/>
  <c r="A610" i="14"/>
  <c r="A591" i="14"/>
  <c r="A587" i="14"/>
  <c r="A592" i="14"/>
  <c r="A604" i="14"/>
  <c r="A600" i="14"/>
  <c r="A606" i="14"/>
  <c r="A620" i="14"/>
  <c r="A589" i="14"/>
  <c r="A584" i="14"/>
  <c r="A618" i="14"/>
  <c r="A602" i="14"/>
  <c r="A585" i="14"/>
  <c r="A603" i="14"/>
  <c r="A588" i="14"/>
  <c r="A622" i="14"/>
  <c r="A601" i="14"/>
  <c r="A619" i="14"/>
  <c r="A621" i="14"/>
  <c r="A609" i="14"/>
  <c r="A608" i="14"/>
  <c r="A616" i="14"/>
  <c r="A613" i="14"/>
  <c r="A605" i="14"/>
  <c r="E449" i="14" l="1"/>
  <c r="E454" i="14"/>
  <c r="C132" i="2"/>
  <c r="G77" i="1" l="1"/>
  <c r="H77" i="1" s="1"/>
  <c r="J77" i="1" s="1"/>
  <c r="D77" i="1"/>
  <c r="C77" i="1"/>
  <c r="G75" i="1"/>
  <c r="H75" i="1" s="1"/>
  <c r="J75" i="1" s="1"/>
  <c r="D75" i="1"/>
  <c r="C75" i="1"/>
  <c r="G76" i="1"/>
  <c r="H76" i="1" s="1"/>
  <c r="J76" i="1" s="1"/>
  <c r="D76" i="1"/>
  <c r="C76" i="1"/>
  <c r="G24" i="4" l="1"/>
  <c r="H24" i="4"/>
  <c r="I24" i="4"/>
  <c r="F24" i="4"/>
  <c r="I34" i="4"/>
  <c r="H34" i="4"/>
  <c r="G34" i="4"/>
  <c r="F34" i="4"/>
  <c r="I41" i="15" l="1"/>
  <c r="I40" i="15"/>
  <c r="X323" i="2" l="1"/>
  <c r="W323" i="2"/>
  <c r="X301" i="2"/>
  <c r="W301" i="2"/>
  <c r="X276" i="2"/>
  <c r="W276" i="2"/>
  <c r="X252" i="2"/>
  <c r="W252" i="2"/>
  <c r="X226" i="2"/>
  <c r="W226" i="2"/>
  <c r="X204" i="2"/>
  <c r="W204" i="2"/>
  <c r="X173" i="2"/>
  <c r="W173" i="2"/>
  <c r="X143" i="2"/>
  <c r="W143" i="2"/>
  <c r="X111" i="2"/>
  <c r="W111" i="2"/>
  <c r="X89" i="2"/>
  <c r="W89" i="2"/>
  <c r="X34" i="2"/>
  <c r="X58" i="2" s="1"/>
  <c r="W34" i="2"/>
  <c r="W58" i="2" s="1"/>
  <c r="AJ323" i="2"/>
  <c r="AI323" i="2"/>
  <c r="AJ301" i="2"/>
  <c r="AI301" i="2"/>
  <c r="AJ276" i="2"/>
  <c r="AI276" i="2"/>
  <c r="AJ252" i="2"/>
  <c r="AI252" i="2"/>
  <c r="AJ226" i="2"/>
  <c r="AI226" i="2"/>
  <c r="AJ204" i="2"/>
  <c r="AI204" i="2"/>
  <c r="AJ173" i="2"/>
  <c r="AI173" i="2"/>
  <c r="AJ143" i="2"/>
  <c r="AI143" i="2"/>
  <c r="AJ111" i="2"/>
  <c r="AI111" i="2"/>
  <c r="AJ89" i="2"/>
  <c r="AI89" i="2"/>
  <c r="AJ34" i="2"/>
  <c r="AI34" i="2"/>
  <c r="AI58" i="2" s="1"/>
  <c r="C109" i="2"/>
  <c r="G67" i="1"/>
  <c r="H67" i="1" s="1"/>
  <c r="J67" i="1" s="1"/>
  <c r="D67" i="1"/>
  <c r="C67" i="1"/>
  <c r="AJ174" i="2" l="1"/>
  <c r="AJ324" i="2"/>
  <c r="X324" i="2"/>
  <c r="AI253" i="2"/>
  <c r="W90" i="2"/>
  <c r="X174" i="2"/>
  <c r="AI174" i="2"/>
  <c r="W253" i="2"/>
  <c r="W324" i="2"/>
  <c r="AI324" i="2"/>
  <c r="AI90" i="2"/>
  <c r="AJ253" i="2"/>
  <c r="X253" i="2"/>
  <c r="W174" i="2"/>
  <c r="X90" i="2"/>
  <c r="AJ58" i="2"/>
  <c r="AJ90" i="2" s="1"/>
  <c r="F12" i="4"/>
  <c r="G12" i="4"/>
  <c r="H12" i="4"/>
  <c r="I12" i="4"/>
  <c r="W325" i="2" l="1"/>
  <c r="AI325" i="2"/>
  <c r="X325" i="2"/>
  <c r="AJ325" i="2"/>
  <c r="I26" i="16"/>
  <c r="I25" i="16"/>
  <c r="I94" i="16"/>
  <c r="I93" i="16"/>
  <c r="H94" i="16"/>
  <c r="G94" i="16"/>
  <c r="A94" i="16"/>
  <c r="H93" i="16"/>
  <c r="G93" i="16"/>
  <c r="A93" i="16"/>
  <c r="E53" i="1" l="1"/>
  <c r="G60" i="1"/>
  <c r="H60" i="1" s="1"/>
  <c r="J60" i="1" s="1"/>
  <c r="D60" i="1"/>
  <c r="C60" i="1"/>
  <c r="G61" i="1"/>
  <c r="H61" i="1" s="1"/>
  <c r="J61" i="1" s="1"/>
  <c r="D61" i="1"/>
  <c r="C61" i="1"/>
  <c r="G62" i="1"/>
  <c r="H62" i="1" s="1"/>
  <c r="J62" i="1" s="1"/>
  <c r="D62" i="1"/>
  <c r="C62" i="1"/>
  <c r="G59" i="1"/>
  <c r="H59" i="1" s="1"/>
  <c r="J59" i="1" s="1"/>
  <c r="D59" i="1"/>
  <c r="C59" i="1"/>
  <c r="E551" i="14" l="1"/>
  <c r="E545" i="14"/>
  <c r="E540" i="14"/>
  <c r="E513" i="14"/>
  <c r="W317" i="14"/>
  <c r="V317" i="14"/>
  <c r="L317" i="14"/>
  <c r="K317" i="14"/>
  <c r="W316" i="14"/>
  <c r="V316" i="14"/>
  <c r="L316" i="14"/>
  <c r="K316" i="14"/>
  <c r="W315" i="14"/>
  <c r="V315" i="14"/>
  <c r="L315" i="14"/>
  <c r="K315" i="14"/>
  <c r="W314" i="14"/>
  <c r="V314" i="14"/>
  <c r="L314" i="14"/>
  <c r="K314" i="14"/>
  <c r="W313" i="14"/>
  <c r="V313" i="14"/>
  <c r="L313" i="14"/>
  <c r="K313" i="14"/>
  <c r="W312" i="14"/>
  <c r="V312" i="14"/>
  <c r="L312" i="14"/>
  <c r="K312" i="14"/>
  <c r="W311" i="14"/>
  <c r="V311" i="14"/>
  <c r="L311" i="14"/>
  <c r="K311" i="14"/>
  <c r="W310" i="14"/>
  <c r="V310" i="14"/>
  <c r="L310" i="14"/>
  <c r="K310" i="14"/>
  <c r="W309" i="14"/>
  <c r="V309" i="14"/>
  <c r="L309" i="14"/>
  <c r="K309" i="14"/>
  <c r="W308" i="14"/>
  <c r="V308" i="14"/>
  <c r="L308" i="14"/>
  <c r="K308" i="14"/>
  <c r="W307" i="14"/>
  <c r="V307" i="14"/>
  <c r="L307" i="14"/>
  <c r="K307" i="14"/>
  <c r="W306" i="14"/>
  <c r="V306" i="14"/>
  <c r="L306" i="14"/>
  <c r="K306" i="14"/>
  <c r="W305" i="14"/>
  <c r="V305" i="14"/>
  <c r="L305" i="14"/>
  <c r="K305" i="14"/>
  <c r="W304" i="14"/>
  <c r="V304" i="14"/>
  <c r="L304" i="14"/>
  <c r="K304" i="14"/>
  <c r="W303" i="14"/>
  <c r="V303" i="14"/>
  <c r="L303" i="14"/>
  <c r="K303" i="14"/>
  <c r="W302" i="14"/>
  <c r="V302" i="14"/>
  <c r="L302" i="14"/>
  <c r="K302" i="14"/>
  <c r="W301" i="14"/>
  <c r="V301" i="14"/>
  <c r="L301" i="14"/>
  <c r="K301" i="14"/>
  <c r="W300" i="14"/>
  <c r="V300" i="14"/>
  <c r="L300" i="14"/>
  <c r="K300" i="14"/>
  <c r="W299" i="14"/>
  <c r="V299" i="14"/>
  <c r="L299" i="14"/>
  <c r="K299" i="14"/>
  <c r="W298" i="14"/>
  <c r="V298" i="14"/>
  <c r="L298" i="14"/>
  <c r="K298" i="14"/>
  <c r="I102" i="16"/>
  <c r="I101" i="16"/>
  <c r="H102" i="16"/>
  <c r="H101" i="16"/>
  <c r="G102" i="16"/>
  <c r="G101" i="16"/>
  <c r="I100" i="16"/>
  <c r="H100" i="16"/>
  <c r="G100" i="16"/>
  <c r="A100" i="16"/>
  <c r="I99" i="16"/>
  <c r="H99" i="16"/>
  <c r="G99" i="16"/>
  <c r="A99" i="16"/>
  <c r="A518" i="14"/>
  <c r="A525" i="14"/>
  <c r="A511" i="14"/>
  <c r="A311" i="14"/>
  <c r="A513" i="14"/>
  <c r="A302" i="14"/>
  <c r="A303" i="14"/>
  <c r="A301" i="14"/>
  <c r="A307" i="14"/>
  <c r="A305" i="14"/>
  <c r="A304" i="14"/>
  <c r="A312" i="14"/>
  <c r="A527" i="14"/>
  <c r="A300" i="14"/>
  <c r="A523" i="14"/>
  <c r="A516" i="14"/>
  <c r="A524" i="14"/>
  <c r="A310" i="14"/>
  <c r="A522" i="14"/>
  <c r="A306" i="14"/>
  <c r="A520" i="14"/>
  <c r="A521" i="14"/>
  <c r="A299" i="14"/>
  <c r="A315" i="14"/>
  <c r="A526" i="14"/>
  <c r="A309" i="14"/>
  <c r="A317" i="14"/>
  <c r="A515" i="14"/>
  <c r="A509" i="14"/>
  <c r="A512" i="14"/>
  <c r="A298" i="14"/>
  <c r="A316" i="14"/>
  <c r="A314" i="14"/>
  <c r="A517" i="14"/>
  <c r="A528" i="14"/>
  <c r="A308" i="14"/>
  <c r="A510" i="14"/>
  <c r="A313" i="14"/>
  <c r="S308" i="14" l="1"/>
  <c r="S299" i="14"/>
  <c r="S301" i="14"/>
  <c r="S303" i="14"/>
  <c r="S305" i="14"/>
  <c r="S307" i="14"/>
  <c r="S309" i="14"/>
  <c r="S311" i="14"/>
  <c r="S313" i="14"/>
  <c r="S315" i="14"/>
  <c r="S317" i="14"/>
  <c r="V512" i="14"/>
  <c r="V523" i="14"/>
  <c r="V541" i="14"/>
  <c r="V545" i="14"/>
  <c r="V516" i="14"/>
  <c r="V527" i="14"/>
  <c r="V538" i="14"/>
  <c r="V549" i="14"/>
  <c r="V525" i="14"/>
  <c r="V509" i="14"/>
  <c r="V513" i="14"/>
  <c r="V520" i="14"/>
  <c r="V524" i="14"/>
  <c r="V531" i="14"/>
  <c r="V534" i="14"/>
  <c r="V542" i="14"/>
  <c r="V517" i="14"/>
  <c r="V528" i="14"/>
  <c r="V539" i="14"/>
  <c r="V546" i="14"/>
  <c r="V550" i="14"/>
  <c r="V510" i="14"/>
  <c r="V521" i="14"/>
  <c r="V532" i="14"/>
  <c r="V543" i="14"/>
  <c r="V530" i="14"/>
  <c r="V535" i="14"/>
  <c r="V540" i="14"/>
  <c r="V547" i="14"/>
  <c r="V551" i="14"/>
  <c r="V514" i="14"/>
  <c r="V533" i="14"/>
  <c r="V544" i="14"/>
  <c r="V519" i="14"/>
  <c r="V511" i="14"/>
  <c r="V522" i="14"/>
  <c r="V515" i="14"/>
  <c r="V518" i="14"/>
  <c r="V526" i="14"/>
  <c r="V537" i="14"/>
  <c r="V548" i="14"/>
  <c r="S298" i="14"/>
  <c r="S300" i="14"/>
  <c r="S302" i="14"/>
  <c r="S304" i="14"/>
  <c r="S306" i="14"/>
  <c r="S310" i="14"/>
  <c r="S312" i="14"/>
  <c r="S314" i="14"/>
  <c r="S316" i="14"/>
  <c r="R298" i="14"/>
  <c r="T298" i="14" s="1"/>
  <c r="R299" i="14"/>
  <c r="T299" i="14" s="1"/>
  <c r="R300" i="14"/>
  <c r="T300" i="14" s="1"/>
  <c r="R301" i="14"/>
  <c r="T301" i="14" s="1"/>
  <c r="R302" i="14"/>
  <c r="T302" i="14" s="1"/>
  <c r="R303" i="14"/>
  <c r="T303" i="14" s="1"/>
  <c r="R304" i="14"/>
  <c r="T304" i="14" s="1"/>
  <c r="R305" i="14"/>
  <c r="T305" i="14" s="1"/>
  <c r="R306" i="14"/>
  <c r="T306" i="14" s="1"/>
  <c r="R307" i="14"/>
  <c r="T307" i="14" s="1"/>
  <c r="R308" i="14"/>
  <c r="T308" i="14" s="1"/>
  <c r="R309" i="14"/>
  <c r="T309" i="14" s="1"/>
  <c r="R310" i="14"/>
  <c r="T310" i="14" s="1"/>
  <c r="R311" i="14"/>
  <c r="T311" i="14" s="1"/>
  <c r="R312" i="14"/>
  <c r="T312" i="14" s="1"/>
  <c r="R313" i="14"/>
  <c r="T313" i="14" s="1"/>
  <c r="R314" i="14"/>
  <c r="T314" i="14" s="1"/>
  <c r="R315" i="14"/>
  <c r="T315" i="14" s="1"/>
  <c r="R316" i="14"/>
  <c r="T316" i="14" s="1"/>
  <c r="R317" i="14"/>
  <c r="T317" i="14" s="1"/>
  <c r="G49" i="1"/>
  <c r="H49" i="1" s="1"/>
  <c r="J49" i="1" s="1"/>
  <c r="D49" i="1"/>
  <c r="C49" i="1"/>
  <c r="C82" i="2"/>
  <c r="C81" i="2"/>
  <c r="C84" i="2"/>
  <c r="C83" i="2"/>
  <c r="C87" i="2"/>
  <c r="C86" i="2"/>
  <c r="Z323" i="2"/>
  <c r="Z301" i="2"/>
  <c r="Z276" i="2"/>
  <c r="Z252" i="2"/>
  <c r="Z226" i="2"/>
  <c r="Z204" i="2"/>
  <c r="Z173" i="2"/>
  <c r="Z143" i="2"/>
  <c r="Z111" i="2"/>
  <c r="Z89" i="2"/>
  <c r="Z34" i="2"/>
  <c r="V323" i="2"/>
  <c r="V301" i="2"/>
  <c r="V276" i="2"/>
  <c r="V252" i="2"/>
  <c r="V226" i="2"/>
  <c r="V204" i="2"/>
  <c r="V173" i="2"/>
  <c r="V143" i="2"/>
  <c r="V111" i="2"/>
  <c r="V89" i="2"/>
  <c r="V34" i="2"/>
  <c r="V58" i="2" s="1"/>
  <c r="V174" i="2" l="1"/>
  <c r="Z324" i="2"/>
  <c r="V90" i="2"/>
  <c r="V324" i="2"/>
  <c r="Z253" i="2"/>
  <c r="V253" i="2"/>
  <c r="Z174" i="2"/>
  <c r="Z58" i="2"/>
  <c r="Z90" i="2" s="1"/>
  <c r="I24" i="16"/>
  <c r="H24" i="16"/>
  <c r="G24" i="16"/>
  <c r="I23" i="16"/>
  <c r="H23" i="16"/>
  <c r="G23" i="16"/>
  <c r="A24" i="16"/>
  <c r="A23" i="16"/>
  <c r="A502" i="14"/>
  <c r="V325" i="2" l="1"/>
  <c r="Z325" i="2"/>
  <c r="G33" i="1"/>
  <c r="H33" i="1" s="1"/>
  <c r="J33" i="1" s="1"/>
  <c r="D33" i="1"/>
  <c r="C33" i="1"/>
  <c r="C48" i="2" l="1"/>
  <c r="C46" i="2"/>
  <c r="C45" i="2" l="1"/>
  <c r="C44" i="2"/>
  <c r="I92" i="16" l="1"/>
  <c r="H92" i="16"/>
  <c r="G92" i="16"/>
  <c r="I91" i="16"/>
  <c r="H91" i="16"/>
  <c r="G91" i="16"/>
  <c r="C40" i="2"/>
  <c r="C39" i="2" l="1"/>
  <c r="M85" i="15" l="1"/>
  <c r="I85" i="15"/>
  <c r="M84" i="15"/>
  <c r="I84" i="15"/>
  <c r="M77" i="15"/>
  <c r="I77" i="15"/>
  <c r="M76" i="15"/>
  <c r="I76" i="15"/>
  <c r="M69" i="15"/>
  <c r="I69" i="15"/>
  <c r="M68" i="15"/>
  <c r="I68" i="15"/>
  <c r="M61" i="15"/>
  <c r="I61" i="15"/>
  <c r="M60" i="15"/>
  <c r="I60" i="15"/>
  <c r="M55" i="15"/>
  <c r="I55" i="15"/>
  <c r="M54" i="15"/>
  <c r="I54" i="15"/>
  <c r="M47" i="15"/>
  <c r="I47" i="15"/>
  <c r="M46" i="15"/>
  <c r="I46" i="15"/>
  <c r="M39" i="15"/>
  <c r="I39" i="15"/>
  <c r="M38" i="15"/>
  <c r="I38" i="15"/>
  <c r="M31" i="15"/>
  <c r="I31" i="15"/>
  <c r="M30" i="15"/>
  <c r="I30" i="15"/>
  <c r="M23" i="15"/>
  <c r="I23" i="15"/>
  <c r="M22" i="15"/>
  <c r="I22" i="15"/>
  <c r="E508" i="14"/>
  <c r="E503" i="14"/>
  <c r="W341" i="14"/>
  <c r="V341" i="14"/>
  <c r="L341" i="14"/>
  <c r="K341" i="14"/>
  <c r="W340" i="14"/>
  <c r="V340" i="14"/>
  <c r="L340" i="14"/>
  <c r="K340" i="14"/>
  <c r="W339" i="14"/>
  <c r="V339" i="14"/>
  <c r="L339" i="14"/>
  <c r="K339" i="14"/>
  <c r="W338" i="14"/>
  <c r="V338" i="14"/>
  <c r="L338" i="14"/>
  <c r="K338" i="14"/>
  <c r="W337" i="14"/>
  <c r="V337" i="14"/>
  <c r="L337" i="14"/>
  <c r="K337" i="14"/>
  <c r="W336" i="14"/>
  <c r="V336" i="14"/>
  <c r="L336" i="14"/>
  <c r="K336" i="14"/>
  <c r="W335" i="14"/>
  <c r="V335" i="14"/>
  <c r="L335" i="14"/>
  <c r="K335" i="14"/>
  <c r="W334" i="14"/>
  <c r="V334" i="14"/>
  <c r="L334" i="14"/>
  <c r="K334" i="14"/>
  <c r="W329" i="14"/>
  <c r="V329" i="14"/>
  <c r="L329" i="14"/>
  <c r="K329" i="14"/>
  <c r="W328" i="14"/>
  <c r="V328" i="14"/>
  <c r="L328" i="14"/>
  <c r="K328" i="14"/>
  <c r="W327" i="14"/>
  <c r="V327" i="14"/>
  <c r="L327" i="14"/>
  <c r="K327" i="14"/>
  <c r="W326" i="14"/>
  <c r="V326" i="14"/>
  <c r="L326" i="14"/>
  <c r="K326" i="14"/>
  <c r="W325" i="14"/>
  <c r="V325" i="14"/>
  <c r="L325" i="14"/>
  <c r="K325" i="14"/>
  <c r="W324" i="14"/>
  <c r="V324" i="14"/>
  <c r="L324" i="14"/>
  <c r="K324" i="14"/>
  <c r="W323" i="14"/>
  <c r="V323" i="14"/>
  <c r="L323" i="14"/>
  <c r="K323" i="14"/>
  <c r="W322" i="14"/>
  <c r="V322" i="14"/>
  <c r="L322" i="14"/>
  <c r="K322" i="14"/>
  <c r="W297" i="14"/>
  <c r="V297" i="14"/>
  <c r="L297" i="14"/>
  <c r="K297" i="14"/>
  <c r="W296" i="14"/>
  <c r="V296" i="14"/>
  <c r="L296" i="14"/>
  <c r="K296" i="14"/>
  <c r="W295" i="14"/>
  <c r="V295" i="14"/>
  <c r="L295" i="14"/>
  <c r="K295" i="14"/>
  <c r="W294" i="14"/>
  <c r="V294" i="14"/>
  <c r="L294" i="14"/>
  <c r="K294" i="14"/>
  <c r="W27" i="14"/>
  <c r="W29" i="14"/>
  <c r="W26" i="14"/>
  <c r="W25" i="14"/>
  <c r="H26" i="16"/>
  <c r="H25" i="16"/>
  <c r="G26" i="16"/>
  <c r="G25" i="16"/>
  <c r="A26" i="16"/>
  <c r="A25" i="16"/>
  <c r="A48" i="16"/>
  <c r="A26" i="14"/>
  <c r="A296" i="14"/>
  <c r="A341" i="14"/>
  <c r="A335" i="14"/>
  <c r="A326" i="14"/>
  <c r="A498" i="14"/>
  <c r="A500" i="14"/>
  <c r="A27" i="14"/>
  <c r="A323" i="14"/>
  <c r="A336" i="14"/>
  <c r="A340" i="14"/>
  <c r="A504" i="14"/>
  <c r="A325" i="14"/>
  <c r="A324" i="14"/>
  <c r="A295" i="14"/>
  <c r="A25" i="14"/>
  <c r="A499" i="14"/>
  <c r="A339" i="14"/>
  <c r="A329" i="14"/>
  <c r="A505" i="14"/>
  <c r="A334" i="14"/>
  <c r="A501" i="14"/>
  <c r="A338" i="14"/>
  <c r="A322" i="14"/>
  <c r="A29" i="14"/>
  <c r="A507" i="14"/>
  <c r="A337" i="14"/>
  <c r="A327" i="14"/>
  <c r="A506" i="14"/>
  <c r="A508" i="14"/>
  <c r="A297" i="14"/>
  <c r="A503" i="14"/>
  <c r="A328" i="14"/>
  <c r="A294" i="14"/>
  <c r="S295" i="14" l="1"/>
  <c r="S296" i="14"/>
  <c r="R297" i="14"/>
  <c r="T297" i="14" s="1"/>
  <c r="S325" i="14"/>
  <c r="S334" i="14"/>
  <c r="R336" i="14"/>
  <c r="T336" i="14" s="1"/>
  <c r="R337" i="14"/>
  <c r="T337" i="14" s="1"/>
  <c r="S338" i="14"/>
  <c r="R340" i="14"/>
  <c r="T340" i="14" s="1"/>
  <c r="R341" i="14"/>
  <c r="T341" i="14" s="1"/>
  <c r="R295" i="14"/>
  <c r="T295" i="14" s="1"/>
  <c r="S322" i="14"/>
  <c r="S326" i="14"/>
  <c r="S329" i="14"/>
  <c r="R323" i="14"/>
  <c r="T323" i="14" s="1"/>
  <c r="R324" i="14"/>
  <c r="T324" i="14" s="1"/>
  <c r="R325" i="14"/>
  <c r="T325" i="14" s="1"/>
  <c r="S335" i="14"/>
  <c r="S297" i="14"/>
  <c r="R327" i="14"/>
  <c r="T327" i="14" s="1"/>
  <c r="R328" i="14"/>
  <c r="T328" i="14" s="1"/>
  <c r="R329" i="14"/>
  <c r="T329" i="14" s="1"/>
  <c r="S339" i="14"/>
  <c r="R296" i="14"/>
  <c r="T296" i="14" s="1"/>
  <c r="S323" i="14"/>
  <c r="S327" i="14"/>
  <c r="R334" i="14"/>
  <c r="T334" i="14" s="1"/>
  <c r="S336" i="14"/>
  <c r="R338" i="14"/>
  <c r="T338" i="14" s="1"/>
  <c r="S340" i="14"/>
  <c r="R294" i="14"/>
  <c r="T294" i="14" s="1"/>
  <c r="R322" i="14"/>
  <c r="T322" i="14" s="1"/>
  <c r="S324" i="14"/>
  <c r="R326" i="14"/>
  <c r="T326" i="14" s="1"/>
  <c r="S328" i="14"/>
  <c r="R335" i="14"/>
  <c r="T335" i="14" s="1"/>
  <c r="S337" i="14"/>
  <c r="R339" i="14"/>
  <c r="T339" i="14" s="1"/>
  <c r="S341" i="14"/>
  <c r="V501" i="14"/>
  <c r="V505" i="14"/>
  <c r="V507" i="14"/>
  <c r="V498" i="14"/>
  <c r="V500" i="14"/>
  <c r="V502" i="14"/>
  <c r="V499" i="14"/>
  <c r="V503" i="14"/>
  <c r="V504" i="14"/>
  <c r="V506" i="14"/>
  <c r="V508" i="14"/>
  <c r="S294" i="14"/>
  <c r="X27" i="14"/>
  <c r="V27" i="14"/>
  <c r="V25" i="14"/>
  <c r="X25" i="14"/>
  <c r="X29" i="14"/>
  <c r="V29" i="14"/>
  <c r="X26" i="14"/>
  <c r="V26" i="14"/>
  <c r="G2" i="4"/>
  <c r="H2" i="4"/>
  <c r="I2" i="4"/>
  <c r="F2" i="4"/>
  <c r="C24" i="2" l="1"/>
  <c r="C23" i="2"/>
  <c r="C22" i="2"/>
  <c r="I98" i="16" l="1"/>
  <c r="H98" i="16"/>
  <c r="G98" i="16"/>
  <c r="I97" i="16"/>
  <c r="H97" i="16"/>
  <c r="G97" i="16"/>
  <c r="A92" i="16"/>
  <c r="A91" i="16"/>
  <c r="C8" i="2" l="1"/>
  <c r="E466" i="14" l="1"/>
  <c r="E459" i="14"/>
  <c r="V627" i="14"/>
  <c r="M35" i="15"/>
  <c r="M36" i="15"/>
  <c r="M37" i="15"/>
  <c r="M42" i="15"/>
  <c r="M43" i="15"/>
  <c r="M44" i="15"/>
  <c r="A638" i="14"/>
  <c r="A654" i="14"/>
  <c r="A659" i="14"/>
  <c r="A676" i="14"/>
  <c r="A666" i="14"/>
  <c r="A645" i="14"/>
  <c r="A643" i="14"/>
  <c r="A675" i="14"/>
  <c r="A628" i="14"/>
  <c r="A673" i="14"/>
  <c r="A674" i="14"/>
  <c r="A637" i="14"/>
  <c r="A661" i="14"/>
  <c r="A478" i="14"/>
  <c r="A663" i="14"/>
  <c r="A656" i="14"/>
  <c r="A633" i="14"/>
  <c r="A650" i="14"/>
  <c r="A629" i="14"/>
  <c r="A649" i="14"/>
  <c r="A475" i="14"/>
  <c r="A672" i="14"/>
  <c r="A655" i="14"/>
  <c r="A651" i="14"/>
  <c r="A665" i="14"/>
  <c r="A646" i="14"/>
  <c r="A657" i="14"/>
  <c r="A644" i="14"/>
  <c r="A634" i="14"/>
  <c r="A632" i="14"/>
  <c r="A630" i="14"/>
  <c r="A453" i="14"/>
  <c r="A660" i="14"/>
  <c r="A668" i="14"/>
  <c r="A664" i="14"/>
  <c r="A641" i="14"/>
  <c r="A678" i="14"/>
  <c r="A662" i="14"/>
  <c r="A642" i="14"/>
  <c r="A648" i="14"/>
  <c r="A670" i="14"/>
  <c r="A631" i="14"/>
  <c r="A669" i="14"/>
  <c r="A671" i="14"/>
  <c r="A640" i="14"/>
  <c r="A658" i="14"/>
  <c r="A639" i="14"/>
  <c r="A652" i="14"/>
  <c r="A653" i="14"/>
  <c r="A667" i="14"/>
  <c r="A677" i="14"/>
  <c r="A647" i="14"/>
  <c r="A636" i="14"/>
  <c r="V478" i="14" l="1"/>
  <c r="V629" i="14"/>
  <c r="V631" i="14"/>
  <c r="V633" i="14"/>
  <c r="V635" i="14"/>
  <c r="V637" i="14"/>
  <c r="V639" i="14"/>
  <c r="V641" i="14"/>
  <c r="V643" i="14"/>
  <c r="V645" i="14"/>
  <c r="V647" i="14"/>
  <c r="V649" i="14"/>
  <c r="V651" i="14"/>
  <c r="V653" i="14"/>
  <c r="V655" i="14"/>
  <c r="V657" i="14"/>
  <c r="V659" i="14"/>
  <c r="V661" i="14"/>
  <c r="V663" i="14"/>
  <c r="V665" i="14"/>
  <c r="V667" i="14"/>
  <c r="V669" i="14"/>
  <c r="V671" i="14"/>
  <c r="V673" i="14"/>
  <c r="V675" i="14"/>
  <c r="V677" i="14"/>
  <c r="V628" i="14"/>
  <c r="V630" i="14"/>
  <c r="V632" i="14"/>
  <c r="V634" i="14"/>
  <c r="V636" i="14"/>
  <c r="V638" i="14"/>
  <c r="V640" i="14"/>
  <c r="V642" i="14"/>
  <c r="V644" i="14"/>
  <c r="V646" i="14"/>
  <c r="V648" i="14"/>
  <c r="V650" i="14"/>
  <c r="V652" i="14"/>
  <c r="V654" i="14"/>
  <c r="V656" i="14"/>
  <c r="V658" i="14"/>
  <c r="V660" i="14"/>
  <c r="V662" i="14"/>
  <c r="V664" i="14"/>
  <c r="V666" i="14"/>
  <c r="V668" i="14"/>
  <c r="V670" i="14"/>
  <c r="V672" i="14"/>
  <c r="V674" i="14"/>
  <c r="V676" i="14"/>
  <c r="V678" i="14"/>
  <c r="G52" i="1" l="1"/>
  <c r="E86" i="1"/>
  <c r="E99" i="1"/>
  <c r="E114" i="1"/>
  <c r="E125" i="1"/>
  <c r="E141" i="1"/>
  <c r="E155" i="1"/>
  <c r="E170" i="1"/>
  <c r="E142" i="1" l="1"/>
  <c r="C298" i="2" l="1"/>
  <c r="C294" i="2"/>
  <c r="C289" i="2" l="1"/>
  <c r="C279" i="2" l="1"/>
  <c r="D150" i="4"/>
  <c r="D152" i="4"/>
  <c r="D151" i="4"/>
  <c r="D154" i="4"/>
  <c r="D153" i="4"/>
  <c r="D155" i="4"/>
  <c r="D149" i="4"/>
  <c r="D136" i="4"/>
  <c r="D148" i="4" l="1"/>
  <c r="D147" i="4"/>
  <c r="D146" i="4"/>
  <c r="D145" i="4"/>
  <c r="D144" i="4"/>
  <c r="K135" i="4"/>
  <c r="D141" i="4"/>
  <c r="D140" i="4"/>
  <c r="D139" i="4"/>
  <c r="D138" i="4"/>
  <c r="D137" i="4"/>
  <c r="C274" i="2"/>
  <c r="C273" i="2"/>
  <c r="D135" i="4" l="1"/>
  <c r="C272" i="2"/>
  <c r="C270" i="2"/>
  <c r="C271" i="2"/>
  <c r="C269" i="2"/>
  <c r="C248" i="2" l="1"/>
  <c r="C246" i="2"/>
  <c r="C247" i="2"/>
  <c r="E476" i="14" l="1"/>
  <c r="A476" i="14"/>
  <c r="V476" i="14" l="1"/>
  <c r="D133" i="4"/>
  <c r="D132" i="4"/>
  <c r="D131" i="4"/>
  <c r="D130" i="4"/>
  <c r="E471" i="14" l="1"/>
  <c r="A102" i="16"/>
  <c r="A101" i="16"/>
  <c r="A468" i="14"/>
  <c r="V468" i="14" l="1"/>
  <c r="D112" i="4"/>
  <c r="D113" i="4"/>
  <c r="D114" i="4"/>
  <c r="D115" i="4"/>
  <c r="D116" i="4"/>
  <c r="D117" i="4"/>
  <c r="C209" i="2"/>
  <c r="C211" i="2"/>
  <c r="D124" i="4"/>
  <c r="D123" i="4"/>
  <c r="D121" i="4"/>
  <c r="D122" i="4"/>
  <c r="D125" i="4"/>
  <c r="D126" i="4"/>
  <c r="D127" i="4"/>
  <c r="D120" i="4"/>
  <c r="G121" i="1"/>
  <c r="H121" i="1" s="1"/>
  <c r="J121" i="1" s="1"/>
  <c r="D121" i="1"/>
  <c r="C121" i="1"/>
  <c r="G122" i="1"/>
  <c r="H122" i="1" s="1"/>
  <c r="J122" i="1" s="1"/>
  <c r="D122" i="1"/>
  <c r="C122" i="1"/>
  <c r="V7" i="6" l="1"/>
  <c r="V8" i="6"/>
  <c r="V9" i="6"/>
  <c r="V10" i="6"/>
  <c r="V11" i="6"/>
  <c r="V12" i="6"/>
  <c r="V13" i="6"/>
  <c r="V14" i="6"/>
  <c r="V15" i="6"/>
  <c r="V16" i="6"/>
  <c r="V17" i="6"/>
  <c r="V21" i="6"/>
  <c r="V18" i="6"/>
  <c r="V19" i="6"/>
  <c r="V20" i="6"/>
  <c r="V22" i="6"/>
  <c r="V23" i="6"/>
  <c r="V24" i="6"/>
  <c r="V25" i="6"/>
  <c r="V26" i="6"/>
  <c r="V27" i="6"/>
  <c r="V28" i="6"/>
  <c r="V29" i="6"/>
  <c r="V30" i="6"/>
  <c r="V32" i="6"/>
  <c r="V33" i="6"/>
  <c r="V31" i="6"/>
  <c r="V34" i="6"/>
  <c r="V35" i="6"/>
  <c r="V37" i="6"/>
  <c r="V36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2" i="6"/>
  <c r="V53" i="6"/>
  <c r="V54" i="6"/>
  <c r="V55" i="6"/>
  <c r="V56" i="6"/>
  <c r="V57" i="6"/>
  <c r="V58" i="6"/>
  <c r="V60" i="6"/>
  <c r="V59" i="6"/>
  <c r="V61" i="6"/>
  <c r="V65" i="6"/>
  <c r="V62" i="6"/>
  <c r="V63" i="6"/>
  <c r="V64" i="6"/>
  <c r="V66" i="6"/>
  <c r="V67" i="6"/>
  <c r="V68" i="6"/>
  <c r="V69" i="6"/>
  <c r="V70" i="6"/>
  <c r="V71" i="6"/>
  <c r="V72" i="6"/>
  <c r="V75" i="6"/>
  <c r="V73" i="6"/>
  <c r="V80" i="6"/>
  <c r="V76" i="6"/>
  <c r="V78" i="6"/>
  <c r="V77" i="6"/>
  <c r="V79" i="6"/>
  <c r="V81" i="6"/>
  <c r="V74" i="6"/>
  <c r="V82" i="6"/>
  <c r="V84" i="6"/>
  <c r="V85" i="6"/>
  <c r="V86" i="6"/>
  <c r="V83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5" i="6"/>
  <c r="V113" i="6"/>
  <c r="V114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6" i="6"/>
  <c r="V5" i="6"/>
  <c r="U6" i="6"/>
  <c r="U7" i="6"/>
  <c r="U8" i="6"/>
  <c r="U9" i="6"/>
  <c r="U10" i="6"/>
  <c r="U11" i="6"/>
  <c r="U12" i="6"/>
  <c r="U13" i="6"/>
  <c r="U14" i="6"/>
  <c r="U15" i="6"/>
  <c r="U16" i="6"/>
  <c r="U17" i="6"/>
  <c r="U21" i="6"/>
  <c r="U18" i="6"/>
  <c r="U19" i="6"/>
  <c r="U20" i="6"/>
  <c r="U22" i="6"/>
  <c r="U23" i="6"/>
  <c r="U24" i="6"/>
  <c r="U25" i="6"/>
  <c r="U26" i="6"/>
  <c r="U27" i="6"/>
  <c r="U28" i="6"/>
  <c r="U29" i="6"/>
  <c r="U30" i="6"/>
  <c r="U32" i="6"/>
  <c r="U33" i="6"/>
  <c r="U31" i="6"/>
  <c r="U34" i="6"/>
  <c r="U35" i="6"/>
  <c r="U37" i="6"/>
  <c r="U36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2" i="6"/>
  <c r="U53" i="6"/>
  <c r="U54" i="6"/>
  <c r="U55" i="6"/>
  <c r="U56" i="6"/>
  <c r="U57" i="6"/>
  <c r="U58" i="6"/>
  <c r="U60" i="6"/>
  <c r="U59" i="6"/>
  <c r="U61" i="6"/>
  <c r="U65" i="6"/>
  <c r="U62" i="6"/>
  <c r="U63" i="6"/>
  <c r="U64" i="6"/>
  <c r="U66" i="6"/>
  <c r="U67" i="6"/>
  <c r="U68" i="6"/>
  <c r="U69" i="6"/>
  <c r="U70" i="6"/>
  <c r="U71" i="6"/>
  <c r="U72" i="6"/>
  <c r="U75" i="6"/>
  <c r="U73" i="6"/>
  <c r="U80" i="6"/>
  <c r="U76" i="6"/>
  <c r="U78" i="6"/>
  <c r="U77" i="6"/>
  <c r="U79" i="6"/>
  <c r="U81" i="6"/>
  <c r="U74" i="6"/>
  <c r="U82" i="6"/>
  <c r="U84" i="6"/>
  <c r="U85" i="6"/>
  <c r="U86" i="6"/>
  <c r="U83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5" i="6"/>
  <c r="U113" i="6"/>
  <c r="U114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5" i="6"/>
  <c r="A98" i="16"/>
  <c r="A97" i="16"/>
  <c r="D108" i="1"/>
  <c r="C169" i="2" l="1"/>
  <c r="C164" i="2" l="1"/>
  <c r="C162" i="2" l="1"/>
  <c r="C160" i="2" l="1"/>
  <c r="C159" i="2"/>
  <c r="C158" i="2"/>
  <c r="C155" i="2"/>
  <c r="C156" i="2"/>
  <c r="C157" i="2"/>
  <c r="M75" i="15" l="1"/>
  <c r="I75" i="15"/>
  <c r="M67" i="15"/>
  <c r="I67" i="15"/>
  <c r="M59" i="15"/>
  <c r="I59" i="15"/>
  <c r="M53" i="15"/>
  <c r="I53" i="15"/>
  <c r="M45" i="15"/>
  <c r="I45" i="15"/>
  <c r="D98" i="4" l="1"/>
  <c r="D99" i="4"/>
  <c r="D100" i="4"/>
  <c r="D101" i="4"/>
  <c r="D102" i="4"/>
  <c r="D103" i="4"/>
  <c r="D104" i="4"/>
  <c r="D105" i="4"/>
  <c r="D106" i="4"/>
  <c r="G96" i="4"/>
  <c r="D97" i="4"/>
  <c r="I96" i="4"/>
  <c r="H96" i="4"/>
  <c r="F96" i="4"/>
  <c r="A454" i="14"/>
  <c r="D96" i="4" l="1"/>
  <c r="E96" i="4" s="1"/>
  <c r="C140" i="2"/>
  <c r="C139" i="2"/>
  <c r="C129" i="2" l="1"/>
  <c r="C131" i="2" l="1"/>
  <c r="I37" i="15" l="1"/>
  <c r="D93" i="4" l="1"/>
  <c r="D87" i="4"/>
  <c r="D88" i="4"/>
  <c r="D89" i="4"/>
  <c r="D90" i="4"/>
  <c r="D91" i="4"/>
  <c r="D92" i="4"/>
  <c r="D86" i="4"/>
  <c r="D85" i="4" l="1"/>
  <c r="D81" i="4" l="1"/>
  <c r="D77" i="4"/>
  <c r="D83" i="4"/>
  <c r="D82" i="4"/>
  <c r="D78" i="4" l="1"/>
  <c r="E78" i="4" s="1"/>
  <c r="M29" i="15"/>
  <c r="I29" i="15"/>
  <c r="I87" i="16"/>
  <c r="I89" i="16"/>
  <c r="I88" i="16"/>
  <c r="H88" i="16"/>
  <c r="H87" i="16"/>
  <c r="G88" i="16"/>
  <c r="G87" i="16"/>
  <c r="I86" i="16"/>
  <c r="H86" i="16"/>
  <c r="G86" i="16"/>
  <c r="A86" i="16"/>
  <c r="I85" i="16"/>
  <c r="H85" i="16"/>
  <c r="G85" i="16"/>
  <c r="A85" i="16"/>
  <c r="C79" i="2" l="1"/>
  <c r="C78" i="2"/>
  <c r="C80" i="2"/>
  <c r="L284" i="14" l="1"/>
  <c r="I139" i="16" l="1"/>
  <c r="H139" i="16"/>
  <c r="G139" i="16"/>
  <c r="I138" i="16"/>
  <c r="H138" i="16"/>
  <c r="G138" i="16"/>
  <c r="A138" i="16"/>
  <c r="I137" i="16"/>
  <c r="H137" i="16"/>
  <c r="G137" i="16"/>
  <c r="A137" i="16"/>
  <c r="I135" i="16"/>
  <c r="H135" i="16"/>
  <c r="G135" i="16"/>
  <c r="A135" i="16"/>
  <c r="C77" i="2" l="1"/>
  <c r="D57" i="4" l="1"/>
  <c r="D62" i="4"/>
  <c r="D63" i="4"/>
  <c r="I45" i="4"/>
  <c r="H45" i="4"/>
  <c r="G45" i="4"/>
  <c r="F45" i="4"/>
  <c r="D58" i="4" l="1"/>
  <c r="D51" i="4"/>
  <c r="E51" i="4" s="1"/>
  <c r="D32" i="4"/>
  <c r="D24" i="4" s="1"/>
  <c r="E24" i="4" s="1"/>
  <c r="D33" i="4"/>
  <c r="E438" i="14"/>
  <c r="P19" i="6"/>
  <c r="Q19" i="6" s="1"/>
  <c r="I19" i="6"/>
  <c r="J19" i="6" s="1"/>
  <c r="L19" i="6" s="1"/>
  <c r="N19" i="6" s="1"/>
  <c r="O19" i="6" s="1"/>
  <c r="A433" i="14"/>
  <c r="W19" i="6"/>
  <c r="X19" i="6"/>
  <c r="D45" i="4" l="1"/>
  <c r="E45" i="4" s="1"/>
  <c r="V433" i="14"/>
  <c r="R19" i="6"/>
  <c r="S19" i="6" s="1"/>
  <c r="T19" i="6"/>
  <c r="C41" i="2"/>
  <c r="C43" i="2"/>
  <c r="M13" i="15" l="1"/>
  <c r="C21" i="2" l="1"/>
  <c r="D11" i="4" l="1"/>
  <c r="D22" i="4"/>
  <c r="D23" i="4"/>
  <c r="I136" i="16" l="1"/>
  <c r="H136" i="16"/>
  <c r="G136" i="16"/>
  <c r="H134" i="16"/>
  <c r="I134" i="16"/>
  <c r="G134" i="16"/>
  <c r="A139" i="16"/>
  <c r="A136" i="16"/>
  <c r="C6" i="2" l="1"/>
  <c r="I7" i="6" l="1"/>
  <c r="J7" i="6" s="1"/>
  <c r="P7" i="6"/>
  <c r="Q7" i="6" s="1"/>
  <c r="R7" i="6" s="1"/>
  <c r="I6" i="6"/>
  <c r="J6" i="6" s="1"/>
  <c r="L6" i="6" s="1"/>
  <c r="P6" i="6"/>
  <c r="Q6" i="6" s="1"/>
  <c r="I10" i="6"/>
  <c r="J10" i="6" s="1"/>
  <c r="L10" i="6" s="1"/>
  <c r="P10" i="6"/>
  <c r="Q10" i="6" s="1"/>
  <c r="I11" i="6"/>
  <c r="J11" i="6" s="1"/>
  <c r="P11" i="6"/>
  <c r="Q11" i="6" s="1"/>
  <c r="I8" i="6"/>
  <c r="J8" i="6" s="1"/>
  <c r="P8" i="6"/>
  <c r="Q8" i="6" s="1"/>
  <c r="R8" i="6" s="1"/>
  <c r="I9" i="6"/>
  <c r="J9" i="6" s="1"/>
  <c r="P9" i="6"/>
  <c r="Q9" i="6" s="1"/>
  <c r="R9" i="6" s="1"/>
  <c r="I12" i="6"/>
  <c r="J12" i="6" s="1"/>
  <c r="L12" i="6" s="1"/>
  <c r="P12" i="6"/>
  <c r="Q12" i="6" s="1"/>
  <c r="I13" i="6"/>
  <c r="J13" i="6" s="1"/>
  <c r="P13" i="6"/>
  <c r="Q13" i="6" s="1"/>
  <c r="I14" i="6"/>
  <c r="J14" i="6" s="1"/>
  <c r="P14" i="6"/>
  <c r="Q14" i="6" s="1"/>
  <c r="R14" i="6" s="1"/>
  <c r="I15" i="6"/>
  <c r="J15" i="6" s="1"/>
  <c r="L15" i="6" s="1"/>
  <c r="N15" i="6" s="1"/>
  <c r="O15" i="6" s="1"/>
  <c r="P15" i="6"/>
  <c r="Q15" i="6" s="1"/>
  <c r="R15" i="6" s="1"/>
  <c r="I16" i="6"/>
  <c r="J16" i="6" s="1"/>
  <c r="L16" i="6" s="1"/>
  <c r="P16" i="6"/>
  <c r="Q16" i="6" s="1"/>
  <c r="I17" i="6"/>
  <c r="J17" i="6" s="1"/>
  <c r="P17" i="6"/>
  <c r="Q17" i="6" s="1"/>
  <c r="I18" i="6"/>
  <c r="J18" i="6" s="1"/>
  <c r="P18" i="6"/>
  <c r="Q18" i="6" s="1"/>
  <c r="R18" i="6" s="1"/>
  <c r="I22" i="6"/>
  <c r="J22" i="6" s="1"/>
  <c r="L22" i="6" s="1"/>
  <c r="N22" i="6" s="1"/>
  <c r="O22" i="6" s="1"/>
  <c r="P22" i="6"/>
  <c r="Q22" i="6" s="1"/>
  <c r="R22" i="6" s="1"/>
  <c r="I21" i="6"/>
  <c r="J21" i="6" s="1"/>
  <c r="L21" i="6" s="1"/>
  <c r="P21" i="6"/>
  <c r="Q21" i="6" s="1"/>
  <c r="I20" i="6"/>
  <c r="J20" i="6" s="1"/>
  <c r="P20" i="6"/>
  <c r="Q20" i="6" s="1"/>
  <c r="I23" i="6"/>
  <c r="J23" i="6" s="1"/>
  <c r="P23" i="6"/>
  <c r="Q23" i="6" s="1"/>
  <c r="R23" i="6" s="1"/>
  <c r="I24" i="6"/>
  <c r="J24" i="6" s="1"/>
  <c r="L24" i="6" s="1"/>
  <c r="N24" i="6" s="1"/>
  <c r="O24" i="6" s="1"/>
  <c r="P24" i="6"/>
  <c r="Q24" i="6" s="1"/>
  <c r="R24" i="6" s="1"/>
  <c r="I25" i="6"/>
  <c r="J25" i="6" s="1"/>
  <c r="P25" i="6"/>
  <c r="Q25" i="6" s="1"/>
  <c r="I26" i="6"/>
  <c r="J26" i="6" s="1"/>
  <c r="P26" i="6"/>
  <c r="Q26" i="6" s="1"/>
  <c r="I27" i="6"/>
  <c r="J27" i="6" s="1"/>
  <c r="P27" i="6"/>
  <c r="Q27" i="6" s="1"/>
  <c r="R27" i="6" s="1"/>
  <c r="I28" i="6"/>
  <c r="J28" i="6" s="1"/>
  <c r="L28" i="6" s="1"/>
  <c r="P28" i="6"/>
  <c r="Q28" i="6" s="1"/>
  <c r="R28" i="6" s="1"/>
  <c r="I29" i="6"/>
  <c r="J29" i="6" s="1"/>
  <c r="L29" i="6" s="1"/>
  <c r="P29" i="6"/>
  <c r="Q29" i="6" s="1"/>
  <c r="I30" i="6"/>
  <c r="J30" i="6" s="1"/>
  <c r="P30" i="6"/>
  <c r="Q30" i="6" s="1"/>
  <c r="I32" i="6"/>
  <c r="J32" i="6" s="1"/>
  <c r="P32" i="6"/>
  <c r="Q32" i="6" s="1"/>
  <c r="R32" i="6" s="1"/>
  <c r="I33" i="6"/>
  <c r="P33" i="6"/>
  <c r="Q33" i="6" s="1"/>
  <c r="R33" i="6" s="1"/>
  <c r="I31" i="6"/>
  <c r="J31" i="6" s="1"/>
  <c r="P31" i="6"/>
  <c r="Q31" i="6" s="1"/>
  <c r="I34" i="6"/>
  <c r="J34" i="6" s="1"/>
  <c r="P34" i="6"/>
  <c r="Q34" i="6" s="1"/>
  <c r="R34" i="6" s="1"/>
  <c r="I35" i="6"/>
  <c r="J35" i="6" s="1"/>
  <c r="P35" i="6"/>
  <c r="Q35" i="6" s="1"/>
  <c r="R35" i="6" s="1"/>
  <c r="I37" i="6"/>
  <c r="J37" i="6" s="1"/>
  <c r="P37" i="6"/>
  <c r="Q37" i="6" s="1"/>
  <c r="I36" i="6"/>
  <c r="J36" i="6" s="1"/>
  <c r="P36" i="6"/>
  <c r="Q36" i="6" s="1"/>
  <c r="I38" i="6"/>
  <c r="J38" i="6" s="1"/>
  <c r="P38" i="6"/>
  <c r="Q38" i="6" s="1"/>
  <c r="I39" i="6"/>
  <c r="J39" i="6" s="1"/>
  <c r="P39" i="6"/>
  <c r="Q39" i="6" s="1"/>
  <c r="I40" i="6"/>
  <c r="J40" i="6" s="1"/>
  <c r="P40" i="6"/>
  <c r="Q40" i="6" s="1"/>
  <c r="I41" i="6"/>
  <c r="J41" i="6" s="1"/>
  <c r="L41" i="6" s="1"/>
  <c r="P41" i="6"/>
  <c r="Q41" i="6" s="1"/>
  <c r="I42" i="6"/>
  <c r="J42" i="6" s="1"/>
  <c r="L42" i="6" s="1"/>
  <c r="P42" i="6"/>
  <c r="Q42" i="6" s="1"/>
  <c r="R42" i="6" s="1"/>
  <c r="I43" i="6"/>
  <c r="J43" i="6" s="1"/>
  <c r="L43" i="6" s="1"/>
  <c r="P43" i="6"/>
  <c r="Q43" i="6" s="1"/>
  <c r="I44" i="6"/>
  <c r="J44" i="6" s="1"/>
  <c r="P44" i="6"/>
  <c r="Q44" i="6" s="1"/>
  <c r="I45" i="6"/>
  <c r="J45" i="6" s="1"/>
  <c r="P45" i="6"/>
  <c r="Q45" i="6" s="1"/>
  <c r="I46" i="6"/>
  <c r="J46" i="6" s="1"/>
  <c r="L46" i="6" s="1"/>
  <c r="N46" i="6" s="1"/>
  <c r="O46" i="6" s="1"/>
  <c r="P46" i="6"/>
  <c r="Q46" i="6" s="1"/>
  <c r="R46" i="6" s="1"/>
  <c r="I47" i="6"/>
  <c r="J47" i="6" s="1"/>
  <c r="P47" i="6"/>
  <c r="Q47" i="6" s="1"/>
  <c r="I48" i="6"/>
  <c r="J48" i="6" s="1"/>
  <c r="P48" i="6"/>
  <c r="Q48" i="6" s="1"/>
  <c r="I49" i="6"/>
  <c r="J49" i="6" s="1"/>
  <c r="L49" i="6" s="1"/>
  <c r="P49" i="6"/>
  <c r="Q49" i="6" s="1"/>
  <c r="I50" i="6"/>
  <c r="J50" i="6" s="1"/>
  <c r="L50" i="6" s="1"/>
  <c r="P50" i="6"/>
  <c r="Q50" i="6" s="1"/>
  <c r="R50" i="6" s="1"/>
  <c r="I52" i="6"/>
  <c r="J52" i="6" s="1"/>
  <c r="L52" i="6" s="1"/>
  <c r="P52" i="6"/>
  <c r="Q52" i="6" s="1"/>
  <c r="I53" i="6"/>
  <c r="J53" i="6" s="1"/>
  <c r="P53" i="6"/>
  <c r="Q53" i="6" s="1"/>
  <c r="I54" i="6"/>
  <c r="J54" i="6" s="1"/>
  <c r="P54" i="6"/>
  <c r="Q54" i="6" s="1"/>
  <c r="I55" i="6"/>
  <c r="J55" i="6" s="1"/>
  <c r="L55" i="6" s="1"/>
  <c r="N55" i="6" s="1"/>
  <c r="O55" i="6" s="1"/>
  <c r="P55" i="6"/>
  <c r="Q55" i="6" s="1"/>
  <c r="R55" i="6" s="1"/>
  <c r="I56" i="6"/>
  <c r="J56" i="6" s="1"/>
  <c r="P56" i="6"/>
  <c r="Q56" i="6" s="1"/>
  <c r="I57" i="6"/>
  <c r="J57" i="6" s="1"/>
  <c r="L57" i="6" s="1"/>
  <c r="P57" i="6"/>
  <c r="Q57" i="6" s="1"/>
  <c r="I58" i="6"/>
  <c r="J58" i="6" s="1"/>
  <c r="P58" i="6"/>
  <c r="Q58" i="6" s="1"/>
  <c r="R58" i="6" s="1"/>
  <c r="I60" i="6"/>
  <c r="J60" i="6" s="1"/>
  <c r="L60" i="6" s="1"/>
  <c r="P60" i="6"/>
  <c r="Q60" i="6" s="1"/>
  <c r="R60" i="6" s="1"/>
  <c r="I59" i="6"/>
  <c r="J59" i="6" s="1"/>
  <c r="P59" i="6"/>
  <c r="Q59" i="6" s="1"/>
  <c r="I61" i="6"/>
  <c r="J61" i="6" s="1"/>
  <c r="P61" i="6"/>
  <c r="Q61" i="6" s="1"/>
  <c r="I65" i="6"/>
  <c r="J65" i="6" s="1"/>
  <c r="L65" i="6" s="1"/>
  <c r="P65" i="6"/>
  <c r="Q65" i="6" s="1"/>
  <c r="R65" i="6" s="1"/>
  <c r="I62" i="6"/>
  <c r="J62" i="6" s="1"/>
  <c r="L62" i="6" s="1"/>
  <c r="P62" i="6"/>
  <c r="Q62" i="6" s="1"/>
  <c r="I63" i="6"/>
  <c r="J63" i="6" s="1"/>
  <c r="P63" i="6"/>
  <c r="Q63" i="6" s="1"/>
  <c r="I64" i="6"/>
  <c r="J64" i="6" s="1"/>
  <c r="L64" i="6" s="1"/>
  <c r="P64" i="6"/>
  <c r="Q64" i="6" s="1"/>
  <c r="I66" i="6"/>
  <c r="J66" i="6" s="1"/>
  <c r="P66" i="6"/>
  <c r="Q66" i="6" s="1"/>
  <c r="R66" i="6" s="1"/>
  <c r="I67" i="6"/>
  <c r="J67" i="6" s="1"/>
  <c r="P67" i="6"/>
  <c r="Q67" i="6" s="1"/>
  <c r="I68" i="6"/>
  <c r="J68" i="6" s="1"/>
  <c r="L68" i="6" s="1"/>
  <c r="P68" i="6"/>
  <c r="Q68" i="6" s="1"/>
  <c r="I69" i="6"/>
  <c r="J69" i="6" s="1"/>
  <c r="P69" i="6"/>
  <c r="Q69" i="6" s="1"/>
  <c r="I70" i="6"/>
  <c r="J70" i="6" s="1"/>
  <c r="P70" i="6"/>
  <c r="Q70" i="6" s="1"/>
  <c r="R70" i="6" s="1"/>
  <c r="S70" i="6" s="1"/>
  <c r="I71" i="6"/>
  <c r="J71" i="6" s="1"/>
  <c r="P71" i="6"/>
  <c r="Q71" i="6" s="1"/>
  <c r="T71" i="6" s="1"/>
  <c r="I72" i="6"/>
  <c r="J72" i="6" s="1"/>
  <c r="P72" i="6"/>
  <c r="Q72" i="6" s="1"/>
  <c r="I75" i="6"/>
  <c r="J75" i="6" s="1"/>
  <c r="P75" i="6"/>
  <c r="Q75" i="6" s="1"/>
  <c r="I73" i="6"/>
  <c r="J73" i="6" s="1"/>
  <c r="P73" i="6"/>
  <c r="Q73" i="6" s="1"/>
  <c r="I80" i="6"/>
  <c r="J80" i="6" s="1"/>
  <c r="L80" i="6" s="1"/>
  <c r="N80" i="6" s="1"/>
  <c r="O80" i="6" s="1"/>
  <c r="P80" i="6"/>
  <c r="Q80" i="6" s="1"/>
  <c r="I76" i="6"/>
  <c r="J76" i="6" s="1"/>
  <c r="L76" i="6" s="1"/>
  <c r="P76" i="6"/>
  <c r="Q76" i="6" s="1"/>
  <c r="I78" i="6"/>
  <c r="J78" i="6" s="1"/>
  <c r="P78" i="6"/>
  <c r="Q78" i="6" s="1"/>
  <c r="I77" i="6"/>
  <c r="J77" i="6" s="1"/>
  <c r="L77" i="6" s="1"/>
  <c r="P77" i="6"/>
  <c r="Q77" i="6" s="1"/>
  <c r="I79" i="6"/>
  <c r="J79" i="6" s="1"/>
  <c r="L79" i="6" s="1"/>
  <c r="P79" i="6"/>
  <c r="Q79" i="6" s="1"/>
  <c r="R79" i="6" s="1"/>
  <c r="I81" i="6"/>
  <c r="J81" i="6" s="1"/>
  <c r="P81" i="6"/>
  <c r="Q81" i="6" s="1"/>
  <c r="I74" i="6"/>
  <c r="J74" i="6" s="1"/>
  <c r="P74" i="6"/>
  <c r="Q74" i="6" s="1"/>
  <c r="T74" i="6" s="1"/>
  <c r="I82" i="6"/>
  <c r="J82" i="6" s="1"/>
  <c r="L82" i="6" s="1"/>
  <c r="N82" i="6" s="1"/>
  <c r="O82" i="6" s="1"/>
  <c r="P82" i="6"/>
  <c r="Q82" i="6" s="1"/>
  <c r="I84" i="6"/>
  <c r="J84" i="6" s="1"/>
  <c r="L84" i="6" s="1"/>
  <c r="P84" i="6"/>
  <c r="Q84" i="6" s="1"/>
  <c r="I85" i="6"/>
  <c r="J85" i="6" s="1"/>
  <c r="P85" i="6"/>
  <c r="Q85" i="6" s="1"/>
  <c r="I86" i="6"/>
  <c r="J86" i="6" s="1"/>
  <c r="L86" i="6" s="1"/>
  <c r="P86" i="6"/>
  <c r="Q86" i="6" s="1"/>
  <c r="I83" i="6"/>
  <c r="J83" i="6" s="1"/>
  <c r="P83" i="6"/>
  <c r="Q83" i="6" s="1"/>
  <c r="I87" i="6"/>
  <c r="J87" i="6" s="1"/>
  <c r="L87" i="6" s="1"/>
  <c r="P87" i="6"/>
  <c r="Q87" i="6" s="1"/>
  <c r="I88" i="6"/>
  <c r="J88" i="6" s="1"/>
  <c r="P88" i="6"/>
  <c r="Q88" i="6" s="1"/>
  <c r="I89" i="6"/>
  <c r="J89" i="6" s="1"/>
  <c r="P89" i="6"/>
  <c r="Q89" i="6" s="1"/>
  <c r="T89" i="6" s="1"/>
  <c r="I90" i="6"/>
  <c r="J90" i="6" s="1"/>
  <c r="P90" i="6"/>
  <c r="Q90" i="6" s="1"/>
  <c r="I91" i="6"/>
  <c r="J91" i="6" s="1"/>
  <c r="L91" i="6" s="1"/>
  <c r="P91" i="6"/>
  <c r="Q91" i="6" s="1"/>
  <c r="I92" i="6"/>
  <c r="J92" i="6" s="1"/>
  <c r="P92" i="6"/>
  <c r="Q92" i="6" s="1"/>
  <c r="R92" i="6" s="1"/>
  <c r="I93" i="6"/>
  <c r="J93" i="6" s="1"/>
  <c r="L93" i="6" s="1"/>
  <c r="P93" i="6"/>
  <c r="Q93" i="6" s="1"/>
  <c r="I94" i="6"/>
  <c r="J94" i="6" s="1"/>
  <c r="P94" i="6"/>
  <c r="Q94" i="6" s="1"/>
  <c r="I95" i="6"/>
  <c r="J95" i="6" s="1"/>
  <c r="L95" i="6" s="1"/>
  <c r="P95" i="6"/>
  <c r="Q95" i="6" s="1"/>
  <c r="I96" i="6"/>
  <c r="J96" i="6" s="1"/>
  <c r="P96" i="6"/>
  <c r="Q96" i="6" s="1"/>
  <c r="T96" i="6" s="1"/>
  <c r="I97" i="6"/>
  <c r="J97" i="6" s="1"/>
  <c r="P97" i="6"/>
  <c r="Q97" i="6" s="1"/>
  <c r="T97" i="6" s="1"/>
  <c r="I98" i="6"/>
  <c r="J98" i="6" s="1"/>
  <c r="P98" i="6"/>
  <c r="Q98" i="6" s="1"/>
  <c r="I99" i="6"/>
  <c r="J99" i="6" s="1"/>
  <c r="L99" i="6" s="1"/>
  <c r="P99" i="6"/>
  <c r="Q99" i="6" s="1"/>
  <c r="I100" i="6"/>
  <c r="J100" i="6" s="1"/>
  <c r="P100" i="6"/>
  <c r="Q100" i="6" s="1"/>
  <c r="R100" i="6" s="1"/>
  <c r="I101" i="6"/>
  <c r="J101" i="6" s="1"/>
  <c r="L101" i="6" s="1"/>
  <c r="P101" i="6"/>
  <c r="Q101" i="6" s="1"/>
  <c r="I102" i="6"/>
  <c r="J102" i="6" s="1"/>
  <c r="P102" i="6"/>
  <c r="Q102" i="6" s="1"/>
  <c r="I103" i="6"/>
  <c r="J103" i="6" s="1"/>
  <c r="L103" i="6" s="1"/>
  <c r="P103" i="6"/>
  <c r="Q103" i="6" s="1"/>
  <c r="I104" i="6"/>
  <c r="J104" i="6" s="1"/>
  <c r="P104" i="6"/>
  <c r="Q104" i="6" s="1"/>
  <c r="I105" i="6"/>
  <c r="J105" i="6" s="1"/>
  <c r="P105" i="6"/>
  <c r="Q105" i="6" s="1"/>
  <c r="T105" i="6" s="1"/>
  <c r="I106" i="6"/>
  <c r="J106" i="6" s="1"/>
  <c r="P106" i="6"/>
  <c r="Q106" i="6" s="1"/>
  <c r="I107" i="6"/>
  <c r="J107" i="6" s="1"/>
  <c r="L107" i="6" s="1"/>
  <c r="P107" i="6"/>
  <c r="Q107" i="6" s="1"/>
  <c r="I108" i="6"/>
  <c r="J108" i="6" s="1"/>
  <c r="P108" i="6"/>
  <c r="Q108" i="6" s="1"/>
  <c r="R108" i="6" s="1"/>
  <c r="I109" i="6"/>
  <c r="J109" i="6" s="1"/>
  <c r="L109" i="6" s="1"/>
  <c r="P109" i="6"/>
  <c r="Q109" i="6" s="1"/>
  <c r="I110" i="6"/>
  <c r="J110" i="6" s="1"/>
  <c r="P110" i="6"/>
  <c r="Q110" i="6" s="1"/>
  <c r="I111" i="6"/>
  <c r="J111" i="6" s="1"/>
  <c r="L111" i="6" s="1"/>
  <c r="P111" i="6"/>
  <c r="Q111" i="6" s="1"/>
  <c r="I112" i="6"/>
  <c r="J112" i="6" s="1"/>
  <c r="P112" i="6"/>
  <c r="Q112" i="6" s="1"/>
  <c r="T112" i="6" s="1"/>
  <c r="I115" i="6"/>
  <c r="J115" i="6" s="1"/>
  <c r="P115" i="6"/>
  <c r="Q115" i="6" s="1"/>
  <c r="I113" i="6"/>
  <c r="J113" i="6" s="1"/>
  <c r="P113" i="6"/>
  <c r="Q113" i="6" s="1"/>
  <c r="I114" i="6"/>
  <c r="J114" i="6" s="1"/>
  <c r="P114" i="6"/>
  <c r="Q114" i="6" s="1"/>
  <c r="I116" i="6"/>
  <c r="J116" i="6" s="1"/>
  <c r="P116" i="6"/>
  <c r="Q116" i="6" s="1"/>
  <c r="I117" i="6"/>
  <c r="J117" i="6" s="1"/>
  <c r="L117" i="6" s="1"/>
  <c r="P117" i="6"/>
  <c r="Q117" i="6" s="1"/>
  <c r="R117" i="6" s="1"/>
  <c r="I118" i="6"/>
  <c r="J118" i="6" s="1"/>
  <c r="L118" i="6" s="1"/>
  <c r="P118" i="6"/>
  <c r="Q118" i="6" s="1"/>
  <c r="I119" i="6"/>
  <c r="J119" i="6" s="1"/>
  <c r="L119" i="6" s="1"/>
  <c r="P119" i="6"/>
  <c r="Q119" i="6" s="1"/>
  <c r="I120" i="6"/>
  <c r="J120" i="6" s="1"/>
  <c r="L120" i="6" s="1"/>
  <c r="P120" i="6"/>
  <c r="Q120" i="6" s="1"/>
  <c r="I121" i="6"/>
  <c r="J121" i="6" s="1"/>
  <c r="P121" i="6"/>
  <c r="Q121" i="6" s="1"/>
  <c r="I122" i="6"/>
  <c r="J122" i="6" s="1"/>
  <c r="L122" i="6" s="1"/>
  <c r="P122" i="6"/>
  <c r="Q122" i="6" s="1"/>
  <c r="I123" i="6"/>
  <c r="J123" i="6" s="1"/>
  <c r="L123" i="6" s="1"/>
  <c r="P123" i="6"/>
  <c r="Q123" i="6" s="1"/>
  <c r="I124" i="6"/>
  <c r="J124" i="6" s="1"/>
  <c r="P124" i="6"/>
  <c r="Q124" i="6" s="1"/>
  <c r="I125" i="6"/>
  <c r="J125" i="6" s="1"/>
  <c r="P125" i="6"/>
  <c r="Q125" i="6" s="1"/>
  <c r="I126" i="6"/>
  <c r="J126" i="6" s="1"/>
  <c r="L126" i="6" s="1"/>
  <c r="P126" i="6"/>
  <c r="Q126" i="6" s="1"/>
  <c r="R126" i="6" s="1"/>
  <c r="I127" i="6"/>
  <c r="J127" i="6" s="1"/>
  <c r="L127" i="6" s="1"/>
  <c r="P127" i="6"/>
  <c r="Q127" i="6" s="1"/>
  <c r="I128" i="6"/>
  <c r="J128" i="6" s="1"/>
  <c r="L128" i="6" s="1"/>
  <c r="P128" i="6"/>
  <c r="Q128" i="6" s="1"/>
  <c r="R128" i="6" s="1"/>
  <c r="I129" i="6"/>
  <c r="J129" i="6" s="1"/>
  <c r="P129" i="6"/>
  <c r="Q129" i="6" s="1"/>
  <c r="I130" i="6"/>
  <c r="J130" i="6" s="1"/>
  <c r="L130" i="6" s="1"/>
  <c r="P130" i="6"/>
  <c r="Q130" i="6" s="1"/>
  <c r="I131" i="6"/>
  <c r="J131" i="6" s="1"/>
  <c r="L131" i="6" s="1"/>
  <c r="P131" i="6"/>
  <c r="Q131" i="6" s="1"/>
  <c r="I132" i="6"/>
  <c r="J132" i="6" s="1"/>
  <c r="P132" i="6"/>
  <c r="Q132" i="6" s="1"/>
  <c r="I133" i="6"/>
  <c r="J133" i="6" s="1"/>
  <c r="P133" i="6"/>
  <c r="Q133" i="6" s="1"/>
  <c r="I134" i="6"/>
  <c r="J134" i="6" s="1"/>
  <c r="L134" i="6" s="1"/>
  <c r="N134" i="6" s="1"/>
  <c r="O134" i="6" s="1"/>
  <c r="P134" i="6"/>
  <c r="Q134" i="6" s="1"/>
  <c r="T134" i="6" s="1"/>
  <c r="I135" i="6"/>
  <c r="J135" i="6" s="1"/>
  <c r="L135" i="6" s="1"/>
  <c r="P135" i="6"/>
  <c r="Q135" i="6" s="1"/>
  <c r="I136" i="6"/>
  <c r="J136" i="6" s="1"/>
  <c r="L136" i="6" s="1"/>
  <c r="P136" i="6"/>
  <c r="Q136" i="6" s="1"/>
  <c r="R136" i="6" s="1"/>
  <c r="I137" i="6"/>
  <c r="J137" i="6" s="1"/>
  <c r="L137" i="6" s="1"/>
  <c r="P137" i="6"/>
  <c r="Q137" i="6" s="1"/>
  <c r="I138" i="6"/>
  <c r="J138" i="6" s="1"/>
  <c r="P138" i="6"/>
  <c r="Q138" i="6" s="1"/>
  <c r="T138" i="6" s="1"/>
  <c r="I139" i="6"/>
  <c r="J139" i="6" s="1"/>
  <c r="P139" i="6"/>
  <c r="Q139" i="6" s="1"/>
  <c r="I140" i="6"/>
  <c r="J140" i="6" s="1"/>
  <c r="L140" i="6" s="1"/>
  <c r="N140" i="6" s="1"/>
  <c r="O140" i="6" s="1"/>
  <c r="P140" i="6"/>
  <c r="Q140" i="6" s="1"/>
  <c r="T140" i="6" s="1"/>
  <c r="P5" i="6"/>
  <c r="Q5" i="6" s="1"/>
  <c r="R5" i="6" s="1"/>
  <c r="I5" i="6"/>
  <c r="J5" i="6" s="1"/>
  <c r="W10" i="6"/>
  <c r="T125" i="6" l="1"/>
  <c r="T123" i="6"/>
  <c r="T114" i="6"/>
  <c r="T133" i="6"/>
  <c r="T115" i="6"/>
  <c r="T88" i="6"/>
  <c r="T81" i="6"/>
  <c r="T72" i="6"/>
  <c r="T69" i="6"/>
  <c r="T39" i="6"/>
  <c r="L37" i="6"/>
  <c r="T63" i="6"/>
  <c r="T61" i="6"/>
  <c r="T52" i="6"/>
  <c r="T43" i="6"/>
  <c r="T47" i="6"/>
  <c r="J33" i="6"/>
  <c r="L33" i="6" s="1"/>
  <c r="N33" i="6" s="1"/>
  <c r="O33" i="6" s="1"/>
  <c r="L25" i="6"/>
  <c r="T65" i="6"/>
  <c r="R133" i="6"/>
  <c r="S133" i="6" s="1"/>
  <c r="T70" i="6"/>
  <c r="T92" i="6"/>
  <c r="R115" i="6"/>
  <c r="N93" i="6"/>
  <c r="O93" i="6" s="1"/>
  <c r="S92" i="6"/>
  <c r="N41" i="6"/>
  <c r="O41" i="6" s="1"/>
  <c r="S65" i="6"/>
  <c r="R120" i="6"/>
  <c r="S120" i="6" s="1"/>
  <c r="R80" i="6"/>
  <c r="T80" i="6"/>
  <c r="R68" i="6"/>
  <c r="T68" i="6"/>
  <c r="L133" i="6"/>
  <c r="N133" i="6" s="1"/>
  <c r="O133" i="6" s="1"/>
  <c r="N119" i="6"/>
  <c r="O119" i="6" s="1"/>
  <c r="N109" i="6"/>
  <c r="O109" i="6" s="1"/>
  <c r="R97" i="6"/>
  <c r="S97" i="6" s="1"/>
  <c r="N84" i="6"/>
  <c r="O84" i="6" s="1"/>
  <c r="R74" i="6"/>
  <c r="S74" i="6" s="1"/>
  <c r="R134" i="6"/>
  <c r="S134" i="6" s="1"/>
  <c r="N127" i="6"/>
  <c r="O127" i="6" s="1"/>
  <c r="N126" i="6"/>
  <c r="O126" i="6" s="1"/>
  <c r="R114" i="6"/>
  <c r="R89" i="6"/>
  <c r="S89" i="6" s="1"/>
  <c r="R71" i="6"/>
  <c r="S71" i="6" s="1"/>
  <c r="T58" i="6"/>
  <c r="R140" i="6"/>
  <c r="S128" i="6"/>
  <c r="R125" i="6"/>
  <c r="R123" i="6"/>
  <c r="N117" i="6"/>
  <c r="O117" i="6" s="1"/>
  <c r="S108" i="6"/>
  <c r="N86" i="6"/>
  <c r="O86" i="6" s="1"/>
  <c r="N50" i="6"/>
  <c r="O50" i="6" s="1"/>
  <c r="N49" i="6"/>
  <c r="O49" i="6" s="1"/>
  <c r="N28" i="6"/>
  <c r="O28" i="6" s="1"/>
  <c r="R59" i="6" l="1"/>
  <c r="T59" i="6"/>
  <c r="L74" i="6"/>
  <c r="N74" i="6" s="1"/>
  <c r="O74" i="6" s="1"/>
  <c r="R104" i="6"/>
  <c r="S104" i="6" s="1"/>
  <c r="L97" i="6"/>
  <c r="N97" i="6" s="1"/>
  <c r="O97" i="6" s="1"/>
  <c r="T62" i="6"/>
  <c r="R57" i="6"/>
  <c r="S57" i="6" s="1"/>
  <c r="T57" i="6"/>
  <c r="T139" i="6"/>
  <c r="R139" i="6"/>
  <c r="S139" i="6" s="1"/>
  <c r="T117" i="6"/>
  <c r="S117" i="6"/>
  <c r="R112" i="6"/>
  <c r="S112" i="6" s="1"/>
  <c r="L105" i="6"/>
  <c r="N105" i="6" s="1"/>
  <c r="O105" i="6" s="1"/>
  <c r="L59" i="6"/>
  <c r="N59" i="6" s="1"/>
  <c r="O59" i="6" s="1"/>
  <c r="N135" i="6"/>
  <c r="O135" i="6" s="1"/>
  <c r="N118" i="6"/>
  <c r="O118" i="6" s="1"/>
  <c r="L115" i="6"/>
  <c r="N115" i="6" s="1"/>
  <c r="O115" i="6" s="1"/>
  <c r="T101" i="6"/>
  <c r="R101" i="6"/>
  <c r="S101" i="6" s="1"/>
  <c r="R88" i="6"/>
  <c r="S88" i="6" s="1"/>
  <c r="S125" i="6"/>
  <c r="N123" i="6"/>
  <c r="O123" i="6" s="1"/>
  <c r="L114" i="6"/>
  <c r="N114" i="6" s="1"/>
  <c r="O114" i="6" s="1"/>
  <c r="S115" i="6"/>
  <c r="T109" i="6"/>
  <c r="R109" i="6"/>
  <c r="S109" i="6" s="1"/>
  <c r="T108" i="6"/>
  <c r="R105" i="6"/>
  <c r="S105" i="6" s="1"/>
  <c r="T104" i="6"/>
  <c r="N101" i="6"/>
  <c r="O101" i="6" s="1"/>
  <c r="S100" i="6"/>
  <c r="R96" i="6"/>
  <c r="S96" i="6" s="1"/>
  <c r="L89" i="6"/>
  <c r="N89" i="6" s="1"/>
  <c r="O89" i="6" s="1"/>
  <c r="N68" i="6"/>
  <c r="O68" i="6" s="1"/>
  <c r="R62" i="6"/>
  <c r="S62" i="6" s="1"/>
  <c r="L45" i="6"/>
  <c r="N45" i="6" s="1"/>
  <c r="O45" i="6" s="1"/>
  <c r="N42" i="6"/>
  <c r="O42" i="6" s="1"/>
  <c r="T131" i="6"/>
  <c r="R131" i="6"/>
  <c r="T86" i="6"/>
  <c r="R86" i="6"/>
  <c r="S86" i="6" s="1"/>
  <c r="L71" i="6"/>
  <c r="N71" i="6" s="1"/>
  <c r="O71" i="6" s="1"/>
  <c r="L63" i="6"/>
  <c r="N63" i="6" s="1"/>
  <c r="O63" i="6" s="1"/>
  <c r="L54" i="6"/>
  <c r="N54" i="6" s="1"/>
  <c r="O54" i="6" s="1"/>
  <c r="T126" i="6"/>
  <c r="S126" i="6"/>
  <c r="T93" i="6"/>
  <c r="R93" i="6"/>
  <c r="S93" i="6" s="1"/>
  <c r="L35" i="6"/>
  <c r="N35" i="6" s="1"/>
  <c r="O35" i="6" s="1"/>
  <c r="L125" i="6"/>
  <c r="N125" i="6" s="1"/>
  <c r="O125" i="6" s="1"/>
  <c r="T118" i="6"/>
  <c r="R118" i="6"/>
  <c r="S118" i="6" s="1"/>
  <c r="T100" i="6"/>
  <c r="T82" i="6"/>
  <c r="R82" i="6"/>
  <c r="S82" i="6" s="1"/>
  <c r="L9" i="6"/>
  <c r="N9" i="6" s="1"/>
  <c r="O9" i="6" s="1"/>
  <c r="L7" i="6"/>
  <c r="N7" i="6" s="1"/>
  <c r="O7" i="6" s="1"/>
  <c r="L132" i="6" l="1"/>
  <c r="N132" i="6" s="1"/>
  <c r="O132" i="6" s="1"/>
  <c r="R124" i="6"/>
  <c r="S124" i="6" s="1"/>
  <c r="T124" i="6"/>
  <c r="T121" i="6"/>
  <c r="R121" i="6"/>
  <c r="S121" i="6" s="1"/>
  <c r="L110" i="6"/>
  <c r="N110" i="6" s="1"/>
  <c r="O110" i="6" s="1"/>
  <c r="L102" i="6"/>
  <c r="N102" i="6" s="1"/>
  <c r="O102" i="6" s="1"/>
  <c r="T98" i="6"/>
  <c r="R98" i="6"/>
  <c r="S98" i="6" s="1"/>
  <c r="R95" i="6"/>
  <c r="S95" i="6" s="1"/>
  <c r="T95" i="6"/>
  <c r="L83" i="6"/>
  <c r="N83" i="6" s="1"/>
  <c r="O83" i="6" s="1"/>
  <c r="R78" i="6"/>
  <c r="S78" i="6" s="1"/>
  <c r="T78" i="6"/>
  <c r="N137" i="6"/>
  <c r="O137" i="6" s="1"/>
  <c r="N130" i="6"/>
  <c r="O130" i="6" s="1"/>
  <c r="T127" i="6"/>
  <c r="R127" i="6"/>
  <c r="S127" i="6" s="1"/>
  <c r="L124" i="6"/>
  <c r="N124" i="6" s="1"/>
  <c r="O124" i="6" s="1"/>
  <c r="L121" i="6"/>
  <c r="N121" i="6" s="1"/>
  <c r="O121" i="6" s="1"/>
  <c r="R116" i="6"/>
  <c r="S116" i="6" s="1"/>
  <c r="T116" i="6"/>
  <c r="L112" i="6"/>
  <c r="N112" i="6" s="1"/>
  <c r="O112" i="6" s="1"/>
  <c r="L104" i="6"/>
  <c r="N104" i="6" s="1"/>
  <c r="O104" i="6" s="1"/>
  <c r="L96" i="6"/>
  <c r="N96" i="6" s="1"/>
  <c r="O96" i="6" s="1"/>
  <c r="L88" i="6"/>
  <c r="N88" i="6" s="1"/>
  <c r="O88" i="6" s="1"/>
  <c r="R138" i="6"/>
  <c r="S138" i="6" s="1"/>
  <c r="R137" i="6"/>
  <c r="S137" i="6" s="1"/>
  <c r="T137" i="6"/>
  <c r="S136" i="6"/>
  <c r="N131" i="6"/>
  <c r="O131" i="6" s="1"/>
  <c r="T130" i="6"/>
  <c r="R130" i="6"/>
  <c r="S130" i="6" s="1"/>
  <c r="N122" i="6"/>
  <c r="O122" i="6" s="1"/>
  <c r="R119" i="6"/>
  <c r="S119" i="6" s="1"/>
  <c r="T119" i="6"/>
  <c r="L116" i="6"/>
  <c r="N116" i="6" s="1"/>
  <c r="O116" i="6" s="1"/>
  <c r="L113" i="6"/>
  <c r="N113" i="6" s="1"/>
  <c r="O113" i="6" s="1"/>
  <c r="T110" i="6"/>
  <c r="R110" i="6"/>
  <c r="S110" i="6" s="1"/>
  <c r="R107" i="6"/>
  <c r="S107" i="6" s="1"/>
  <c r="T107" i="6"/>
  <c r="L106" i="6"/>
  <c r="N106" i="6" s="1"/>
  <c r="O106" i="6" s="1"/>
  <c r="T102" i="6"/>
  <c r="R102" i="6"/>
  <c r="S102" i="6" s="1"/>
  <c r="R99" i="6"/>
  <c r="S99" i="6" s="1"/>
  <c r="T99" i="6"/>
  <c r="L98" i="6"/>
  <c r="N98" i="6" s="1"/>
  <c r="O98" i="6" s="1"/>
  <c r="T94" i="6"/>
  <c r="R94" i="6"/>
  <c r="S94" i="6" s="1"/>
  <c r="R91" i="6"/>
  <c r="S91" i="6" s="1"/>
  <c r="T91" i="6"/>
  <c r="L90" i="6"/>
  <c r="N90" i="6" s="1"/>
  <c r="O90" i="6" s="1"/>
  <c r="T83" i="6"/>
  <c r="R83" i="6"/>
  <c r="S83" i="6" s="1"/>
  <c r="R84" i="6"/>
  <c r="S84" i="6" s="1"/>
  <c r="T84" i="6"/>
  <c r="R135" i="6"/>
  <c r="S135" i="6" s="1"/>
  <c r="T135" i="6"/>
  <c r="L129" i="6"/>
  <c r="N129" i="6" s="1"/>
  <c r="O129" i="6" s="1"/>
  <c r="T113" i="6"/>
  <c r="R113" i="6"/>
  <c r="S113" i="6" s="1"/>
  <c r="R111" i="6"/>
  <c r="S111" i="6" s="1"/>
  <c r="T111" i="6"/>
  <c r="T106" i="6"/>
  <c r="R106" i="6"/>
  <c r="S106" i="6" s="1"/>
  <c r="R103" i="6"/>
  <c r="S103" i="6" s="1"/>
  <c r="T103" i="6"/>
  <c r="L94" i="6"/>
  <c r="N94" i="6" s="1"/>
  <c r="O94" i="6" s="1"/>
  <c r="T90" i="6"/>
  <c r="R90" i="6"/>
  <c r="S90" i="6" s="1"/>
  <c r="R87" i="6"/>
  <c r="S87" i="6" s="1"/>
  <c r="T87" i="6"/>
  <c r="L139" i="6"/>
  <c r="N139" i="6" s="1"/>
  <c r="O139" i="6" s="1"/>
  <c r="L138" i="6"/>
  <c r="N138" i="6" s="1"/>
  <c r="O138" i="6" s="1"/>
  <c r="R132" i="6"/>
  <c r="S132" i="6" s="1"/>
  <c r="T132" i="6"/>
  <c r="R129" i="6"/>
  <c r="S129" i="6" s="1"/>
  <c r="T129" i="6"/>
  <c r="T122" i="6"/>
  <c r="R122" i="6"/>
  <c r="S122" i="6" s="1"/>
  <c r="L108" i="6"/>
  <c r="N108" i="6" s="1"/>
  <c r="O108" i="6" s="1"/>
  <c r="L100" i="6"/>
  <c r="N100" i="6" s="1"/>
  <c r="O100" i="6" s="1"/>
  <c r="L92" i="6"/>
  <c r="N92" i="6" s="1"/>
  <c r="O92" i="6" s="1"/>
  <c r="L85" i="6"/>
  <c r="N85" i="6" s="1"/>
  <c r="O85" i="6" s="1"/>
  <c r="L72" i="6"/>
  <c r="N72" i="6" s="1"/>
  <c r="O72" i="6" s="1"/>
  <c r="L56" i="6"/>
  <c r="N56" i="6" s="1"/>
  <c r="O56" i="6" s="1"/>
  <c r="N136" i="6"/>
  <c r="O136" i="6" s="1"/>
  <c r="N120" i="6"/>
  <c r="O120" i="6" s="1"/>
  <c r="R85" i="6"/>
  <c r="S85" i="6" s="1"/>
  <c r="T85" i="6"/>
  <c r="N76" i="6"/>
  <c r="O76" i="6" s="1"/>
  <c r="L67" i="6"/>
  <c r="N67" i="6" s="1"/>
  <c r="O67" i="6" s="1"/>
  <c r="N64" i="6"/>
  <c r="O64" i="6" s="1"/>
  <c r="N60" i="6"/>
  <c r="O60" i="6" s="1"/>
  <c r="T49" i="6"/>
  <c r="R49" i="6"/>
  <c r="S49" i="6" s="1"/>
  <c r="R26" i="6"/>
  <c r="S26" i="6" s="1"/>
  <c r="T26" i="6"/>
  <c r="L18" i="6"/>
  <c r="N18" i="6" s="1"/>
  <c r="O18" i="6" s="1"/>
  <c r="L17" i="6"/>
  <c r="N17" i="6" s="1"/>
  <c r="O17" i="6" s="1"/>
  <c r="T14" i="6"/>
  <c r="S14" i="6"/>
  <c r="T136" i="6"/>
  <c r="S140" i="6"/>
  <c r="T128" i="6"/>
  <c r="T120" i="6"/>
  <c r="N111" i="6"/>
  <c r="O111" i="6" s="1"/>
  <c r="N107" i="6"/>
  <c r="O107" i="6" s="1"/>
  <c r="N103" i="6"/>
  <c r="O103" i="6" s="1"/>
  <c r="N99" i="6"/>
  <c r="O99" i="6" s="1"/>
  <c r="N95" i="6"/>
  <c r="O95" i="6" s="1"/>
  <c r="N91" i="6"/>
  <c r="O91" i="6" s="1"/>
  <c r="N87" i="6"/>
  <c r="O87" i="6" s="1"/>
  <c r="L81" i="6"/>
  <c r="N81" i="6" s="1"/>
  <c r="O81" i="6" s="1"/>
  <c r="S79" i="6"/>
  <c r="T79" i="6"/>
  <c r="R73" i="6"/>
  <c r="S73" i="6" s="1"/>
  <c r="T73" i="6"/>
  <c r="L70" i="6"/>
  <c r="N70" i="6" s="1"/>
  <c r="O70" i="6" s="1"/>
  <c r="R69" i="6"/>
  <c r="S69" i="6" s="1"/>
  <c r="T67" i="6"/>
  <c r="R67" i="6"/>
  <c r="S67" i="6" s="1"/>
  <c r="N65" i="6"/>
  <c r="O65" i="6" s="1"/>
  <c r="T56" i="6"/>
  <c r="R56" i="6"/>
  <c r="S56" i="6" s="1"/>
  <c r="R53" i="6"/>
  <c r="S53" i="6" s="1"/>
  <c r="T53" i="6"/>
  <c r="L47" i="6"/>
  <c r="N47" i="6" s="1"/>
  <c r="O47" i="6" s="1"/>
  <c r="L34" i="6"/>
  <c r="N34" i="6" s="1"/>
  <c r="O34" i="6" s="1"/>
  <c r="L31" i="6"/>
  <c r="N31" i="6" s="1"/>
  <c r="O31" i="6" s="1"/>
  <c r="T32" i="6"/>
  <c r="S32" i="6"/>
  <c r="R11" i="6"/>
  <c r="S11" i="6" s="1"/>
  <c r="T11" i="6"/>
  <c r="R75" i="6"/>
  <c r="S75" i="6" s="1"/>
  <c r="T75" i="6"/>
  <c r="R61" i="6"/>
  <c r="S61" i="6" s="1"/>
  <c r="T41" i="6"/>
  <c r="R41" i="6"/>
  <c r="S41" i="6" s="1"/>
  <c r="R12" i="6"/>
  <c r="S12" i="6" s="1"/>
  <c r="T12" i="6"/>
  <c r="S131" i="6"/>
  <c r="N128" i="6"/>
  <c r="O128" i="6" s="1"/>
  <c r="S123" i="6"/>
  <c r="S114" i="6"/>
  <c r="R81" i="6"/>
  <c r="S81" i="6" s="1"/>
  <c r="N77" i="6"/>
  <c r="O77" i="6" s="1"/>
  <c r="L73" i="6"/>
  <c r="N73" i="6" s="1"/>
  <c r="O73" i="6" s="1"/>
  <c r="L69" i="6"/>
  <c r="N69" i="6" s="1"/>
  <c r="O69" i="6" s="1"/>
  <c r="S66" i="6"/>
  <c r="T66" i="6"/>
  <c r="R63" i="6"/>
  <c r="S63" i="6" s="1"/>
  <c r="N79" i="6"/>
  <c r="O79" i="6" s="1"/>
  <c r="T77" i="6"/>
  <c r="R77" i="6"/>
  <c r="S77" i="6" s="1"/>
  <c r="L78" i="6"/>
  <c r="N78" i="6" s="1"/>
  <c r="O78" i="6" s="1"/>
  <c r="R76" i="6"/>
  <c r="S76" i="6" s="1"/>
  <c r="T76" i="6"/>
  <c r="L75" i="6"/>
  <c r="N75" i="6" s="1"/>
  <c r="O75" i="6" s="1"/>
  <c r="R72" i="6"/>
  <c r="S72" i="6" s="1"/>
  <c r="L66" i="6"/>
  <c r="N66" i="6" s="1"/>
  <c r="O66" i="6" s="1"/>
  <c r="R64" i="6"/>
  <c r="S64" i="6" s="1"/>
  <c r="T64" i="6"/>
  <c r="L61" i="6"/>
  <c r="N61" i="6" s="1"/>
  <c r="O61" i="6" s="1"/>
  <c r="T60" i="6"/>
  <c r="S60" i="6"/>
  <c r="L58" i="6"/>
  <c r="N58" i="6" s="1"/>
  <c r="O58" i="6" s="1"/>
  <c r="R44" i="6"/>
  <c r="S44" i="6" s="1"/>
  <c r="T44" i="6"/>
  <c r="L39" i="6"/>
  <c r="N39" i="6" s="1"/>
  <c r="O39" i="6" s="1"/>
  <c r="R29" i="6"/>
  <c r="S29" i="6" s="1"/>
  <c r="T29" i="6"/>
  <c r="S68" i="6"/>
  <c r="N62" i="6"/>
  <c r="O62" i="6" s="1"/>
  <c r="S58" i="6"/>
  <c r="N52" i="6"/>
  <c r="O52" i="6" s="1"/>
  <c r="N43" i="6"/>
  <c r="O43" i="6" s="1"/>
  <c r="R38" i="6"/>
  <c r="S38" i="6" s="1"/>
  <c r="T38" i="6"/>
  <c r="R37" i="6"/>
  <c r="S37" i="6" s="1"/>
  <c r="T37" i="6"/>
  <c r="L27" i="6"/>
  <c r="N27" i="6" s="1"/>
  <c r="O27" i="6" s="1"/>
  <c r="L26" i="6"/>
  <c r="N26" i="6" s="1"/>
  <c r="O26" i="6" s="1"/>
  <c r="R21" i="6"/>
  <c r="S21" i="6" s="1"/>
  <c r="T21" i="6"/>
  <c r="L8" i="6"/>
  <c r="N8" i="6" s="1"/>
  <c r="O8" i="6" s="1"/>
  <c r="L11" i="6"/>
  <c r="N11" i="6" s="1"/>
  <c r="O11" i="6" s="1"/>
  <c r="R6" i="6"/>
  <c r="S6" i="6" s="1"/>
  <c r="T6" i="6"/>
  <c r="S80" i="6"/>
  <c r="S59" i="6"/>
  <c r="T54" i="6"/>
  <c r="R54" i="6"/>
  <c r="S54" i="6" s="1"/>
  <c r="R48" i="6"/>
  <c r="S48" i="6" s="1"/>
  <c r="T48" i="6"/>
  <c r="T45" i="6"/>
  <c r="R45" i="6"/>
  <c r="S45" i="6" s="1"/>
  <c r="R40" i="6"/>
  <c r="S40" i="6" s="1"/>
  <c r="T40" i="6"/>
  <c r="R31" i="6"/>
  <c r="S31" i="6" s="1"/>
  <c r="T31" i="6"/>
  <c r="T23" i="6"/>
  <c r="S23" i="6"/>
  <c r="R17" i="6"/>
  <c r="S17" i="6" s="1"/>
  <c r="T17" i="6"/>
  <c r="L36" i="6"/>
  <c r="N36" i="6" s="1"/>
  <c r="O36" i="6" s="1"/>
  <c r="T34" i="6"/>
  <c r="S34" i="6"/>
  <c r="L30" i="6"/>
  <c r="N30" i="6" s="1"/>
  <c r="O30" i="6" s="1"/>
  <c r="T27" i="6"/>
  <c r="S27" i="6"/>
  <c r="R25" i="6"/>
  <c r="S25" i="6" s="1"/>
  <c r="T25" i="6"/>
  <c r="L20" i="6"/>
  <c r="N20" i="6" s="1"/>
  <c r="O20" i="6" s="1"/>
  <c r="T18" i="6"/>
  <c r="S18" i="6"/>
  <c r="R16" i="6"/>
  <c r="S16" i="6" s="1"/>
  <c r="T16" i="6"/>
  <c r="L13" i="6"/>
  <c r="N13" i="6" s="1"/>
  <c r="O13" i="6" s="1"/>
  <c r="T8" i="6"/>
  <c r="S8" i="6"/>
  <c r="R10" i="6"/>
  <c r="S10" i="6" s="1"/>
  <c r="T10" i="6"/>
  <c r="N57" i="6"/>
  <c r="O57" i="6" s="1"/>
  <c r="S55" i="6"/>
  <c r="T55" i="6"/>
  <c r="L53" i="6"/>
  <c r="N53" i="6" s="1"/>
  <c r="O53" i="6" s="1"/>
  <c r="R52" i="6"/>
  <c r="S52" i="6" s="1"/>
  <c r="S50" i="6"/>
  <c r="T50" i="6"/>
  <c r="L48" i="6"/>
  <c r="N48" i="6" s="1"/>
  <c r="O48" i="6" s="1"/>
  <c r="R47" i="6"/>
  <c r="S47" i="6" s="1"/>
  <c r="S46" i="6"/>
  <c r="T46" i="6"/>
  <c r="L44" i="6"/>
  <c r="N44" i="6" s="1"/>
  <c r="O44" i="6" s="1"/>
  <c r="R43" i="6"/>
  <c r="S43" i="6" s="1"/>
  <c r="S42" i="6"/>
  <c r="T42" i="6"/>
  <c r="L40" i="6"/>
  <c r="N40" i="6" s="1"/>
  <c r="O40" i="6" s="1"/>
  <c r="R39" i="6"/>
  <c r="S39" i="6" s="1"/>
  <c r="L38" i="6"/>
  <c r="N38" i="6" s="1"/>
  <c r="O38" i="6" s="1"/>
  <c r="R36" i="6"/>
  <c r="S36" i="6" s="1"/>
  <c r="T36" i="6"/>
  <c r="L32" i="6"/>
  <c r="N32" i="6" s="1"/>
  <c r="O32" i="6" s="1"/>
  <c r="R30" i="6"/>
  <c r="S30" i="6" s="1"/>
  <c r="T30" i="6"/>
  <c r="L23" i="6"/>
  <c r="N23" i="6" s="1"/>
  <c r="O23" i="6" s="1"/>
  <c r="R20" i="6"/>
  <c r="S20" i="6" s="1"/>
  <c r="T20" i="6"/>
  <c r="L14" i="6"/>
  <c r="N14" i="6" s="1"/>
  <c r="O14" i="6" s="1"/>
  <c r="R13" i="6"/>
  <c r="S13" i="6" s="1"/>
  <c r="T13" i="6"/>
  <c r="N37" i="6"/>
  <c r="O37" i="6" s="1"/>
  <c r="N29" i="6"/>
  <c r="O29" i="6" s="1"/>
  <c r="N25" i="6"/>
  <c r="O25" i="6" s="1"/>
  <c r="N21" i="6"/>
  <c r="O21" i="6" s="1"/>
  <c r="N16" i="6"/>
  <c r="O16" i="6" s="1"/>
  <c r="N12" i="6"/>
  <c r="O12" i="6" s="1"/>
  <c r="N10" i="6"/>
  <c r="O10" i="6" s="1"/>
  <c r="N6" i="6"/>
  <c r="O6" i="6" s="1"/>
  <c r="S35" i="6"/>
  <c r="T35" i="6"/>
  <c r="S33" i="6"/>
  <c r="T33" i="6"/>
  <c r="S28" i="6"/>
  <c r="T28" i="6"/>
  <c r="S24" i="6"/>
  <c r="T24" i="6"/>
  <c r="S22" i="6"/>
  <c r="T22" i="6"/>
  <c r="S15" i="6"/>
  <c r="T15" i="6"/>
  <c r="S9" i="6"/>
  <c r="T9" i="6"/>
  <c r="S7" i="6"/>
  <c r="T7" i="6"/>
  <c r="G178" i="1" l="1"/>
  <c r="H178" i="1" s="1"/>
  <c r="J178" i="1" s="1"/>
  <c r="D178" i="1"/>
  <c r="C178" i="1"/>
  <c r="G177" i="1"/>
  <c r="H177" i="1" s="1"/>
  <c r="J177" i="1" s="1"/>
  <c r="D177" i="1"/>
  <c r="C177" i="1"/>
  <c r="G180" i="1"/>
  <c r="H180" i="1" s="1"/>
  <c r="J180" i="1" s="1"/>
  <c r="D180" i="1"/>
  <c r="C180" i="1"/>
  <c r="G179" i="1"/>
  <c r="H179" i="1" s="1"/>
  <c r="J179" i="1" s="1"/>
  <c r="D179" i="1"/>
  <c r="C179" i="1"/>
  <c r="G168" i="1" l="1"/>
  <c r="H168" i="1" s="1"/>
  <c r="J168" i="1" s="1"/>
  <c r="D168" i="1"/>
  <c r="C168" i="1"/>
  <c r="I128" i="16" l="1"/>
  <c r="H128" i="16"/>
  <c r="G128" i="16"/>
  <c r="A128" i="16"/>
  <c r="C290" i="2"/>
  <c r="M82" i="15" l="1"/>
  <c r="I82" i="15"/>
  <c r="M81" i="15"/>
  <c r="I81" i="15"/>
  <c r="M3" i="6" l="1"/>
  <c r="K3" i="6"/>
  <c r="G159" i="1" l="1"/>
  <c r="H159" i="1" s="1"/>
  <c r="J159" i="1" s="1"/>
  <c r="D159" i="1"/>
  <c r="C159" i="1"/>
  <c r="C267" i="2" l="1"/>
  <c r="I144" i="16" l="1"/>
  <c r="H144" i="16"/>
  <c r="G144" i="16"/>
  <c r="I143" i="16"/>
  <c r="H143" i="16"/>
  <c r="G143" i="16"/>
  <c r="A143" i="16"/>
  <c r="I129" i="16"/>
  <c r="H129" i="16"/>
  <c r="G129" i="16"/>
  <c r="A129" i="16"/>
  <c r="M74" i="15" l="1"/>
  <c r="I74" i="15"/>
  <c r="M73" i="15"/>
  <c r="I73" i="15"/>
  <c r="I133" i="16" l="1"/>
  <c r="H133" i="16"/>
  <c r="G133" i="16"/>
  <c r="A133" i="16"/>
  <c r="W353" i="14"/>
  <c r="V353" i="14"/>
  <c r="L353" i="14"/>
  <c r="K353" i="14"/>
  <c r="W352" i="14"/>
  <c r="V352" i="14"/>
  <c r="L352" i="14"/>
  <c r="K352" i="14"/>
  <c r="W351" i="14"/>
  <c r="V351" i="14"/>
  <c r="L351" i="14"/>
  <c r="K351" i="14"/>
  <c r="I107" i="16"/>
  <c r="A107" i="16"/>
  <c r="C238" i="2"/>
  <c r="I65" i="15"/>
  <c r="M66" i="15"/>
  <c r="I66" i="15"/>
  <c r="M65" i="15"/>
  <c r="G130" i="1"/>
  <c r="H130" i="1" s="1"/>
  <c r="J130" i="1" s="1"/>
  <c r="D130" i="1"/>
  <c r="C130" i="1"/>
  <c r="I147" i="16"/>
  <c r="H147" i="16"/>
  <c r="G147" i="16"/>
  <c r="A147" i="16"/>
  <c r="I146" i="16"/>
  <c r="H146" i="16"/>
  <c r="G146" i="16"/>
  <c r="A146" i="16"/>
  <c r="I145" i="16"/>
  <c r="H145" i="16"/>
  <c r="G145" i="16"/>
  <c r="A145" i="16"/>
  <c r="A144" i="16"/>
  <c r="I142" i="16"/>
  <c r="H142" i="16"/>
  <c r="G142" i="16"/>
  <c r="A142" i="16"/>
  <c r="I141" i="16"/>
  <c r="H141" i="16"/>
  <c r="G141" i="16"/>
  <c r="A141" i="16"/>
  <c r="I140" i="16"/>
  <c r="H140" i="16"/>
  <c r="G140" i="16"/>
  <c r="A140" i="16"/>
  <c r="A134" i="16"/>
  <c r="I132" i="16"/>
  <c r="H132" i="16"/>
  <c r="G132" i="16"/>
  <c r="A132" i="16"/>
  <c r="I131" i="16"/>
  <c r="H131" i="16"/>
  <c r="G131" i="16"/>
  <c r="A131" i="16"/>
  <c r="I130" i="16"/>
  <c r="H130" i="16"/>
  <c r="G130" i="16"/>
  <c r="A130" i="16"/>
  <c r="I127" i="16"/>
  <c r="H127" i="16"/>
  <c r="G127" i="16"/>
  <c r="A127" i="16"/>
  <c r="I126" i="16"/>
  <c r="H126" i="16"/>
  <c r="G126" i="16"/>
  <c r="A126" i="16"/>
  <c r="I125" i="16"/>
  <c r="H125" i="16"/>
  <c r="G125" i="16"/>
  <c r="A125" i="16"/>
  <c r="I124" i="16"/>
  <c r="H124" i="16"/>
  <c r="G124" i="16"/>
  <c r="A124" i="16"/>
  <c r="I123" i="16"/>
  <c r="H123" i="16"/>
  <c r="G123" i="16"/>
  <c r="A123" i="16"/>
  <c r="I122" i="16"/>
  <c r="H122" i="16"/>
  <c r="G122" i="16"/>
  <c r="A122" i="16"/>
  <c r="I121" i="16"/>
  <c r="H121" i="16"/>
  <c r="G121" i="16"/>
  <c r="A121" i="16"/>
  <c r="I120" i="16"/>
  <c r="H120" i="16"/>
  <c r="G120" i="16"/>
  <c r="A120" i="16"/>
  <c r="I119" i="16"/>
  <c r="H119" i="16"/>
  <c r="G119" i="16"/>
  <c r="A119" i="16"/>
  <c r="I118" i="16"/>
  <c r="H118" i="16"/>
  <c r="G118" i="16"/>
  <c r="A118" i="16"/>
  <c r="I117" i="16"/>
  <c r="H117" i="16"/>
  <c r="G117" i="16"/>
  <c r="A117" i="16"/>
  <c r="I116" i="16"/>
  <c r="A116" i="16"/>
  <c r="G115" i="16"/>
  <c r="I115" i="16" s="1"/>
  <c r="A115" i="16"/>
  <c r="A114" i="16"/>
  <c r="A113" i="16"/>
  <c r="A112" i="16"/>
  <c r="A111" i="16"/>
  <c r="I110" i="16"/>
  <c r="A110" i="16"/>
  <c r="I109" i="16"/>
  <c r="A109" i="16"/>
  <c r="A108" i="16"/>
  <c r="J106" i="16"/>
  <c r="A106" i="16"/>
  <c r="J105" i="16"/>
  <c r="A105" i="16"/>
  <c r="A104" i="16"/>
  <c r="I103" i="16"/>
  <c r="A103" i="16"/>
  <c r="I90" i="16"/>
  <c r="H90" i="16"/>
  <c r="G90" i="16"/>
  <c r="A90" i="16"/>
  <c r="H89" i="16"/>
  <c r="G89" i="16"/>
  <c r="A89" i="16"/>
  <c r="A88" i="16"/>
  <c r="A87" i="16"/>
  <c r="I84" i="16"/>
  <c r="A84" i="16"/>
  <c r="I83" i="16"/>
  <c r="A83" i="16"/>
  <c r="I82" i="16"/>
  <c r="A82" i="16"/>
  <c r="I81" i="16"/>
  <c r="A81" i="16"/>
  <c r="I80" i="16"/>
  <c r="A80" i="16"/>
  <c r="I79" i="16"/>
  <c r="A79" i="16"/>
  <c r="I78" i="16"/>
  <c r="A78" i="16"/>
  <c r="I77" i="16"/>
  <c r="A77" i="16"/>
  <c r="I76" i="16"/>
  <c r="A76" i="16"/>
  <c r="I75" i="16"/>
  <c r="A75" i="16"/>
  <c r="I74" i="16"/>
  <c r="A74" i="16"/>
  <c r="I73" i="16"/>
  <c r="A73" i="16"/>
  <c r="I72" i="16"/>
  <c r="A72" i="16"/>
  <c r="I71" i="16"/>
  <c r="A71" i="16"/>
  <c r="A70" i="16"/>
  <c r="A69" i="16"/>
  <c r="J68" i="16"/>
  <c r="A68" i="16"/>
  <c r="A67" i="16"/>
  <c r="I66" i="16"/>
  <c r="A66" i="16"/>
  <c r="J65" i="16"/>
  <c r="A65" i="16"/>
  <c r="J64" i="16"/>
  <c r="A64" i="16"/>
  <c r="J63" i="16"/>
  <c r="A63" i="16"/>
  <c r="J62" i="16"/>
  <c r="A62" i="16"/>
  <c r="I61" i="16"/>
  <c r="A61" i="16"/>
  <c r="I60" i="16"/>
  <c r="A60" i="16"/>
  <c r="A59" i="16"/>
  <c r="A58" i="16"/>
  <c r="A57" i="16"/>
  <c r="A56" i="16"/>
  <c r="A55" i="16"/>
  <c r="I54" i="16"/>
  <c r="A54" i="16"/>
  <c r="I53" i="16"/>
  <c r="A53" i="16"/>
  <c r="A52" i="16"/>
  <c r="A51" i="16"/>
  <c r="I50" i="16"/>
  <c r="A50" i="16"/>
  <c r="A49" i="16"/>
  <c r="A47" i="16"/>
  <c r="A46" i="16"/>
  <c r="A45" i="16"/>
  <c r="A44" i="16"/>
  <c r="A43" i="16"/>
  <c r="A42" i="16"/>
  <c r="A41" i="16"/>
  <c r="A40" i="16"/>
  <c r="I39" i="16"/>
  <c r="A39" i="16"/>
  <c r="I38" i="16"/>
  <c r="A38" i="16"/>
  <c r="A37" i="16"/>
  <c r="A36" i="16"/>
  <c r="A35" i="16"/>
  <c r="A34" i="16"/>
  <c r="A33" i="16"/>
  <c r="A32" i="16"/>
  <c r="I31" i="16"/>
  <c r="A31" i="16"/>
  <c r="I30" i="16"/>
  <c r="A30" i="16"/>
  <c r="I29" i="16"/>
  <c r="A29" i="16"/>
  <c r="I18" i="16"/>
  <c r="A18" i="16"/>
  <c r="I17" i="16"/>
  <c r="A17" i="16"/>
  <c r="I16" i="16"/>
  <c r="A16" i="16"/>
  <c r="I15" i="16"/>
  <c r="A15" i="16"/>
  <c r="I14" i="16"/>
  <c r="A14" i="16"/>
  <c r="I13" i="16"/>
  <c r="A13" i="16"/>
  <c r="I12" i="16"/>
  <c r="A12" i="16"/>
  <c r="A11" i="16"/>
  <c r="I10" i="16"/>
  <c r="A10" i="16"/>
  <c r="I9" i="16"/>
  <c r="A9" i="16"/>
  <c r="I8" i="16"/>
  <c r="A8" i="16"/>
  <c r="A7" i="16"/>
  <c r="I6" i="16"/>
  <c r="A6" i="16"/>
  <c r="A3" i="16"/>
  <c r="A4" i="16"/>
  <c r="A5" i="16"/>
  <c r="I4" i="16"/>
  <c r="I3" i="16"/>
  <c r="M226" i="15"/>
  <c r="I226" i="15"/>
  <c r="M225" i="15"/>
  <c r="I225" i="15"/>
  <c r="M224" i="15"/>
  <c r="I224" i="15"/>
  <c r="M223" i="15"/>
  <c r="I223" i="15"/>
  <c r="M222" i="15"/>
  <c r="I222" i="15"/>
  <c r="M221" i="15"/>
  <c r="I221" i="15"/>
  <c r="M220" i="15"/>
  <c r="I220" i="15"/>
  <c r="M219" i="15"/>
  <c r="I219" i="15"/>
  <c r="M218" i="15"/>
  <c r="I218" i="15"/>
  <c r="M217" i="15"/>
  <c r="I217" i="15"/>
  <c r="M216" i="15"/>
  <c r="I216" i="15"/>
  <c r="M215" i="15"/>
  <c r="I215" i="15"/>
  <c r="M214" i="15"/>
  <c r="I214" i="15"/>
  <c r="M213" i="15"/>
  <c r="I213" i="15"/>
  <c r="M212" i="15"/>
  <c r="I212" i="15"/>
  <c r="M211" i="15"/>
  <c r="I211" i="15"/>
  <c r="M210" i="15"/>
  <c r="I210" i="15"/>
  <c r="M209" i="15"/>
  <c r="I209" i="15"/>
  <c r="M208" i="15"/>
  <c r="I208" i="15"/>
  <c r="M207" i="15"/>
  <c r="I207" i="15"/>
  <c r="M206" i="15"/>
  <c r="I206" i="15"/>
  <c r="M205" i="15"/>
  <c r="I205" i="15"/>
  <c r="M204" i="15"/>
  <c r="I204" i="15"/>
  <c r="M203" i="15"/>
  <c r="I203" i="15"/>
  <c r="M202" i="15"/>
  <c r="I202" i="15"/>
  <c r="M201" i="15"/>
  <c r="I201" i="15"/>
  <c r="M200" i="15"/>
  <c r="I200" i="15"/>
  <c r="M199" i="15"/>
  <c r="I199" i="15"/>
  <c r="M198" i="15"/>
  <c r="I198" i="15"/>
  <c r="M197" i="15"/>
  <c r="I197" i="15"/>
  <c r="M196" i="15"/>
  <c r="I196" i="15"/>
  <c r="M195" i="15"/>
  <c r="I195" i="15"/>
  <c r="M194" i="15"/>
  <c r="I194" i="15"/>
  <c r="M193" i="15"/>
  <c r="I193" i="15"/>
  <c r="M192" i="15"/>
  <c r="I192" i="15"/>
  <c r="M191" i="15"/>
  <c r="I191" i="15"/>
  <c r="M190" i="15"/>
  <c r="I190" i="15"/>
  <c r="M189" i="15"/>
  <c r="I189" i="15"/>
  <c r="M188" i="15"/>
  <c r="I188" i="15"/>
  <c r="M187" i="15"/>
  <c r="I187" i="15"/>
  <c r="M186" i="15"/>
  <c r="I186" i="15"/>
  <c r="M185" i="15"/>
  <c r="I185" i="15"/>
  <c r="M184" i="15"/>
  <c r="I184" i="15"/>
  <c r="M183" i="15"/>
  <c r="I183" i="15"/>
  <c r="M182" i="15"/>
  <c r="I182" i="15"/>
  <c r="M181" i="15"/>
  <c r="I181" i="15"/>
  <c r="M180" i="15"/>
  <c r="I180" i="15"/>
  <c r="M179" i="15"/>
  <c r="I179" i="15"/>
  <c r="M178" i="15"/>
  <c r="I178" i="15"/>
  <c r="M177" i="15"/>
  <c r="I177" i="15"/>
  <c r="M176" i="15"/>
  <c r="I176" i="15"/>
  <c r="M175" i="15"/>
  <c r="I175" i="15"/>
  <c r="M174" i="15"/>
  <c r="I174" i="15"/>
  <c r="M173" i="15"/>
  <c r="I173" i="15"/>
  <c r="M172" i="15"/>
  <c r="I172" i="15"/>
  <c r="M171" i="15"/>
  <c r="I171" i="15"/>
  <c r="M170" i="15"/>
  <c r="I170" i="15"/>
  <c r="M169" i="15"/>
  <c r="I169" i="15"/>
  <c r="M168" i="15"/>
  <c r="I168" i="15"/>
  <c r="M167" i="15"/>
  <c r="I167" i="15"/>
  <c r="M166" i="15"/>
  <c r="I166" i="15"/>
  <c r="M165" i="15"/>
  <c r="I165" i="15"/>
  <c r="M164" i="15"/>
  <c r="I164" i="15"/>
  <c r="M163" i="15"/>
  <c r="I163" i="15"/>
  <c r="M162" i="15"/>
  <c r="I162" i="15"/>
  <c r="M161" i="15"/>
  <c r="I161" i="15"/>
  <c r="M160" i="15"/>
  <c r="I160" i="15"/>
  <c r="M159" i="15"/>
  <c r="I159" i="15"/>
  <c r="M158" i="15"/>
  <c r="I158" i="15"/>
  <c r="M157" i="15"/>
  <c r="I157" i="15"/>
  <c r="M156" i="15"/>
  <c r="I156" i="15"/>
  <c r="M155" i="15"/>
  <c r="I155" i="15"/>
  <c r="M154" i="15"/>
  <c r="I154" i="15"/>
  <c r="M153" i="15"/>
  <c r="I153" i="15"/>
  <c r="M152" i="15"/>
  <c r="I152" i="15"/>
  <c r="M151" i="15"/>
  <c r="I151" i="15"/>
  <c r="M150" i="15"/>
  <c r="I150" i="15"/>
  <c r="M149" i="15"/>
  <c r="I149" i="15"/>
  <c r="M148" i="15"/>
  <c r="I148" i="15"/>
  <c r="M147" i="15"/>
  <c r="I147" i="15"/>
  <c r="M146" i="15"/>
  <c r="I146" i="15"/>
  <c r="M145" i="15"/>
  <c r="I145" i="15"/>
  <c r="M144" i="15"/>
  <c r="I144" i="15"/>
  <c r="M143" i="15"/>
  <c r="I143" i="15"/>
  <c r="M142" i="15"/>
  <c r="I142" i="15"/>
  <c r="M141" i="15"/>
  <c r="I141" i="15"/>
  <c r="M140" i="15"/>
  <c r="I140" i="15"/>
  <c r="M139" i="15"/>
  <c r="I139" i="15"/>
  <c r="M138" i="15"/>
  <c r="I138" i="15"/>
  <c r="M137" i="15"/>
  <c r="I137" i="15"/>
  <c r="M136" i="15"/>
  <c r="I136" i="15"/>
  <c r="M135" i="15"/>
  <c r="I135" i="15"/>
  <c r="M134" i="15"/>
  <c r="I134" i="15"/>
  <c r="M133" i="15"/>
  <c r="I133" i="15"/>
  <c r="M132" i="15"/>
  <c r="I132" i="15"/>
  <c r="M131" i="15"/>
  <c r="I131" i="15"/>
  <c r="M130" i="15"/>
  <c r="I130" i="15"/>
  <c r="M129" i="15"/>
  <c r="I129" i="15"/>
  <c r="M128" i="15"/>
  <c r="I128" i="15"/>
  <c r="M127" i="15"/>
  <c r="I127" i="15"/>
  <c r="M126" i="15"/>
  <c r="I126" i="15"/>
  <c r="M125" i="15"/>
  <c r="I125" i="15"/>
  <c r="M124" i="15"/>
  <c r="I124" i="15"/>
  <c r="M123" i="15"/>
  <c r="I123" i="15"/>
  <c r="M122" i="15"/>
  <c r="I122" i="15"/>
  <c r="M121" i="15"/>
  <c r="I121" i="15"/>
  <c r="M120" i="15"/>
  <c r="I120" i="15"/>
  <c r="M119" i="15"/>
  <c r="I119" i="15"/>
  <c r="M118" i="15"/>
  <c r="I118" i="15"/>
  <c r="M117" i="15"/>
  <c r="I117" i="15"/>
  <c r="M116" i="15"/>
  <c r="I116" i="15"/>
  <c r="M115" i="15"/>
  <c r="I115" i="15"/>
  <c r="M114" i="15"/>
  <c r="I114" i="15"/>
  <c r="M113" i="15"/>
  <c r="I113" i="15"/>
  <c r="M112" i="15"/>
  <c r="I112" i="15"/>
  <c r="M111" i="15"/>
  <c r="I111" i="15"/>
  <c r="M110" i="15"/>
  <c r="I110" i="15"/>
  <c r="M109" i="15"/>
  <c r="I109" i="15"/>
  <c r="M108" i="15"/>
  <c r="I108" i="15"/>
  <c r="M107" i="15"/>
  <c r="I107" i="15"/>
  <c r="M106" i="15"/>
  <c r="I106" i="15"/>
  <c r="M105" i="15"/>
  <c r="I105" i="15"/>
  <c r="M104" i="15"/>
  <c r="I104" i="15"/>
  <c r="M103" i="15"/>
  <c r="I103" i="15"/>
  <c r="M102" i="15"/>
  <c r="I102" i="15"/>
  <c r="M101" i="15"/>
  <c r="I101" i="15"/>
  <c r="M100" i="15"/>
  <c r="I100" i="15"/>
  <c r="M99" i="15"/>
  <c r="I99" i="15"/>
  <c r="M98" i="15"/>
  <c r="I98" i="15"/>
  <c r="M97" i="15"/>
  <c r="I97" i="15"/>
  <c r="M96" i="15"/>
  <c r="I96" i="15"/>
  <c r="M95" i="15"/>
  <c r="I95" i="15"/>
  <c r="M94" i="15"/>
  <c r="I94" i="15"/>
  <c r="M93" i="15"/>
  <c r="I93" i="15"/>
  <c r="M92" i="15"/>
  <c r="I92" i="15"/>
  <c r="M91" i="15"/>
  <c r="I91" i="15"/>
  <c r="M90" i="15"/>
  <c r="I90" i="15"/>
  <c r="M89" i="15"/>
  <c r="I89" i="15"/>
  <c r="M88" i="15"/>
  <c r="I88" i="15"/>
  <c r="M87" i="15"/>
  <c r="I87" i="15"/>
  <c r="M86" i="15"/>
  <c r="I86" i="15"/>
  <c r="M83" i="15"/>
  <c r="I83" i="15"/>
  <c r="M80" i="15"/>
  <c r="I80" i="15"/>
  <c r="M72" i="15"/>
  <c r="I72" i="15"/>
  <c r="M64" i="15"/>
  <c r="I64" i="15"/>
  <c r="M58" i="15"/>
  <c r="I58" i="15"/>
  <c r="M57" i="15"/>
  <c r="I57" i="15"/>
  <c r="M56" i="15"/>
  <c r="I56" i="15"/>
  <c r="M52" i="15"/>
  <c r="I52" i="15"/>
  <c r="M51" i="15"/>
  <c r="I51" i="15"/>
  <c r="M50" i="15"/>
  <c r="I50" i="15"/>
  <c r="I44" i="15"/>
  <c r="I43" i="15"/>
  <c r="I42" i="15"/>
  <c r="I36" i="15"/>
  <c r="I35" i="15"/>
  <c r="M34" i="15"/>
  <c r="I34" i="15"/>
  <c r="M28" i="15"/>
  <c r="I28" i="15"/>
  <c r="M27" i="15"/>
  <c r="I27" i="15"/>
  <c r="M26" i="15"/>
  <c r="I26" i="15"/>
  <c r="M21" i="15"/>
  <c r="I21" i="15"/>
  <c r="M20" i="15"/>
  <c r="I20" i="15"/>
  <c r="M19" i="15"/>
  <c r="I19" i="15"/>
  <c r="M18" i="15"/>
  <c r="I18" i="15"/>
  <c r="I13" i="15"/>
  <c r="M12" i="15"/>
  <c r="I12" i="15"/>
  <c r="M11" i="15"/>
  <c r="I11" i="15"/>
  <c r="M10" i="15"/>
  <c r="I10" i="15"/>
  <c r="M7" i="15"/>
  <c r="I7" i="15"/>
  <c r="M6" i="15"/>
  <c r="I6" i="15"/>
  <c r="M5" i="15"/>
  <c r="I5" i="15"/>
  <c r="E487" i="14"/>
  <c r="E481" i="14"/>
  <c r="E443" i="14"/>
  <c r="E432" i="14"/>
  <c r="E427" i="14"/>
  <c r="C361" i="14"/>
  <c r="C360" i="14"/>
  <c r="W357" i="14"/>
  <c r="V357" i="14"/>
  <c r="L357" i="14"/>
  <c r="K357" i="14"/>
  <c r="W356" i="14"/>
  <c r="V356" i="14"/>
  <c r="L356" i="14"/>
  <c r="K356" i="14"/>
  <c r="W355" i="14"/>
  <c r="V355" i="14"/>
  <c r="L355" i="14"/>
  <c r="K355" i="14"/>
  <c r="W354" i="14"/>
  <c r="V354" i="14"/>
  <c r="L354" i="14"/>
  <c r="K354" i="14"/>
  <c r="W350" i="14"/>
  <c r="V350" i="14"/>
  <c r="L350" i="14"/>
  <c r="K350" i="14"/>
  <c r="W349" i="14"/>
  <c r="V349" i="14"/>
  <c r="L349" i="14"/>
  <c r="K349" i="14"/>
  <c r="W348" i="14"/>
  <c r="V348" i="14"/>
  <c r="L348" i="14"/>
  <c r="K348" i="14"/>
  <c r="W347" i="14"/>
  <c r="V347" i="14"/>
  <c r="L347" i="14"/>
  <c r="K347" i="14"/>
  <c r="W346" i="14"/>
  <c r="V346" i="14"/>
  <c r="L346" i="14"/>
  <c r="K346" i="14"/>
  <c r="W345" i="14"/>
  <c r="V345" i="14"/>
  <c r="L345" i="14"/>
  <c r="K345" i="14"/>
  <c r="W344" i="14"/>
  <c r="V344" i="14"/>
  <c r="L344" i="14"/>
  <c r="K344" i="14"/>
  <c r="W343" i="14"/>
  <c r="V343" i="14"/>
  <c r="L343" i="14"/>
  <c r="K343" i="14"/>
  <c r="W342" i="14"/>
  <c r="V342" i="14"/>
  <c r="L342" i="14"/>
  <c r="K342" i="14"/>
  <c r="W293" i="14"/>
  <c r="V293" i="14"/>
  <c r="L293" i="14"/>
  <c r="K293" i="14"/>
  <c r="W292" i="14"/>
  <c r="V292" i="14"/>
  <c r="L292" i="14"/>
  <c r="K292" i="14"/>
  <c r="W291" i="14"/>
  <c r="V291" i="14"/>
  <c r="L291" i="14"/>
  <c r="K291" i="14"/>
  <c r="W290" i="14"/>
  <c r="V290" i="14"/>
  <c r="L290" i="14"/>
  <c r="K290" i="14"/>
  <c r="W289" i="14"/>
  <c r="V289" i="14"/>
  <c r="L289" i="14"/>
  <c r="K289" i="14"/>
  <c r="W288" i="14"/>
  <c r="V288" i="14"/>
  <c r="L288" i="14"/>
  <c r="K288" i="14"/>
  <c r="W287" i="14"/>
  <c r="V287" i="14"/>
  <c r="L287" i="14"/>
  <c r="K287" i="14"/>
  <c r="W286" i="14"/>
  <c r="V286" i="14"/>
  <c r="L286" i="14"/>
  <c r="K286" i="14"/>
  <c r="W285" i="14"/>
  <c r="V285" i="14"/>
  <c r="L285" i="14"/>
  <c r="K285" i="14"/>
  <c r="W284" i="14"/>
  <c r="V284" i="14"/>
  <c r="K284" i="14"/>
  <c r="W283" i="14"/>
  <c r="V283" i="14"/>
  <c r="L283" i="14"/>
  <c r="K283" i="14"/>
  <c r="W282" i="14"/>
  <c r="V282" i="14"/>
  <c r="L282" i="14"/>
  <c r="K282" i="14"/>
  <c r="W281" i="14"/>
  <c r="V281" i="14"/>
  <c r="L281" i="14"/>
  <c r="K281" i="14"/>
  <c r="W280" i="14"/>
  <c r="V280" i="14"/>
  <c r="L280" i="14"/>
  <c r="K280" i="14"/>
  <c r="W279" i="14"/>
  <c r="V279" i="14"/>
  <c r="L279" i="14"/>
  <c r="K279" i="14"/>
  <c r="W278" i="14"/>
  <c r="V278" i="14"/>
  <c r="L278" i="14"/>
  <c r="K278" i="14"/>
  <c r="W277" i="14"/>
  <c r="V277" i="14"/>
  <c r="L277" i="14"/>
  <c r="K277" i="14"/>
  <c r="W276" i="14"/>
  <c r="V276" i="14"/>
  <c r="L276" i="14"/>
  <c r="K276" i="14"/>
  <c r="W275" i="14"/>
  <c r="V275" i="14"/>
  <c r="L275" i="14"/>
  <c r="K275" i="14"/>
  <c r="W274" i="14"/>
  <c r="V274" i="14"/>
  <c r="L274" i="14"/>
  <c r="K274" i="14"/>
  <c r="W273" i="14"/>
  <c r="V273" i="14"/>
  <c r="L273" i="14"/>
  <c r="K273" i="14"/>
  <c r="W272" i="14"/>
  <c r="V272" i="14"/>
  <c r="L272" i="14"/>
  <c r="K272" i="14"/>
  <c r="W271" i="14"/>
  <c r="V271" i="14"/>
  <c r="L271" i="14"/>
  <c r="K271" i="14"/>
  <c r="W270" i="14"/>
  <c r="V270" i="14"/>
  <c r="L270" i="14"/>
  <c r="K270" i="14"/>
  <c r="W269" i="14"/>
  <c r="V269" i="14"/>
  <c r="L269" i="14"/>
  <c r="K269" i="14"/>
  <c r="C268" i="14"/>
  <c r="C267" i="14"/>
  <c r="C265" i="14"/>
  <c r="V264" i="14"/>
  <c r="K264" i="14"/>
  <c r="J264" i="14" s="1"/>
  <c r="V263" i="14"/>
  <c r="K263" i="14"/>
  <c r="J263" i="14" s="1"/>
  <c r="V262" i="14"/>
  <c r="K262" i="14"/>
  <c r="J262" i="14" s="1"/>
  <c r="V251" i="14"/>
  <c r="K251" i="14"/>
  <c r="J251" i="14" s="1"/>
  <c r="V250" i="14"/>
  <c r="K250" i="14"/>
  <c r="J250" i="14" s="1"/>
  <c r="V237" i="14"/>
  <c r="K237" i="14"/>
  <c r="J237" i="14" s="1"/>
  <c r="V236" i="14"/>
  <c r="K236" i="14"/>
  <c r="J236" i="14" s="1"/>
  <c r="V235" i="14"/>
  <c r="K235" i="14"/>
  <c r="J235" i="14" s="1"/>
  <c r="V234" i="14"/>
  <c r="K234" i="14"/>
  <c r="J234" i="14" s="1"/>
  <c r="V233" i="14"/>
  <c r="K233" i="14"/>
  <c r="J233" i="14" s="1"/>
  <c r="V232" i="14"/>
  <c r="K232" i="14"/>
  <c r="J232" i="14" s="1"/>
  <c r="V231" i="14"/>
  <c r="K231" i="14"/>
  <c r="J231" i="14" s="1"/>
  <c r="V230" i="14"/>
  <c r="K230" i="14"/>
  <c r="J230" i="14" s="1"/>
  <c r="V229" i="14"/>
  <c r="K229" i="14"/>
  <c r="J229" i="14" s="1"/>
  <c r="V228" i="14"/>
  <c r="K228" i="14"/>
  <c r="J228" i="14" s="1"/>
  <c r="V227" i="14"/>
  <c r="K227" i="14"/>
  <c r="J227" i="14" s="1"/>
  <c r="V226" i="14"/>
  <c r="K226" i="14"/>
  <c r="J226" i="14" s="1"/>
  <c r="V225" i="14"/>
  <c r="K225" i="14"/>
  <c r="J225" i="14" s="1"/>
  <c r="V224" i="14"/>
  <c r="K224" i="14"/>
  <c r="J224" i="14" s="1"/>
  <c r="V223" i="14"/>
  <c r="K223" i="14"/>
  <c r="J223" i="14" s="1"/>
  <c r="V222" i="14"/>
  <c r="K222" i="14"/>
  <c r="J222" i="14" s="1"/>
  <c r="V221" i="14"/>
  <c r="K221" i="14"/>
  <c r="J221" i="14" s="1"/>
  <c r="V220" i="14"/>
  <c r="K220" i="14"/>
  <c r="J220" i="14" s="1"/>
  <c r="V219" i="14"/>
  <c r="K219" i="14"/>
  <c r="J219" i="14" s="1"/>
  <c r="V218" i="14"/>
  <c r="K218" i="14"/>
  <c r="J218" i="14" s="1"/>
  <c r="V217" i="14"/>
  <c r="K217" i="14"/>
  <c r="J217" i="14" s="1"/>
  <c r="V216" i="14"/>
  <c r="K216" i="14"/>
  <c r="J216" i="14" s="1"/>
  <c r="V215" i="14"/>
  <c r="K215" i="14"/>
  <c r="J215" i="14" s="1"/>
  <c r="V214" i="14"/>
  <c r="K214" i="14"/>
  <c r="J214" i="14" s="1"/>
  <c r="V213" i="14"/>
  <c r="K213" i="14"/>
  <c r="J213" i="14" s="1"/>
  <c r="V212" i="14"/>
  <c r="K212" i="14"/>
  <c r="J212" i="14" s="1"/>
  <c r="V211" i="14"/>
  <c r="K211" i="14"/>
  <c r="J211" i="14" s="1"/>
  <c r="V210" i="14"/>
  <c r="K210" i="14"/>
  <c r="J210" i="14" s="1"/>
  <c r="V209" i="14"/>
  <c r="K209" i="14"/>
  <c r="J209" i="14" s="1"/>
  <c r="V208" i="14"/>
  <c r="K208" i="14"/>
  <c r="J208" i="14" s="1"/>
  <c r="V207" i="14"/>
  <c r="K207" i="14"/>
  <c r="J207" i="14" s="1"/>
  <c r="V206" i="14"/>
  <c r="K206" i="14"/>
  <c r="J206" i="14" s="1"/>
  <c r="V205" i="14"/>
  <c r="K205" i="14"/>
  <c r="J205" i="14" s="1"/>
  <c r="V204" i="14"/>
  <c r="K204" i="14"/>
  <c r="J204" i="14" s="1"/>
  <c r="V203" i="14"/>
  <c r="K203" i="14"/>
  <c r="J203" i="14" s="1"/>
  <c r="V202" i="14"/>
  <c r="K202" i="14"/>
  <c r="J202" i="14" s="1"/>
  <c r="V201" i="14"/>
  <c r="K201" i="14"/>
  <c r="J201" i="14" s="1"/>
  <c r="V200" i="14"/>
  <c r="K200" i="14"/>
  <c r="J200" i="14" s="1"/>
  <c r="V199" i="14"/>
  <c r="K199" i="14"/>
  <c r="J199" i="14" s="1"/>
  <c r="V198" i="14"/>
  <c r="K198" i="14"/>
  <c r="J198" i="14" s="1"/>
  <c r="V197" i="14"/>
  <c r="K197" i="14"/>
  <c r="J197" i="14" s="1"/>
  <c r="V196" i="14"/>
  <c r="K196" i="14"/>
  <c r="J196" i="14" s="1"/>
  <c r="V195" i="14"/>
  <c r="K195" i="14"/>
  <c r="J195" i="14" s="1"/>
  <c r="V194" i="14"/>
  <c r="K194" i="14"/>
  <c r="J194" i="14" s="1"/>
  <c r="V193" i="14"/>
  <c r="K193" i="14"/>
  <c r="J193" i="14" s="1"/>
  <c r="V192" i="14"/>
  <c r="K192" i="14"/>
  <c r="J192" i="14" s="1"/>
  <c r="V191" i="14"/>
  <c r="K191" i="14"/>
  <c r="J191" i="14" s="1"/>
  <c r="V190" i="14"/>
  <c r="K190" i="14"/>
  <c r="J190" i="14" s="1"/>
  <c r="V189" i="14"/>
  <c r="K189" i="14"/>
  <c r="J189" i="14" s="1"/>
  <c r="V188" i="14"/>
  <c r="K188" i="14"/>
  <c r="J188" i="14" s="1"/>
  <c r="V187" i="14"/>
  <c r="K187" i="14"/>
  <c r="J187" i="14" s="1"/>
  <c r="V186" i="14"/>
  <c r="K186" i="14"/>
  <c r="J186" i="14" s="1"/>
  <c r="V185" i="14"/>
  <c r="K185" i="14"/>
  <c r="J185" i="14" s="1"/>
  <c r="V184" i="14"/>
  <c r="K184" i="14"/>
  <c r="J184" i="14" s="1"/>
  <c r="V183" i="14"/>
  <c r="K183" i="14"/>
  <c r="J183" i="14" s="1"/>
  <c r="V182" i="14"/>
  <c r="K182" i="14"/>
  <c r="J182" i="14" s="1"/>
  <c r="V181" i="14"/>
  <c r="K181" i="14"/>
  <c r="J181" i="14" s="1"/>
  <c r="V180" i="14"/>
  <c r="K180" i="14"/>
  <c r="J180" i="14" s="1"/>
  <c r="V179" i="14"/>
  <c r="K179" i="14"/>
  <c r="J179" i="14" s="1"/>
  <c r="V178" i="14"/>
  <c r="K178" i="14"/>
  <c r="J178" i="14" s="1"/>
  <c r="V177" i="14"/>
  <c r="K177" i="14"/>
  <c r="J177" i="14" s="1"/>
  <c r="V176" i="14"/>
  <c r="K176" i="14"/>
  <c r="J176" i="14" s="1"/>
  <c r="V175" i="14"/>
  <c r="K175" i="14"/>
  <c r="J175" i="14" s="1"/>
  <c r="V174" i="14"/>
  <c r="K174" i="14"/>
  <c r="J174" i="14" s="1"/>
  <c r="V173" i="14"/>
  <c r="K173" i="14"/>
  <c r="J173" i="14" s="1"/>
  <c r="V172" i="14"/>
  <c r="K172" i="14"/>
  <c r="J172" i="14" s="1"/>
  <c r="V171" i="14"/>
  <c r="K171" i="14"/>
  <c r="J171" i="14" s="1"/>
  <c r="V170" i="14"/>
  <c r="K170" i="14"/>
  <c r="J170" i="14" s="1"/>
  <c r="V169" i="14"/>
  <c r="K169" i="14"/>
  <c r="J169" i="14" s="1"/>
  <c r="V168" i="14"/>
  <c r="K168" i="14"/>
  <c r="J168" i="14" s="1"/>
  <c r="V167" i="14"/>
  <c r="K167" i="14"/>
  <c r="J167" i="14" s="1"/>
  <c r="V165" i="14"/>
  <c r="K165" i="14"/>
  <c r="J165" i="14" s="1"/>
  <c r="V166" i="14"/>
  <c r="K166" i="14"/>
  <c r="J166" i="14" s="1"/>
  <c r="V164" i="14"/>
  <c r="K164" i="14"/>
  <c r="J164" i="14" s="1"/>
  <c r="V163" i="14"/>
  <c r="K163" i="14"/>
  <c r="J163" i="14" s="1"/>
  <c r="V162" i="14"/>
  <c r="K162" i="14"/>
  <c r="J162" i="14" s="1"/>
  <c r="V161" i="14"/>
  <c r="K161" i="14"/>
  <c r="J161" i="14" s="1"/>
  <c r="V160" i="14"/>
  <c r="K160" i="14"/>
  <c r="J160" i="14" s="1"/>
  <c r="V159" i="14"/>
  <c r="K159" i="14"/>
  <c r="J159" i="14" s="1"/>
  <c r="V158" i="14"/>
  <c r="K158" i="14"/>
  <c r="J158" i="14" s="1"/>
  <c r="V157" i="14"/>
  <c r="K157" i="14"/>
  <c r="J157" i="14" s="1"/>
  <c r="V156" i="14"/>
  <c r="K156" i="14"/>
  <c r="J156" i="14" s="1"/>
  <c r="V155" i="14"/>
  <c r="K155" i="14"/>
  <c r="J155" i="14" s="1"/>
  <c r="C154" i="14"/>
  <c r="C153" i="14"/>
  <c r="W150" i="14"/>
  <c r="W149" i="14"/>
  <c r="W148" i="14"/>
  <c r="W147" i="14"/>
  <c r="W146" i="14"/>
  <c r="W145" i="14"/>
  <c r="W144" i="14"/>
  <c r="W143" i="14"/>
  <c r="W142" i="14"/>
  <c r="W141" i="14"/>
  <c r="W140" i="14"/>
  <c r="W139" i="14"/>
  <c r="W138" i="14"/>
  <c r="W137" i="14"/>
  <c r="W136" i="14"/>
  <c r="W135" i="14"/>
  <c r="W134" i="14"/>
  <c r="W133" i="14"/>
  <c r="W132" i="14"/>
  <c r="W131" i="14"/>
  <c r="W130" i="14"/>
  <c r="W129" i="14"/>
  <c r="W128" i="14"/>
  <c r="W127" i="14"/>
  <c r="W126" i="14"/>
  <c r="W125" i="14"/>
  <c r="W124" i="14"/>
  <c r="W123" i="14"/>
  <c r="W122" i="14"/>
  <c r="W121" i="14"/>
  <c r="W120" i="14"/>
  <c r="W119" i="14"/>
  <c r="W118" i="14"/>
  <c r="W117" i="14"/>
  <c r="W116" i="14"/>
  <c r="W115" i="14"/>
  <c r="W114" i="14"/>
  <c r="W113" i="14"/>
  <c r="W112" i="14"/>
  <c r="W111" i="14"/>
  <c r="W110" i="14"/>
  <c r="W109" i="14"/>
  <c r="W108" i="14"/>
  <c r="W107" i="14"/>
  <c r="W106" i="14"/>
  <c r="W105" i="14"/>
  <c r="W104" i="14"/>
  <c r="W103" i="14"/>
  <c r="W102" i="14"/>
  <c r="W101" i="14"/>
  <c r="W100" i="14"/>
  <c r="W99" i="14"/>
  <c r="W98" i="14"/>
  <c r="W97" i="14"/>
  <c r="W96" i="14"/>
  <c r="W95" i="14"/>
  <c r="W94" i="14"/>
  <c r="W91" i="14"/>
  <c r="W93" i="14"/>
  <c r="W92" i="14"/>
  <c r="W90" i="14"/>
  <c r="W89" i="14"/>
  <c r="W88" i="14"/>
  <c r="W87" i="14"/>
  <c r="W83" i="14"/>
  <c r="W86" i="14"/>
  <c r="W85" i="14"/>
  <c r="W84" i="14"/>
  <c r="W82" i="14"/>
  <c r="W81" i="14"/>
  <c r="W80" i="14"/>
  <c r="W79" i="14"/>
  <c r="W78" i="14"/>
  <c r="W77" i="14"/>
  <c r="W76" i="14"/>
  <c r="W74" i="14"/>
  <c r="W72" i="14"/>
  <c r="W69" i="14"/>
  <c r="W68" i="14"/>
  <c r="W67" i="14"/>
  <c r="W66" i="14"/>
  <c r="W65" i="14"/>
  <c r="W71" i="14"/>
  <c r="W70" i="14"/>
  <c r="W64" i="14"/>
  <c r="W63" i="14"/>
  <c r="W62" i="14"/>
  <c r="W61" i="14"/>
  <c r="W55" i="14"/>
  <c r="W60" i="14"/>
  <c r="W59" i="14"/>
  <c r="W58" i="14"/>
  <c r="W57" i="14"/>
  <c r="W56" i="14"/>
  <c r="W54" i="14"/>
  <c r="W53" i="14"/>
  <c r="W52" i="14"/>
  <c r="W51" i="14"/>
  <c r="W50" i="14"/>
  <c r="W49" i="14"/>
  <c r="W48" i="14"/>
  <c r="W47" i="14"/>
  <c r="W46" i="14"/>
  <c r="W45" i="14"/>
  <c r="W40" i="14"/>
  <c r="W39" i="14"/>
  <c r="W38" i="14"/>
  <c r="W37" i="14"/>
  <c r="W36" i="14"/>
  <c r="W35" i="14"/>
  <c r="W44" i="14"/>
  <c r="W43" i="14"/>
  <c r="W32" i="14"/>
  <c r="W42" i="14"/>
  <c r="W41" i="14"/>
  <c r="W33" i="14"/>
  <c r="W31" i="14"/>
  <c r="W23" i="14"/>
  <c r="W30" i="14"/>
  <c r="W24" i="14"/>
  <c r="W28" i="14"/>
  <c r="C21" i="14"/>
  <c r="V17" i="14"/>
  <c r="V16" i="14"/>
  <c r="V15" i="14"/>
  <c r="V13" i="14"/>
  <c r="V12" i="14"/>
  <c r="V11" i="14"/>
  <c r="V9" i="14"/>
  <c r="V8" i="14"/>
  <c r="V7" i="14"/>
  <c r="V5" i="14"/>
  <c r="V4" i="14"/>
  <c r="V3" i="14"/>
  <c r="E1" i="14"/>
  <c r="L5" i="6"/>
  <c r="D167" i="4"/>
  <c r="D166" i="4"/>
  <c r="D165" i="4"/>
  <c r="D164" i="4"/>
  <c r="D163" i="4"/>
  <c r="D162" i="4"/>
  <c r="D161" i="4"/>
  <c r="D160" i="4"/>
  <c r="D159" i="4"/>
  <c r="I158" i="4"/>
  <c r="H158" i="4"/>
  <c r="G158" i="4"/>
  <c r="F158" i="4"/>
  <c r="D156" i="4"/>
  <c r="D143" i="4" s="1"/>
  <c r="I143" i="4"/>
  <c r="H143" i="4"/>
  <c r="G143" i="4"/>
  <c r="F143" i="4"/>
  <c r="I135" i="4"/>
  <c r="H135" i="4"/>
  <c r="G135" i="4"/>
  <c r="F135" i="4"/>
  <c r="I129" i="4"/>
  <c r="H129" i="4"/>
  <c r="G129" i="4"/>
  <c r="F129" i="4"/>
  <c r="D119" i="4"/>
  <c r="E119" i="4" s="1"/>
  <c r="I119" i="4"/>
  <c r="H119" i="4"/>
  <c r="G119" i="4"/>
  <c r="F119" i="4"/>
  <c r="K110" i="4"/>
  <c r="I110" i="4"/>
  <c r="H110" i="4"/>
  <c r="G110" i="4"/>
  <c r="F110" i="4"/>
  <c r="I85" i="4"/>
  <c r="H85" i="4"/>
  <c r="G85" i="4"/>
  <c r="F85" i="4"/>
  <c r="E85" i="4"/>
  <c r="D64" i="4"/>
  <c r="H64" i="4"/>
  <c r="K43" i="4"/>
  <c r="L17" i="3"/>
  <c r="G15" i="3"/>
  <c r="G14" i="3"/>
  <c r="G12" i="3"/>
  <c r="G11" i="3"/>
  <c r="G9" i="3"/>
  <c r="G8" i="3"/>
  <c r="G6" i="3"/>
  <c r="G5" i="3"/>
  <c r="AS323" i="2"/>
  <c r="AR323" i="2"/>
  <c r="AQ323" i="2"/>
  <c r="AP323" i="2"/>
  <c r="AO323" i="2"/>
  <c r="AN323" i="2"/>
  <c r="AM323" i="2"/>
  <c r="AH323" i="2"/>
  <c r="AL323" i="2"/>
  <c r="AK323" i="2"/>
  <c r="AD323" i="2"/>
  <c r="AG323" i="2"/>
  <c r="AF323" i="2"/>
  <c r="AE323" i="2"/>
  <c r="AC323" i="2"/>
  <c r="AB323" i="2"/>
  <c r="AA323" i="2"/>
  <c r="Y323" i="2"/>
  <c r="U323" i="2"/>
  <c r="T323" i="2"/>
  <c r="S323" i="2"/>
  <c r="R323" i="2"/>
  <c r="Q323" i="2"/>
  <c r="P323" i="2"/>
  <c r="O323" i="2"/>
  <c r="N323" i="2"/>
  <c r="M323" i="2"/>
  <c r="L323" i="2"/>
  <c r="K323" i="2"/>
  <c r="J323" i="2"/>
  <c r="I323" i="2"/>
  <c r="H323" i="2"/>
  <c r="G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AS301" i="2"/>
  <c r="AR301" i="2"/>
  <c r="AQ301" i="2"/>
  <c r="AP301" i="2"/>
  <c r="AO301" i="2"/>
  <c r="AN301" i="2"/>
  <c r="AM301" i="2"/>
  <c r="AH301" i="2"/>
  <c r="AL301" i="2"/>
  <c r="AK301" i="2"/>
  <c r="AD301" i="2"/>
  <c r="AG301" i="2"/>
  <c r="AF301" i="2"/>
  <c r="AE301" i="2"/>
  <c r="AC301" i="2"/>
  <c r="AB301" i="2"/>
  <c r="AA301" i="2"/>
  <c r="Y301" i="2"/>
  <c r="U301" i="2"/>
  <c r="T301" i="2"/>
  <c r="S301" i="2"/>
  <c r="R301" i="2"/>
  <c r="Q301" i="2"/>
  <c r="P301" i="2"/>
  <c r="O301" i="2"/>
  <c r="N301" i="2"/>
  <c r="M301" i="2"/>
  <c r="L301" i="2"/>
  <c r="K301" i="2"/>
  <c r="J301" i="2"/>
  <c r="I301" i="2"/>
  <c r="H301" i="2"/>
  <c r="G301" i="2"/>
  <c r="C295" i="2"/>
  <c r="C293" i="2"/>
  <c r="C292" i="2"/>
  <c r="C291" i="2"/>
  <c r="C283" i="2"/>
  <c r="C282" i="2"/>
  <c r="C281" i="2"/>
  <c r="C280" i="2"/>
  <c r="C278" i="2"/>
  <c r="C277" i="2"/>
  <c r="AS276" i="2"/>
  <c r="AR276" i="2"/>
  <c r="AQ276" i="2"/>
  <c r="AP276" i="2"/>
  <c r="AO276" i="2"/>
  <c r="AN276" i="2"/>
  <c r="AM276" i="2"/>
  <c r="AH276" i="2"/>
  <c r="AL276" i="2"/>
  <c r="AK276" i="2"/>
  <c r="AD276" i="2"/>
  <c r="AG276" i="2"/>
  <c r="AF276" i="2"/>
  <c r="AE276" i="2"/>
  <c r="AC276" i="2"/>
  <c r="AB276" i="2"/>
  <c r="AA276" i="2"/>
  <c r="Y276" i="2"/>
  <c r="U276" i="2"/>
  <c r="T276" i="2"/>
  <c r="S276" i="2"/>
  <c r="R276" i="2"/>
  <c r="Q276" i="2"/>
  <c r="P276" i="2"/>
  <c r="O276" i="2"/>
  <c r="N276" i="2"/>
  <c r="M276" i="2"/>
  <c r="L276" i="2"/>
  <c r="K276" i="2"/>
  <c r="J276" i="2"/>
  <c r="I276" i="2"/>
  <c r="H276" i="2"/>
  <c r="G276" i="2"/>
  <c r="C275" i="2"/>
  <c r="C265" i="2"/>
  <c r="C264" i="2"/>
  <c r="C266" i="2"/>
  <c r="C263" i="2"/>
  <c r="C262" i="2"/>
  <c r="C261" i="2"/>
  <c r="C260" i="2"/>
  <c r="C259" i="2"/>
  <c r="C258" i="2"/>
  <c r="C257" i="2"/>
  <c r="C256" i="2"/>
  <c r="C255" i="2"/>
  <c r="C254" i="2"/>
  <c r="AS252" i="2"/>
  <c r="AR252" i="2"/>
  <c r="AQ252" i="2"/>
  <c r="AP252" i="2"/>
  <c r="AO252" i="2"/>
  <c r="AN252" i="2"/>
  <c r="AM252" i="2"/>
  <c r="AH252" i="2"/>
  <c r="AL252" i="2"/>
  <c r="AK252" i="2"/>
  <c r="AD252" i="2"/>
  <c r="AG252" i="2"/>
  <c r="AF252" i="2"/>
  <c r="AE252" i="2"/>
  <c r="AC252" i="2"/>
  <c r="AB252" i="2"/>
  <c r="AA252" i="2"/>
  <c r="Y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G252" i="2"/>
  <c r="C251" i="2"/>
  <c r="C244" i="2"/>
  <c r="C250" i="2"/>
  <c r="C249" i="2"/>
  <c r="C242" i="2"/>
  <c r="C236" i="2"/>
  <c r="C241" i="2"/>
  <c r="C240" i="2"/>
  <c r="C239" i="2"/>
  <c r="C237" i="2"/>
  <c r="C235" i="2"/>
  <c r="C234" i="2"/>
  <c r="C233" i="2"/>
  <c r="C232" i="2"/>
  <c r="C231" i="2"/>
  <c r="C230" i="2"/>
  <c r="C229" i="2"/>
  <c r="C228" i="2"/>
  <c r="C227" i="2"/>
  <c r="AS226" i="2"/>
  <c r="AR226" i="2"/>
  <c r="AQ226" i="2"/>
  <c r="AP226" i="2"/>
  <c r="AO226" i="2"/>
  <c r="AN226" i="2"/>
  <c r="AM226" i="2"/>
  <c r="AH226" i="2"/>
  <c r="AL226" i="2"/>
  <c r="AK226" i="2"/>
  <c r="AD226" i="2"/>
  <c r="AG226" i="2"/>
  <c r="AF226" i="2"/>
  <c r="AE226" i="2"/>
  <c r="AC226" i="2"/>
  <c r="AB226" i="2"/>
  <c r="AA226" i="2"/>
  <c r="Y226" i="2"/>
  <c r="U226" i="2"/>
  <c r="T226" i="2"/>
  <c r="S226" i="2"/>
  <c r="R226" i="2"/>
  <c r="Q226" i="2"/>
  <c r="P226" i="2"/>
  <c r="O226" i="2"/>
  <c r="N226" i="2"/>
  <c r="M226" i="2"/>
  <c r="L226" i="2"/>
  <c r="K226" i="2"/>
  <c r="J226" i="2"/>
  <c r="I226" i="2"/>
  <c r="H226" i="2"/>
  <c r="G226" i="2"/>
  <c r="C225" i="2"/>
  <c r="C210" i="2"/>
  <c r="C223" i="2"/>
  <c r="C220" i="2"/>
  <c r="C214" i="2"/>
  <c r="C215" i="2"/>
  <c r="C216" i="2"/>
  <c r="C219" i="2"/>
  <c r="C218" i="2"/>
  <c r="C213" i="2"/>
  <c r="C212" i="2"/>
  <c r="C208" i="2"/>
  <c r="C207" i="2"/>
  <c r="C206" i="2"/>
  <c r="C205" i="2"/>
  <c r="AS204" i="2"/>
  <c r="AR204" i="2"/>
  <c r="AQ204" i="2"/>
  <c r="AP204" i="2"/>
  <c r="AO204" i="2"/>
  <c r="AN204" i="2"/>
  <c r="AM204" i="2"/>
  <c r="AH204" i="2"/>
  <c r="AL204" i="2"/>
  <c r="AK204" i="2"/>
  <c r="AD204" i="2"/>
  <c r="AG204" i="2"/>
  <c r="AF204" i="2"/>
  <c r="AE204" i="2"/>
  <c r="AC204" i="2"/>
  <c r="AB204" i="2"/>
  <c r="AA204" i="2"/>
  <c r="Y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C203" i="2"/>
  <c r="C202" i="2"/>
  <c r="C201" i="2"/>
  <c r="C190" i="2"/>
  <c r="C189" i="2"/>
  <c r="C188" i="2"/>
  <c r="C187" i="2"/>
  <c r="C186" i="2"/>
  <c r="C185" i="2"/>
  <c r="C184" i="2"/>
  <c r="C183" i="2"/>
  <c r="C182" i="2"/>
  <c r="C180" i="2"/>
  <c r="C179" i="2"/>
  <c r="C178" i="2"/>
  <c r="C177" i="2"/>
  <c r="C176" i="2"/>
  <c r="C175" i="2"/>
  <c r="AS173" i="2"/>
  <c r="AR173" i="2"/>
  <c r="AQ173" i="2"/>
  <c r="AP173" i="2"/>
  <c r="AO173" i="2"/>
  <c r="AN173" i="2"/>
  <c r="AM173" i="2"/>
  <c r="AH173" i="2"/>
  <c r="AL173" i="2"/>
  <c r="AK173" i="2"/>
  <c r="AD173" i="2"/>
  <c r="AG173" i="2"/>
  <c r="AF173" i="2"/>
  <c r="AE173" i="2"/>
  <c r="AC173" i="2"/>
  <c r="AB173" i="2"/>
  <c r="AA173" i="2"/>
  <c r="Y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C172" i="2"/>
  <c r="C171" i="2"/>
  <c r="C170" i="2"/>
  <c r="C163" i="2"/>
  <c r="C154" i="2"/>
  <c r="C153" i="2"/>
  <c r="C152" i="2"/>
  <c r="C151" i="2"/>
  <c r="C150" i="2"/>
  <c r="C148" i="2"/>
  <c r="C147" i="2"/>
  <c r="C149" i="2"/>
  <c r="C146" i="2"/>
  <c r="C145" i="2"/>
  <c r="C144" i="2"/>
  <c r="AS143" i="2"/>
  <c r="AR143" i="2"/>
  <c r="AQ143" i="2"/>
  <c r="AP143" i="2"/>
  <c r="AO143" i="2"/>
  <c r="AN143" i="2"/>
  <c r="AM143" i="2"/>
  <c r="AH143" i="2"/>
  <c r="AL143" i="2"/>
  <c r="AK143" i="2"/>
  <c r="AD143" i="2"/>
  <c r="AG143" i="2"/>
  <c r="AF143" i="2"/>
  <c r="AE143" i="2"/>
  <c r="AC143" i="2"/>
  <c r="AB143" i="2"/>
  <c r="AA143" i="2"/>
  <c r="Y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C142" i="2"/>
  <c r="C135" i="2"/>
  <c r="C130" i="2"/>
  <c r="C124" i="2"/>
  <c r="C123" i="2"/>
  <c r="C120" i="2"/>
  <c r="C119" i="2"/>
  <c r="C122" i="2"/>
  <c r="C121" i="2"/>
  <c r="C118" i="2"/>
  <c r="C117" i="2"/>
  <c r="C116" i="2"/>
  <c r="C115" i="2"/>
  <c r="C114" i="2"/>
  <c r="C113" i="2"/>
  <c r="C112" i="2"/>
  <c r="AS111" i="2"/>
  <c r="AR111" i="2"/>
  <c r="AQ111" i="2"/>
  <c r="AP111" i="2"/>
  <c r="AO111" i="2"/>
  <c r="AN111" i="2"/>
  <c r="AM111" i="2"/>
  <c r="AH111" i="2"/>
  <c r="AL111" i="2"/>
  <c r="AK111" i="2"/>
  <c r="AD111" i="2"/>
  <c r="AG111" i="2"/>
  <c r="AF111" i="2"/>
  <c r="AE111" i="2"/>
  <c r="AC111" i="2"/>
  <c r="AB111" i="2"/>
  <c r="AA111" i="2"/>
  <c r="Y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C110" i="2"/>
  <c r="C108" i="2"/>
  <c r="C107" i="2"/>
  <c r="C106" i="2"/>
  <c r="C105" i="2"/>
  <c r="C104" i="2"/>
  <c r="C103" i="2"/>
  <c r="C102" i="2"/>
  <c r="C96" i="2"/>
  <c r="C95" i="2"/>
  <c r="C101" i="2"/>
  <c r="C100" i="2"/>
  <c r="C99" i="2"/>
  <c r="C98" i="2"/>
  <c r="C97" i="2"/>
  <c r="C94" i="2"/>
  <c r="C93" i="2"/>
  <c r="C92" i="2"/>
  <c r="C91" i="2"/>
  <c r="AS89" i="2"/>
  <c r="AR89" i="2"/>
  <c r="AQ89" i="2"/>
  <c r="AP89" i="2"/>
  <c r="AO89" i="2"/>
  <c r="AN89" i="2"/>
  <c r="AM89" i="2"/>
  <c r="AH89" i="2"/>
  <c r="AL89" i="2"/>
  <c r="AK89" i="2"/>
  <c r="AD89" i="2"/>
  <c r="AG89" i="2"/>
  <c r="AF89" i="2"/>
  <c r="AE89" i="2"/>
  <c r="AC89" i="2"/>
  <c r="AB89" i="2"/>
  <c r="AA89" i="2"/>
  <c r="Y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C88" i="2"/>
  <c r="C76" i="2"/>
  <c r="C74" i="2"/>
  <c r="C68" i="2"/>
  <c r="C73" i="2"/>
  <c r="C72" i="2"/>
  <c r="C67" i="2"/>
  <c r="C71" i="2"/>
  <c r="C70" i="2"/>
  <c r="C69" i="2"/>
  <c r="C66" i="2"/>
  <c r="C65" i="2"/>
  <c r="C64" i="2"/>
  <c r="C63" i="2"/>
  <c r="C62" i="2"/>
  <c r="C61" i="2"/>
  <c r="C60" i="2"/>
  <c r="C59" i="2"/>
  <c r="C57" i="2"/>
  <c r="C49" i="2"/>
  <c r="C47" i="2"/>
  <c r="C38" i="2"/>
  <c r="C37" i="2"/>
  <c r="C36" i="2"/>
  <c r="C35" i="2"/>
  <c r="AS34" i="2"/>
  <c r="AR34" i="2"/>
  <c r="AR58" i="2" s="1"/>
  <c r="AQ34" i="2"/>
  <c r="AQ58" i="2" s="1"/>
  <c r="AP34" i="2"/>
  <c r="AP58" i="2" s="1"/>
  <c r="AO34" i="2"/>
  <c r="AO58" i="2" s="1"/>
  <c r="AN34" i="2"/>
  <c r="AN58" i="2" s="1"/>
  <c r="AM34" i="2"/>
  <c r="AM58" i="2" s="1"/>
  <c r="AH34" i="2"/>
  <c r="AH58" i="2" s="1"/>
  <c r="AL34" i="2"/>
  <c r="AL58" i="2" s="1"/>
  <c r="AK34" i="2"/>
  <c r="AD34" i="2"/>
  <c r="AD58" i="2" s="1"/>
  <c r="AG34" i="2"/>
  <c r="AG58" i="2" s="1"/>
  <c r="AF34" i="2"/>
  <c r="AF58" i="2" s="1"/>
  <c r="AE34" i="2"/>
  <c r="AE58" i="2" s="1"/>
  <c r="AC34" i="2"/>
  <c r="AC58" i="2" s="1"/>
  <c r="AB34" i="2"/>
  <c r="AA34" i="2"/>
  <c r="AA58" i="2" s="1"/>
  <c r="Y34" i="2"/>
  <c r="Y58" i="2" s="1"/>
  <c r="U34" i="2"/>
  <c r="U58" i="2" s="1"/>
  <c r="T34" i="2"/>
  <c r="T58" i="2" s="1"/>
  <c r="R34" i="2"/>
  <c r="R58" i="2" s="1"/>
  <c r="Q34" i="2"/>
  <c r="Q58" i="2" s="1"/>
  <c r="P34" i="2"/>
  <c r="P58" i="2" s="1"/>
  <c r="O34" i="2"/>
  <c r="N34" i="2"/>
  <c r="N58" i="2" s="1"/>
  <c r="M34" i="2"/>
  <c r="M58" i="2" s="1"/>
  <c r="L34" i="2"/>
  <c r="L58" i="2" s="1"/>
  <c r="K34" i="2"/>
  <c r="J34" i="2"/>
  <c r="J58" i="2" s="1"/>
  <c r="I34" i="2"/>
  <c r="I58" i="2" s="1"/>
  <c r="G34" i="2"/>
  <c r="G58" i="2" s="1"/>
  <c r="C33" i="2"/>
  <c r="C20" i="2"/>
  <c r="C19" i="2"/>
  <c r="C18" i="2"/>
  <c r="C17" i="2"/>
  <c r="C16" i="2"/>
  <c r="C15" i="2"/>
  <c r="C14" i="2"/>
  <c r="C12" i="2"/>
  <c r="C11" i="2"/>
  <c r="C10" i="2"/>
  <c r="C9" i="2"/>
  <c r="C7" i="2"/>
  <c r="C5" i="2"/>
  <c r="I184" i="1"/>
  <c r="F184" i="1"/>
  <c r="E184" i="1"/>
  <c r="G183" i="1"/>
  <c r="H183" i="1" s="1"/>
  <c r="J183" i="1" s="1"/>
  <c r="D183" i="1"/>
  <c r="C183" i="1"/>
  <c r="G182" i="1"/>
  <c r="H182" i="1" s="1"/>
  <c r="J182" i="1" s="1"/>
  <c r="D182" i="1"/>
  <c r="C182" i="1"/>
  <c r="G181" i="1"/>
  <c r="H181" i="1" s="1"/>
  <c r="J181" i="1" s="1"/>
  <c r="D181" i="1"/>
  <c r="C181" i="1"/>
  <c r="G176" i="1"/>
  <c r="H176" i="1" s="1"/>
  <c r="J176" i="1" s="1"/>
  <c r="D176" i="1"/>
  <c r="C176" i="1"/>
  <c r="G175" i="1"/>
  <c r="H175" i="1" s="1"/>
  <c r="J175" i="1" s="1"/>
  <c r="D175" i="1"/>
  <c r="C175" i="1"/>
  <c r="G174" i="1"/>
  <c r="H174" i="1" s="1"/>
  <c r="D174" i="1"/>
  <c r="C174" i="1"/>
  <c r="G172" i="1"/>
  <c r="H172" i="1" s="1"/>
  <c r="J172" i="1" s="1"/>
  <c r="D172" i="1"/>
  <c r="C172" i="1"/>
  <c r="G173" i="1"/>
  <c r="H173" i="1" s="1"/>
  <c r="J173" i="1" s="1"/>
  <c r="D173" i="1"/>
  <c r="C173" i="1"/>
  <c r="G171" i="1"/>
  <c r="H171" i="1" s="1"/>
  <c r="J171" i="1" s="1"/>
  <c r="D171" i="1"/>
  <c r="C171" i="1"/>
  <c r="I170" i="1"/>
  <c r="F170" i="1"/>
  <c r="G169" i="1"/>
  <c r="H169" i="1" s="1"/>
  <c r="J169" i="1" s="1"/>
  <c r="D169" i="1"/>
  <c r="C169" i="1"/>
  <c r="G158" i="1"/>
  <c r="H158" i="1" s="1"/>
  <c r="J158" i="1" s="1"/>
  <c r="D158" i="1"/>
  <c r="C158" i="1"/>
  <c r="G157" i="1"/>
  <c r="H157" i="1" s="1"/>
  <c r="J157" i="1" s="1"/>
  <c r="D157" i="1"/>
  <c r="C157" i="1"/>
  <c r="G156" i="1"/>
  <c r="H156" i="1" s="1"/>
  <c r="D156" i="1"/>
  <c r="C156" i="1"/>
  <c r="I155" i="1"/>
  <c r="F155" i="1"/>
  <c r="G154" i="1"/>
  <c r="H154" i="1" s="1"/>
  <c r="J154" i="1" s="1"/>
  <c r="D154" i="1"/>
  <c r="C154" i="1"/>
  <c r="G151" i="1"/>
  <c r="H151" i="1" s="1"/>
  <c r="J151" i="1" s="1"/>
  <c r="D151" i="1"/>
  <c r="C151" i="1"/>
  <c r="G153" i="1"/>
  <c r="H153" i="1" s="1"/>
  <c r="J153" i="1" s="1"/>
  <c r="D153" i="1"/>
  <c r="C153" i="1"/>
  <c r="G147" i="1"/>
  <c r="H147" i="1" s="1"/>
  <c r="D147" i="1"/>
  <c r="C147" i="1"/>
  <c r="G143" i="1"/>
  <c r="H143" i="1" s="1"/>
  <c r="J143" i="1" s="1"/>
  <c r="D143" i="1"/>
  <c r="C143" i="1"/>
  <c r="I141" i="1"/>
  <c r="F141" i="1"/>
  <c r="G140" i="1"/>
  <c r="H140" i="1" s="1"/>
  <c r="J140" i="1" s="1"/>
  <c r="D140" i="1"/>
  <c r="C140" i="1"/>
  <c r="G139" i="1"/>
  <c r="H139" i="1" s="1"/>
  <c r="J139" i="1" s="1"/>
  <c r="D139" i="1"/>
  <c r="C139" i="1"/>
  <c r="G137" i="1"/>
  <c r="H137" i="1" s="1"/>
  <c r="J137" i="1" s="1"/>
  <c r="D137" i="1"/>
  <c r="C137" i="1"/>
  <c r="G126" i="1"/>
  <c r="H126" i="1" s="1"/>
  <c r="J126" i="1" s="1"/>
  <c r="D126" i="1"/>
  <c r="C126" i="1"/>
  <c r="I125" i="1"/>
  <c r="F125" i="1"/>
  <c r="G124" i="1"/>
  <c r="H124" i="1" s="1"/>
  <c r="J124" i="1" s="1"/>
  <c r="D124" i="1"/>
  <c r="C124" i="1"/>
  <c r="G120" i="1"/>
  <c r="H120" i="1" s="1"/>
  <c r="J120" i="1" s="1"/>
  <c r="D120" i="1"/>
  <c r="C120" i="1"/>
  <c r="G115" i="1"/>
  <c r="H115" i="1" s="1"/>
  <c r="J115" i="1" s="1"/>
  <c r="D115" i="1"/>
  <c r="C115" i="1"/>
  <c r="I114" i="1"/>
  <c r="F114" i="1"/>
  <c r="G113" i="1"/>
  <c r="H113" i="1" s="1"/>
  <c r="J113" i="1" s="1"/>
  <c r="D113" i="1"/>
  <c r="C113" i="1"/>
  <c r="G110" i="1"/>
  <c r="H110" i="1" s="1"/>
  <c r="J110" i="1" s="1"/>
  <c r="D110" i="1"/>
  <c r="C110" i="1"/>
  <c r="G108" i="1"/>
  <c r="H108" i="1" s="1"/>
  <c r="J108" i="1" s="1"/>
  <c r="C108" i="1"/>
  <c r="G101" i="1"/>
  <c r="D101" i="1"/>
  <c r="C101" i="1"/>
  <c r="I99" i="1"/>
  <c r="F99" i="1"/>
  <c r="G98" i="1"/>
  <c r="H98" i="1" s="1"/>
  <c r="J98" i="1" s="1"/>
  <c r="D98" i="1"/>
  <c r="C98" i="1"/>
  <c r="G97" i="1"/>
  <c r="H97" i="1" s="1"/>
  <c r="J97" i="1" s="1"/>
  <c r="D97" i="1"/>
  <c r="C97" i="1"/>
  <c r="G96" i="1"/>
  <c r="H96" i="1" s="1"/>
  <c r="J96" i="1" s="1"/>
  <c r="D96" i="1"/>
  <c r="C96" i="1"/>
  <c r="G89" i="1"/>
  <c r="H89" i="1" s="1"/>
  <c r="J89" i="1" s="1"/>
  <c r="D89" i="1"/>
  <c r="C89" i="1"/>
  <c r="G88" i="1"/>
  <c r="H88" i="1" s="1"/>
  <c r="J88" i="1" s="1"/>
  <c r="D88" i="1"/>
  <c r="C88" i="1"/>
  <c r="G87" i="1"/>
  <c r="H87" i="1" s="1"/>
  <c r="J87" i="1" s="1"/>
  <c r="D87" i="1"/>
  <c r="C87" i="1"/>
  <c r="I86" i="1"/>
  <c r="F86" i="1"/>
  <c r="G85" i="1"/>
  <c r="H85" i="1" s="1"/>
  <c r="J85" i="1" s="1"/>
  <c r="D85" i="1"/>
  <c r="C85" i="1"/>
  <c r="G84" i="1"/>
  <c r="H84" i="1" s="1"/>
  <c r="J84" i="1" s="1"/>
  <c r="D84" i="1"/>
  <c r="C84" i="1"/>
  <c r="G80" i="1"/>
  <c r="H80" i="1" s="1"/>
  <c r="J80" i="1" s="1"/>
  <c r="D80" i="1"/>
  <c r="C80" i="1"/>
  <c r="G79" i="1"/>
  <c r="H79" i="1" s="1"/>
  <c r="J79" i="1" s="1"/>
  <c r="D79" i="1"/>
  <c r="C79" i="1"/>
  <c r="G78" i="1"/>
  <c r="H78" i="1" s="1"/>
  <c r="J78" i="1" s="1"/>
  <c r="D78" i="1"/>
  <c r="C78" i="1"/>
  <c r="G74" i="1"/>
  <c r="H74" i="1" s="1"/>
  <c r="J74" i="1" s="1"/>
  <c r="D74" i="1"/>
  <c r="C74" i="1"/>
  <c r="G73" i="1"/>
  <c r="H73" i="1" s="1"/>
  <c r="J73" i="1" s="1"/>
  <c r="D73" i="1"/>
  <c r="C73" i="1"/>
  <c r="G72" i="1"/>
  <c r="H72" i="1" s="1"/>
  <c r="J72" i="1" s="1"/>
  <c r="D72" i="1"/>
  <c r="C72" i="1"/>
  <c r="G71" i="1"/>
  <c r="H71" i="1" s="1"/>
  <c r="J71" i="1" s="1"/>
  <c r="D71" i="1"/>
  <c r="C71" i="1"/>
  <c r="I70" i="1"/>
  <c r="F70" i="1"/>
  <c r="E70" i="1"/>
  <c r="E100" i="1" s="1"/>
  <c r="G69" i="1"/>
  <c r="H69" i="1" s="1"/>
  <c r="J69" i="1" s="1"/>
  <c r="D69" i="1"/>
  <c r="C69" i="1"/>
  <c r="G68" i="1"/>
  <c r="H68" i="1" s="1"/>
  <c r="J68" i="1" s="1"/>
  <c r="D68" i="1"/>
  <c r="C68" i="1"/>
  <c r="G58" i="1"/>
  <c r="H58" i="1" s="1"/>
  <c r="D58" i="1"/>
  <c r="C58" i="1"/>
  <c r="G57" i="1"/>
  <c r="H57" i="1" s="1"/>
  <c r="J57" i="1" s="1"/>
  <c r="D57" i="1"/>
  <c r="C57" i="1"/>
  <c r="G56" i="1"/>
  <c r="H56" i="1" s="1"/>
  <c r="J56" i="1" s="1"/>
  <c r="D56" i="1"/>
  <c r="C56" i="1"/>
  <c r="G55" i="1"/>
  <c r="H55" i="1" s="1"/>
  <c r="J55" i="1" s="1"/>
  <c r="D55" i="1"/>
  <c r="C55" i="1"/>
  <c r="I53" i="1"/>
  <c r="F53" i="1"/>
  <c r="H52" i="1"/>
  <c r="J52" i="1" s="1"/>
  <c r="D52" i="1"/>
  <c r="C52" i="1"/>
  <c r="G48" i="1"/>
  <c r="H48" i="1" s="1"/>
  <c r="J48" i="1" s="1"/>
  <c r="D48" i="1"/>
  <c r="C48" i="1"/>
  <c r="G47" i="1"/>
  <c r="H47" i="1" s="1"/>
  <c r="J47" i="1" s="1"/>
  <c r="D47" i="1"/>
  <c r="C47" i="1"/>
  <c r="G41" i="1"/>
  <c r="H41" i="1" s="1"/>
  <c r="J41" i="1" s="1"/>
  <c r="D41" i="1"/>
  <c r="C41" i="1"/>
  <c r="G40" i="1"/>
  <c r="H40" i="1" s="1"/>
  <c r="J40" i="1" s="1"/>
  <c r="D40" i="1"/>
  <c r="C40" i="1"/>
  <c r="G39" i="1"/>
  <c r="H39" i="1" s="1"/>
  <c r="J39" i="1" s="1"/>
  <c r="D39" i="1"/>
  <c r="C39" i="1"/>
  <c r="G38" i="1"/>
  <c r="H38" i="1" s="1"/>
  <c r="D38" i="1"/>
  <c r="C38" i="1"/>
  <c r="I37" i="1"/>
  <c r="F37" i="1"/>
  <c r="E37" i="1"/>
  <c r="G36" i="1"/>
  <c r="H36" i="1" s="1"/>
  <c r="J36" i="1" s="1"/>
  <c r="D36" i="1"/>
  <c r="C36" i="1"/>
  <c r="G35" i="1"/>
  <c r="H35" i="1" s="1"/>
  <c r="J35" i="1" s="1"/>
  <c r="D35" i="1"/>
  <c r="C35" i="1"/>
  <c r="G28" i="1"/>
  <c r="H28" i="1" s="1"/>
  <c r="J28" i="1" s="1"/>
  <c r="D28" i="1"/>
  <c r="C28" i="1"/>
  <c r="G27" i="1"/>
  <c r="H27" i="1" s="1"/>
  <c r="J27" i="1" s="1"/>
  <c r="D27" i="1"/>
  <c r="C27" i="1"/>
  <c r="G22" i="1"/>
  <c r="H22" i="1" s="1"/>
  <c r="J22" i="1" s="1"/>
  <c r="D22" i="1"/>
  <c r="C22" i="1"/>
  <c r="G21" i="1"/>
  <c r="H21" i="1" s="1"/>
  <c r="J21" i="1" s="1"/>
  <c r="D21" i="1"/>
  <c r="C21" i="1"/>
  <c r="G20" i="1"/>
  <c r="H20" i="1" s="1"/>
  <c r="J20" i="1" s="1"/>
  <c r="D20" i="1"/>
  <c r="C20" i="1"/>
  <c r="I19" i="1"/>
  <c r="F19" i="1"/>
  <c r="E19" i="1"/>
  <c r="G18" i="1"/>
  <c r="H18" i="1" s="1"/>
  <c r="J18" i="1" s="1"/>
  <c r="D18" i="1"/>
  <c r="C18" i="1"/>
  <c r="G17" i="1"/>
  <c r="H17" i="1" s="1"/>
  <c r="J17" i="1" s="1"/>
  <c r="D17" i="1"/>
  <c r="C17" i="1"/>
  <c r="G7" i="1"/>
  <c r="H7" i="1" s="1"/>
  <c r="D7" i="1"/>
  <c r="C7" i="1"/>
  <c r="G6" i="1"/>
  <c r="H6" i="1" s="1"/>
  <c r="J6" i="1" s="1"/>
  <c r="D6" i="1"/>
  <c r="C6" i="1"/>
  <c r="G5" i="1"/>
  <c r="H5" i="1" s="1"/>
  <c r="J5" i="1" s="1"/>
  <c r="D5" i="1"/>
  <c r="C5" i="1"/>
  <c r="G4" i="1"/>
  <c r="H4" i="1" s="1"/>
  <c r="J4" i="1" s="1"/>
  <c r="D4" i="1"/>
  <c r="C4" i="1"/>
  <c r="G3" i="1"/>
  <c r="H3" i="1" s="1"/>
  <c r="J3" i="1" s="1"/>
  <c r="D3" i="1"/>
  <c r="C3" i="1"/>
  <c r="D129" i="4"/>
  <c r="E129" i="4" s="1"/>
  <c r="X63" i="17" l="1" a="1"/>
  <c r="X62" i="17" a="1"/>
  <c r="X32" i="17" a="1"/>
  <c r="X26" i="17" a="1"/>
  <c r="X34" i="17" a="1"/>
  <c r="X25" i="17" a="1"/>
  <c r="X43" i="17" a="1"/>
  <c r="X40" i="17" a="1"/>
  <c r="X45" i="17" a="1"/>
  <c r="X36" i="17" a="1"/>
  <c r="X31" i="17" a="1"/>
  <c r="X44" i="17" a="1"/>
  <c r="X42" i="17" a="1"/>
  <c r="X28" i="17" a="1"/>
  <c r="X24" i="17" a="1"/>
  <c r="X27" i="17" a="1"/>
  <c r="X39" i="17" a="1"/>
  <c r="X35" i="17" a="1"/>
  <c r="X33" i="17" a="1"/>
  <c r="X30" i="17" a="1"/>
  <c r="X41" i="17" a="1"/>
  <c r="X38" i="17" a="1"/>
  <c r="X37" i="17" a="1"/>
  <c r="X29" i="17" a="1"/>
  <c r="X144" i="17" a="1"/>
  <c r="X145" i="17" a="1"/>
  <c r="X137" i="17" a="1"/>
  <c r="X146" i="17" a="1"/>
  <c r="X147" i="17" a="1"/>
  <c r="X142" i="17" a="1"/>
  <c r="X134" i="17" a="1"/>
  <c r="X136" i="17" a="1"/>
  <c r="X126" i="17" a="1"/>
  <c r="X141" i="17" a="1"/>
  <c r="X138" i="17" a="1"/>
  <c r="X127" i="17" a="1"/>
  <c r="X139" i="17" a="1"/>
  <c r="X129" i="17" a="1"/>
  <c r="X143" i="17" a="1"/>
  <c r="X132" i="17" a="1"/>
  <c r="X124" i="17" a="1"/>
  <c r="X135" i="17" a="1"/>
  <c r="X118" i="17" a="1"/>
  <c r="X119" i="17" a="1"/>
  <c r="X140" i="17" a="1"/>
  <c r="X125" i="17" a="1"/>
  <c r="X114" i="17" a="1"/>
  <c r="X123" i="17" a="1"/>
  <c r="X117" i="17" a="1"/>
  <c r="X128" i="17" a="1"/>
  <c r="X121" i="17" a="1"/>
  <c r="X109" i="17" a="1"/>
  <c r="X103" i="17" a="1"/>
  <c r="X97" i="17" a="1"/>
  <c r="X89" i="17" a="1"/>
  <c r="X83" i="17" a="1"/>
  <c r="X110" i="17" a="1"/>
  <c r="X104" i="17" a="1"/>
  <c r="X90" i="17" a="1"/>
  <c r="X84" i="17" a="1"/>
  <c r="X131" i="17" a="1"/>
  <c r="X130" i="17" a="1"/>
  <c r="X120" i="17" a="1"/>
  <c r="X107" i="17" a="1"/>
  <c r="X99" i="17" a="1"/>
  <c r="X93" i="17" a="1"/>
  <c r="X86" i="17" a="1"/>
  <c r="X79" i="17" a="1"/>
  <c r="X113" i="17" a="1"/>
  <c r="X100" i="17" a="1"/>
  <c r="X116" i="17" a="1"/>
  <c r="X91" i="17" a="1"/>
  <c r="X133" i="17" a="1"/>
  <c r="X105" i="17" a="1"/>
  <c r="X95" i="17" a="1"/>
  <c r="X87" i="17" a="1"/>
  <c r="X69" i="17" a="1"/>
  <c r="X64" i="17" a="1"/>
  <c r="X82" i="17" a="1"/>
  <c r="X81" i="17" a="1"/>
  <c r="X76" i="17" a="1"/>
  <c r="X70" i="17" a="1"/>
  <c r="X57" i="17" a="1"/>
  <c r="X122" i="17" a="1"/>
  <c r="X108" i="17" a="1"/>
  <c r="X101" i="17" a="1"/>
  <c r="X92" i="17" a="1"/>
  <c r="X115" i="17" a="1"/>
  <c r="X111" i="17" a="1"/>
  <c r="X98" i="17" a="1"/>
  <c r="X96" i="17" a="1"/>
  <c r="X94" i="17" a="1"/>
  <c r="X88" i="17" a="1"/>
  <c r="X78" i="17" a="1"/>
  <c r="X72" i="17" a="1"/>
  <c r="X66" i="17" a="1"/>
  <c r="X106" i="17" a="1"/>
  <c r="X67" i="17" a="1"/>
  <c r="X71" i="17" a="1"/>
  <c r="X55" i="17" a="1"/>
  <c r="X47" i="17" a="1"/>
  <c r="X85" i="17" a="1"/>
  <c r="X75" i="17" a="1"/>
  <c r="X112" i="17" a="1"/>
  <c r="X102" i="17" a="1"/>
  <c r="X74" i="17" a="1"/>
  <c r="X73" i="17" a="1"/>
  <c r="X65" i="17" a="1"/>
  <c r="X61" i="17" a="1"/>
  <c r="X77" i="17" a="1"/>
  <c r="X80" i="17" a="1"/>
  <c r="X59" i="17" a="1"/>
  <c r="X52" i="17" a="1"/>
  <c r="X68" i="17" a="1"/>
  <c r="X58" i="17" a="1"/>
  <c r="X54" i="17" a="1"/>
  <c r="X49" i="17" a="1"/>
  <c r="X60" i="17" a="1"/>
  <c r="X48" i="17" a="1"/>
  <c r="X51" i="17" a="1"/>
  <c r="X23" i="17" a="1"/>
  <c r="X46" i="17" a="1"/>
  <c r="X50" i="17" a="1"/>
  <c r="X56" i="17" a="1"/>
  <c r="X53" i="17" a="1"/>
  <c r="Y34" i="14" a="1"/>
  <c r="K34" i="14"/>
  <c r="K113" i="14"/>
  <c r="E58" i="4"/>
  <c r="E64" i="4"/>
  <c r="K93" i="14"/>
  <c r="Y75" i="14" a="1"/>
  <c r="Y73" i="14" a="1"/>
  <c r="K75" i="14"/>
  <c r="K73" i="14"/>
  <c r="K34" i="4"/>
  <c r="K24" i="4" s="1"/>
  <c r="K12" i="4" s="1"/>
  <c r="Y27" i="14" a="1"/>
  <c r="AE27" i="14" s="1"/>
  <c r="Y26" i="14" a="1"/>
  <c r="Y29" i="14" a="1"/>
  <c r="Y25" i="14" a="1"/>
  <c r="K26" i="14"/>
  <c r="K27" i="14"/>
  <c r="K25" i="14"/>
  <c r="K29" i="14"/>
  <c r="Y28" i="14" a="1"/>
  <c r="Y31" i="14" a="1"/>
  <c r="Y31" i="14" s="1"/>
  <c r="AM90" i="2"/>
  <c r="AO90" i="2"/>
  <c r="I54" i="1"/>
  <c r="AP90" i="2"/>
  <c r="F142" i="1"/>
  <c r="J174" i="2"/>
  <c r="AO174" i="2"/>
  <c r="J324" i="2"/>
  <c r="N324" i="2"/>
  <c r="AF324" i="2"/>
  <c r="AL324" i="2"/>
  <c r="AO324" i="2"/>
  <c r="E54" i="1"/>
  <c r="I100" i="1"/>
  <c r="I142" i="1"/>
  <c r="AA90" i="2"/>
  <c r="Y23" i="14" a="1"/>
  <c r="AH23" i="14" s="1"/>
  <c r="Y24" i="14" a="1"/>
  <c r="AF24" i="14" s="1"/>
  <c r="Y36" i="14" a="1"/>
  <c r="AJ36" i="14" s="1"/>
  <c r="Y37" i="14" a="1"/>
  <c r="AH37" i="14" s="1"/>
  <c r="Y38" i="14" a="1"/>
  <c r="AJ38" i="14" s="1"/>
  <c r="Y49" i="14" a="1"/>
  <c r="AJ49" i="14" s="1"/>
  <c r="Y50" i="14" a="1"/>
  <c r="AA50" i="14" s="1"/>
  <c r="Y53" i="14" a="1"/>
  <c r="AJ53" i="14" s="1"/>
  <c r="Y54" i="14" a="1"/>
  <c r="AB54" i="14" s="1"/>
  <c r="Y56" i="14" a="1"/>
  <c r="Z56" i="14" s="1"/>
  <c r="Y57" i="14" a="1"/>
  <c r="AJ57" i="14" s="1"/>
  <c r="Y61" i="14" a="1"/>
  <c r="AD61" i="14" s="1"/>
  <c r="Y62" i="14" a="1"/>
  <c r="AJ62" i="14" s="1"/>
  <c r="Y63" i="14" a="1"/>
  <c r="AJ63" i="14" s="1"/>
  <c r="Y69" i="14" a="1"/>
  <c r="AJ69" i="14" s="1"/>
  <c r="Y94" i="14" a="1"/>
  <c r="AD94" i="14" s="1"/>
  <c r="Y106" i="14" a="1"/>
  <c r="AJ106" i="14" s="1"/>
  <c r="Y39" i="14" a="1"/>
  <c r="AC39" i="14" s="1"/>
  <c r="Y46" i="14" a="1"/>
  <c r="AE46" i="14" s="1"/>
  <c r="Y101" i="14" a="1"/>
  <c r="AE101" i="14" s="1"/>
  <c r="Y97" i="14" a="1"/>
  <c r="Y97" i="14" s="1"/>
  <c r="Y65" i="14" a="1"/>
  <c r="AJ65" i="14" s="1"/>
  <c r="Y81" i="14" a="1"/>
  <c r="Y81" i="14" s="1"/>
  <c r="Y70" i="14" a="1"/>
  <c r="Z70" i="14" s="1"/>
  <c r="Y43" i="14" a="1"/>
  <c r="AJ43" i="14" s="1"/>
  <c r="Y105" i="14" a="1"/>
  <c r="AD105" i="14" s="1"/>
  <c r="Y98" i="14" a="1"/>
  <c r="AB98" i="14" s="1"/>
  <c r="Y95" i="14" a="1"/>
  <c r="AA95" i="14" s="1"/>
  <c r="Y33" i="14" a="1"/>
  <c r="AI33" i="14" s="1"/>
  <c r="Y51" i="14" a="1"/>
  <c r="Y79" i="14" a="1"/>
  <c r="Y79" i="14" s="1"/>
  <c r="Y67" i="14" a="1"/>
  <c r="Y67" i="14" s="1"/>
  <c r="Y59" i="14" a="1"/>
  <c r="AJ59" i="14" s="1"/>
  <c r="Y40" i="14" a="1"/>
  <c r="AJ40" i="14" s="1"/>
  <c r="Y42" i="14" a="1"/>
  <c r="AH42" i="14" s="1"/>
  <c r="Y103" i="14" a="1"/>
  <c r="AA103" i="14" s="1"/>
  <c r="Y99" i="14" a="1"/>
  <c r="Y96" i="14" a="1"/>
  <c r="AG96" i="14" s="1"/>
  <c r="Y102" i="14" a="1"/>
  <c r="Z102" i="14" s="1"/>
  <c r="Y100" i="14" a="1"/>
  <c r="AE100" i="14" s="1"/>
  <c r="Y104" i="14" a="1"/>
  <c r="AD104" i="14" s="1"/>
  <c r="Y83" i="14" a="1"/>
  <c r="AE83" i="14" s="1"/>
  <c r="Y52" i="14" a="1"/>
  <c r="AD52" i="14" s="1"/>
  <c r="Y77" i="14" a="1"/>
  <c r="AC77" i="14" s="1"/>
  <c r="Y86" i="14" a="1"/>
  <c r="Y93" i="14" a="1"/>
  <c r="AB93" i="14" s="1"/>
  <c r="Y80" i="14" a="1"/>
  <c r="Y78" i="14" a="1"/>
  <c r="Y68" i="14" a="1"/>
  <c r="Z68" i="14" s="1"/>
  <c r="Y71" i="14" a="1"/>
  <c r="AC71" i="14" s="1"/>
  <c r="Y60" i="14" a="1"/>
  <c r="AG60" i="14" s="1"/>
  <c r="Y47" i="14" a="1"/>
  <c r="Z47" i="14" s="1"/>
  <c r="Y45" i="14" a="1"/>
  <c r="AF45" i="14" s="1"/>
  <c r="Y44" i="14" a="1"/>
  <c r="AH44" i="14" s="1"/>
  <c r="Y32" i="14" a="1"/>
  <c r="AB32" i="14" s="1"/>
  <c r="Y92" i="14" a="1"/>
  <c r="Z92" i="14" s="1"/>
  <c r="H125" i="1"/>
  <c r="J125" i="1"/>
  <c r="B226" i="2" s="1"/>
  <c r="G125" i="1"/>
  <c r="F54" i="1"/>
  <c r="F100" i="1"/>
  <c r="Y74" i="14" a="1"/>
  <c r="AE74" i="14" s="1"/>
  <c r="Y85" i="14" a="1"/>
  <c r="AC85" i="14" s="1"/>
  <c r="Y87" i="14" a="1"/>
  <c r="AG87" i="14" s="1"/>
  <c r="Y88" i="14" a="1"/>
  <c r="AH88" i="14" s="1"/>
  <c r="Y82" i="14" a="1"/>
  <c r="AC82" i="14" s="1"/>
  <c r="C323" i="2"/>
  <c r="G184" i="1"/>
  <c r="AS324" i="2"/>
  <c r="Q174" i="2"/>
  <c r="AP174" i="2"/>
  <c r="AG253" i="2"/>
  <c r="G324" i="2"/>
  <c r="K324" i="2"/>
  <c r="O324" i="2"/>
  <c r="Q324" i="2"/>
  <c r="T324" i="2"/>
  <c r="AC324" i="2"/>
  <c r="AG324" i="2"/>
  <c r="AH324" i="2"/>
  <c r="AP324" i="2"/>
  <c r="AB324" i="2"/>
  <c r="J174" i="1"/>
  <c r="J184" i="1" s="1"/>
  <c r="B323" i="2" s="1"/>
  <c r="H184" i="1"/>
  <c r="J3" i="6"/>
  <c r="Y41" i="14" a="1"/>
  <c r="P90" i="2"/>
  <c r="AA253" i="2"/>
  <c r="AN253" i="2"/>
  <c r="E143" i="4"/>
  <c r="D158" i="4"/>
  <c r="E158" i="4" s="1"/>
  <c r="C3" i="10"/>
  <c r="Y150" i="14" a="1"/>
  <c r="Y84" i="14" a="1"/>
  <c r="AG84" i="14" s="1"/>
  <c r="K30" i="14"/>
  <c r="K84" i="14"/>
  <c r="K122" i="14"/>
  <c r="K146" i="14"/>
  <c r="K150" i="14"/>
  <c r="G141" i="1"/>
  <c r="J141" i="1"/>
  <c r="B252" i="2" s="1"/>
  <c r="G37" i="1"/>
  <c r="F185" i="1"/>
  <c r="R352" i="14"/>
  <c r="T352" i="14" s="1"/>
  <c r="E185" i="1"/>
  <c r="P324" i="2"/>
  <c r="H170" i="1"/>
  <c r="C301" i="2"/>
  <c r="AG90" i="2"/>
  <c r="C111" i="2"/>
  <c r="C173" i="2"/>
  <c r="R253" i="2"/>
  <c r="AD253" i="2"/>
  <c r="H324" i="2"/>
  <c r="E16" i="3" s="1"/>
  <c r="L324" i="2"/>
  <c r="R324" i="2"/>
  <c r="U324" i="2"/>
  <c r="Y324" i="2"/>
  <c r="AE324" i="2"/>
  <c r="AD324" i="2"/>
  <c r="AM324" i="2"/>
  <c r="AQ324" i="2"/>
  <c r="H253" i="2"/>
  <c r="E13" i="3" s="1"/>
  <c r="K174" i="2"/>
  <c r="AG174" i="2"/>
  <c r="P174" i="2"/>
  <c r="AF174" i="2"/>
  <c r="J156" i="1"/>
  <c r="J170" i="1" s="1"/>
  <c r="B301" i="2" s="1"/>
  <c r="I185" i="1"/>
  <c r="G170" i="1"/>
  <c r="J7" i="1"/>
  <c r="J19" i="1" s="1"/>
  <c r="H19" i="1"/>
  <c r="H53" i="1"/>
  <c r="J38" i="1"/>
  <c r="J53" i="1" s="1"/>
  <c r="B89" i="2" s="1"/>
  <c r="J58" i="1"/>
  <c r="J70" i="1" s="1"/>
  <c r="B111" i="2" s="1"/>
  <c r="J99" i="1"/>
  <c r="B173" i="2" s="1"/>
  <c r="H70" i="1"/>
  <c r="J37" i="1"/>
  <c r="B58" i="2" s="1"/>
  <c r="G53" i="1"/>
  <c r="H86" i="1"/>
  <c r="G19" i="1"/>
  <c r="G86" i="1"/>
  <c r="J86" i="1"/>
  <c r="G114" i="1"/>
  <c r="H37" i="1"/>
  <c r="H101" i="1"/>
  <c r="H99" i="1"/>
  <c r="G70" i="1"/>
  <c r="G99" i="1"/>
  <c r="H141" i="1"/>
  <c r="AG62" i="17" l="1"/>
  <c r="Z62" i="17"/>
  <c r="AH62" i="17"/>
  <c r="AD62" i="17"/>
  <c r="AA62" i="17"/>
  <c r="X62" i="17"/>
  <c r="AI62" i="17"/>
  <c r="AC62" i="17"/>
  <c r="AF62" i="17"/>
  <c r="AE62" i="17"/>
  <c r="AB62" i="17"/>
  <c r="H62" i="17" s="1"/>
  <c r="Y62" i="17"/>
  <c r="AI63" i="17"/>
  <c r="AE63" i="17"/>
  <c r="Y63" i="17"/>
  <c r="AB63" i="17"/>
  <c r="H63" i="17" s="1"/>
  <c r="X63" i="17"/>
  <c r="AG63" i="17"/>
  <c r="AF63" i="17"/>
  <c r="AC63" i="17"/>
  <c r="Z63" i="17"/>
  <c r="AH63" i="17"/>
  <c r="AD63" i="17"/>
  <c r="AA63" i="17"/>
  <c r="AD35" i="17"/>
  <c r="AI35" i="17"/>
  <c r="Y35" i="17"/>
  <c r="AH35" i="17"/>
  <c r="Z35" i="17"/>
  <c r="AB35" i="17"/>
  <c r="H35" i="17" s="1"/>
  <c r="AG35" i="17"/>
  <c r="AA35" i="17"/>
  <c r="AE35" i="17"/>
  <c r="X35" i="17"/>
  <c r="AC35" i="17"/>
  <c r="AF35" i="17"/>
  <c r="AE36" i="17"/>
  <c r="AD36" i="17"/>
  <c r="AF36" i="17"/>
  <c r="AC36" i="17"/>
  <c r="AG36" i="17"/>
  <c r="Z36" i="17"/>
  <c r="AI36" i="17"/>
  <c r="X36" i="17"/>
  <c r="AB36" i="17"/>
  <c r="H36" i="17" s="1"/>
  <c r="Y36" i="17"/>
  <c r="AH36" i="17"/>
  <c r="AA36" i="17"/>
  <c r="AE39" i="17"/>
  <c r="AA39" i="17"/>
  <c r="Z39" i="17"/>
  <c r="X39" i="17"/>
  <c r="AF39" i="17"/>
  <c r="AI39" i="17"/>
  <c r="AG39" i="17"/>
  <c r="Y39" i="17"/>
  <c r="AD39" i="17"/>
  <c r="AH39" i="17"/>
  <c r="AB39" i="17"/>
  <c r="H39" i="17" s="1"/>
  <c r="AC39" i="17"/>
  <c r="AE37" i="17"/>
  <c r="AF37" i="17"/>
  <c r="AA37" i="17"/>
  <c r="X37" i="17"/>
  <c r="AD37" i="17"/>
  <c r="AC37" i="17"/>
  <c r="Z37" i="17"/>
  <c r="AG37" i="17"/>
  <c r="AH37" i="17"/>
  <c r="AB37" i="17"/>
  <c r="H37" i="17" s="1"/>
  <c r="AI37" i="17"/>
  <c r="Y37" i="17"/>
  <c r="AI27" i="17"/>
  <c r="AE27" i="17"/>
  <c r="X27" i="17"/>
  <c r="AD27" i="17"/>
  <c r="AH27" i="17"/>
  <c r="Y27" i="17"/>
  <c r="AF27" i="17"/>
  <c r="AG27" i="17"/>
  <c r="Z27" i="17"/>
  <c r="AC27" i="17"/>
  <c r="AA27" i="17"/>
  <c r="AB27" i="17"/>
  <c r="H27" i="17" s="1"/>
  <c r="Z40" i="17"/>
  <c r="Y40" i="17"/>
  <c r="AI40" i="17"/>
  <c r="AA40" i="17"/>
  <c r="AE40" i="17"/>
  <c r="AF40" i="17"/>
  <c r="AC40" i="17"/>
  <c r="AD40" i="17"/>
  <c r="AG40" i="17"/>
  <c r="X40" i="17"/>
  <c r="AB40" i="17"/>
  <c r="H40" i="17" s="1"/>
  <c r="AH40" i="17"/>
  <c r="AD29" i="17"/>
  <c r="X29" i="17"/>
  <c r="AH29" i="17"/>
  <c r="AE29" i="17"/>
  <c r="Y29" i="17"/>
  <c r="AI29" i="17"/>
  <c r="AC29" i="17"/>
  <c r="AA29" i="17"/>
  <c r="AG29" i="17"/>
  <c r="Z29" i="17"/>
  <c r="AB29" i="17"/>
  <c r="H29" i="17" s="1"/>
  <c r="AF29" i="17"/>
  <c r="AI45" i="17"/>
  <c r="AE45" i="17"/>
  <c r="AF45" i="17"/>
  <c r="AG45" i="17"/>
  <c r="X45" i="17"/>
  <c r="AC45" i="17"/>
  <c r="Y45" i="17"/>
  <c r="AA45" i="17"/>
  <c r="AD45" i="17"/>
  <c r="Z45" i="17"/>
  <c r="AB45" i="17"/>
  <c r="H45" i="17" s="1"/>
  <c r="AH45" i="17"/>
  <c r="AE24" i="17"/>
  <c r="AA24" i="17"/>
  <c r="AD24" i="17"/>
  <c r="AF24" i="17"/>
  <c r="AH24" i="17"/>
  <c r="AB24" i="17"/>
  <c r="H24" i="17" s="1"/>
  <c r="AG24" i="17"/>
  <c r="Z24" i="17"/>
  <c r="X24" i="17"/>
  <c r="AI24" i="17"/>
  <c r="AC24" i="17"/>
  <c r="Y24" i="17"/>
  <c r="AG43" i="17"/>
  <c r="AD43" i="17"/>
  <c r="Y43" i="17"/>
  <c r="AI43" i="17"/>
  <c r="AC43" i="17"/>
  <c r="AH43" i="17"/>
  <c r="X43" i="17"/>
  <c r="AF43" i="17"/>
  <c r="AB43" i="17"/>
  <c r="H43" i="17" s="1"/>
  <c r="I43" i="17" s="1"/>
  <c r="AE43" i="17"/>
  <c r="Z43" i="17"/>
  <c r="AA43" i="17"/>
  <c r="AE38" i="17"/>
  <c r="AD38" i="17"/>
  <c r="X38" i="17"/>
  <c r="AC38" i="17"/>
  <c r="Z38" i="17"/>
  <c r="AB38" i="17"/>
  <c r="H38" i="17" s="1"/>
  <c r="AI38" i="17"/>
  <c r="Y38" i="17"/>
  <c r="AH38" i="17"/>
  <c r="AG38" i="17"/>
  <c r="AA38" i="17"/>
  <c r="AF38" i="17"/>
  <c r="AB28" i="17"/>
  <c r="H28" i="17" s="1"/>
  <c r="AI28" i="17"/>
  <c r="AG28" i="17"/>
  <c r="AC28" i="17"/>
  <c r="AD28" i="17"/>
  <c r="Z28" i="17"/>
  <c r="Y28" i="17"/>
  <c r="AA28" i="17"/>
  <c r="AF28" i="17"/>
  <c r="AE28" i="17"/>
  <c r="AH28" i="17"/>
  <c r="X28" i="17"/>
  <c r="AE25" i="17"/>
  <c r="Z25" i="17"/>
  <c r="AI25" i="17"/>
  <c r="AA25" i="17"/>
  <c r="AB25" i="17"/>
  <c r="H25" i="17" s="1"/>
  <c r="AF25" i="17"/>
  <c r="Y25" i="17"/>
  <c r="AD25" i="17"/>
  <c r="X25" i="17"/>
  <c r="AC25" i="17"/>
  <c r="AG25" i="17"/>
  <c r="AH25" i="17"/>
  <c r="AF41" i="17"/>
  <c r="Y41" i="17"/>
  <c r="X41" i="17"/>
  <c r="Z41" i="17"/>
  <c r="AG41" i="17"/>
  <c r="AD41" i="17"/>
  <c r="AI41" i="17"/>
  <c r="AH41" i="17"/>
  <c r="AB41" i="17"/>
  <c r="H41" i="17" s="1"/>
  <c r="AC41" i="17"/>
  <c r="AE41" i="17"/>
  <c r="AA41" i="17"/>
  <c r="Y42" i="17"/>
  <c r="AB42" i="17"/>
  <c r="H42" i="17" s="1"/>
  <c r="AE42" i="17"/>
  <c r="AG42" i="17"/>
  <c r="AD42" i="17"/>
  <c r="AH42" i="17"/>
  <c r="X42" i="17"/>
  <c r="Z42" i="17"/>
  <c r="AF42" i="17"/>
  <c r="AI42" i="17"/>
  <c r="AC42" i="17"/>
  <c r="AA42" i="17"/>
  <c r="AB34" i="17"/>
  <c r="H34" i="17" s="1"/>
  <c r="AC34" i="17"/>
  <c r="AF34" i="17"/>
  <c r="AA34" i="17"/>
  <c r="AI34" i="17"/>
  <c r="AD34" i="17"/>
  <c r="Y34" i="17"/>
  <c r="X34" i="17"/>
  <c r="AH34" i="17"/>
  <c r="AE34" i="17"/>
  <c r="AG34" i="17"/>
  <c r="Z34" i="17"/>
  <c r="AE30" i="17"/>
  <c r="Z30" i="17"/>
  <c r="AH30" i="17"/>
  <c r="Y30" i="17"/>
  <c r="AC30" i="17"/>
  <c r="AB30" i="17"/>
  <c r="H30" i="17" s="1"/>
  <c r="AD30" i="17"/>
  <c r="AF30" i="17"/>
  <c r="X30" i="17"/>
  <c r="AI30" i="17"/>
  <c r="AA30" i="17"/>
  <c r="AG30" i="17"/>
  <c r="AF44" i="17"/>
  <c r="AC44" i="17"/>
  <c r="X44" i="17"/>
  <c r="AA44" i="17"/>
  <c r="AE44" i="17"/>
  <c r="AG44" i="17"/>
  <c r="AH44" i="17"/>
  <c r="Z44" i="17"/>
  <c r="Y44" i="17"/>
  <c r="AI44" i="17"/>
  <c r="AD44" i="17"/>
  <c r="AB44" i="17"/>
  <c r="H44" i="17" s="1"/>
  <c r="AA26" i="17"/>
  <c r="Y26" i="17"/>
  <c r="AC26" i="17"/>
  <c r="AF26" i="17"/>
  <c r="X26" i="17"/>
  <c r="AB26" i="17"/>
  <c r="H26" i="17" s="1"/>
  <c r="AD26" i="17"/>
  <c r="AE26" i="17"/>
  <c r="Z26" i="17"/>
  <c r="AI26" i="17"/>
  <c r="AG26" i="17"/>
  <c r="AH26" i="17"/>
  <c r="AE33" i="17"/>
  <c r="AI33" i="17"/>
  <c r="X33" i="17"/>
  <c r="AD33" i="17"/>
  <c r="AA33" i="17"/>
  <c r="AG33" i="17"/>
  <c r="AB33" i="17"/>
  <c r="H33" i="17" s="1"/>
  <c r="AF33" i="17"/>
  <c r="AC33" i="17"/>
  <c r="Y33" i="17"/>
  <c r="AH33" i="17"/>
  <c r="Z33" i="17"/>
  <c r="AC31" i="17"/>
  <c r="AB31" i="17"/>
  <c r="H31" i="17" s="1"/>
  <c r="AD31" i="17"/>
  <c r="Z31" i="17"/>
  <c r="AA31" i="17"/>
  <c r="AE31" i="17"/>
  <c r="AI31" i="17"/>
  <c r="Y31" i="17"/>
  <c r="AH31" i="17"/>
  <c r="AF31" i="17"/>
  <c r="X31" i="17"/>
  <c r="AG31" i="17"/>
  <c r="AC32" i="17"/>
  <c r="Y32" i="17"/>
  <c r="AG32" i="17"/>
  <c r="AE32" i="17"/>
  <c r="AI32" i="17"/>
  <c r="AF32" i="17"/>
  <c r="AH32" i="17"/>
  <c r="AD32" i="17"/>
  <c r="AB32" i="17"/>
  <c r="H32" i="17" s="1"/>
  <c r="AA32" i="17"/>
  <c r="Z32" i="17"/>
  <c r="X32" i="17"/>
  <c r="AD56" i="17"/>
  <c r="AA56" i="17"/>
  <c r="AI56" i="17"/>
  <c r="Z56" i="17"/>
  <c r="Y56" i="17"/>
  <c r="X56" i="17"/>
  <c r="AG56" i="17"/>
  <c r="AF56" i="17"/>
  <c r="AH56" i="17"/>
  <c r="AE56" i="17"/>
  <c r="AC56" i="17"/>
  <c r="AB56" i="17"/>
  <c r="H56" i="17" s="1"/>
  <c r="AH59" i="17"/>
  <c r="Z59" i="17"/>
  <c r="AG59" i="17"/>
  <c r="Y59" i="17"/>
  <c r="AB59" i="17"/>
  <c r="H59" i="17" s="1"/>
  <c r="AA59" i="17"/>
  <c r="AD59" i="17"/>
  <c r="AC59" i="17"/>
  <c r="AF59" i="17"/>
  <c r="AE59" i="17"/>
  <c r="X59" i="17"/>
  <c r="AI59" i="17"/>
  <c r="AG112" i="17"/>
  <c r="Y112" i="17"/>
  <c r="AI112" i="17"/>
  <c r="Z112" i="17"/>
  <c r="AH112" i="17"/>
  <c r="X112" i="17"/>
  <c r="AE112" i="17"/>
  <c r="AD112" i="17"/>
  <c r="AF112" i="17"/>
  <c r="AC112" i="17"/>
  <c r="AB112" i="17"/>
  <c r="H112" i="17" s="1"/>
  <c r="AA112" i="17"/>
  <c r="AI66" i="17"/>
  <c r="AA66" i="17"/>
  <c r="AH66" i="17"/>
  <c r="Z66" i="17"/>
  <c r="AE66" i="17"/>
  <c r="AC66" i="17"/>
  <c r="AB66" i="17"/>
  <c r="H66" i="17" s="1"/>
  <c r="AG66" i="17"/>
  <c r="AD66" i="17"/>
  <c r="Y66" i="17"/>
  <c r="AF66" i="17"/>
  <c r="X66" i="17"/>
  <c r="AB115" i="17"/>
  <c r="H115" i="17" s="1"/>
  <c r="AF115" i="17"/>
  <c r="X115" i="17"/>
  <c r="AG115" i="17"/>
  <c r="AD115" i="17"/>
  <c r="AC115" i="17"/>
  <c r="AA115" i="17"/>
  <c r="Z115" i="17"/>
  <c r="AI115" i="17"/>
  <c r="Y115" i="17"/>
  <c r="AH115" i="17"/>
  <c r="AE115" i="17"/>
  <c r="AC81" i="17"/>
  <c r="AG81" i="17"/>
  <c r="Y81" i="17"/>
  <c r="AI81" i="17"/>
  <c r="X81" i="17"/>
  <c r="AH81" i="17"/>
  <c r="AD81" i="17"/>
  <c r="AE81" i="17"/>
  <c r="AB81" i="17"/>
  <c r="H81" i="17" s="1"/>
  <c r="AA81" i="17"/>
  <c r="AF81" i="17"/>
  <c r="Z81" i="17"/>
  <c r="AG91" i="17"/>
  <c r="Y91" i="17"/>
  <c r="AF91" i="17"/>
  <c r="X91" i="17"/>
  <c r="AC91" i="17"/>
  <c r="AI91" i="17"/>
  <c r="AH91" i="17"/>
  <c r="AD91" i="17"/>
  <c r="AB91" i="17"/>
  <c r="H91" i="17" s="1"/>
  <c r="I91" i="17" s="1"/>
  <c r="AA91" i="17"/>
  <c r="Z91" i="17"/>
  <c r="AE91" i="17"/>
  <c r="AI107" i="17"/>
  <c r="AA107" i="17"/>
  <c r="AH107" i="17"/>
  <c r="Z107" i="17"/>
  <c r="AF107" i="17"/>
  <c r="X107" i="17"/>
  <c r="AE107" i="17"/>
  <c r="AD107" i="17"/>
  <c r="AC107" i="17"/>
  <c r="AB107" i="17"/>
  <c r="H107" i="17" s="1"/>
  <c r="Y107" i="17"/>
  <c r="AG107" i="17"/>
  <c r="AE83" i="17"/>
  <c r="AI83" i="17"/>
  <c r="AA83" i="17"/>
  <c r="Y83" i="17"/>
  <c r="AH83" i="17"/>
  <c r="X83" i="17"/>
  <c r="AF83" i="17"/>
  <c r="AD83" i="17"/>
  <c r="AG83" i="17"/>
  <c r="AC83" i="17"/>
  <c r="AB83" i="17"/>
  <c r="H83" i="17" s="1"/>
  <c r="Z83" i="17"/>
  <c r="AB123" i="17"/>
  <c r="H123" i="17" s="1"/>
  <c r="AG123" i="17"/>
  <c r="Y123" i="17"/>
  <c r="AF123" i="17"/>
  <c r="AE123" i="17"/>
  <c r="AA123" i="17"/>
  <c r="AI123" i="17"/>
  <c r="AH123" i="17"/>
  <c r="AD123" i="17"/>
  <c r="AC123" i="17"/>
  <c r="Z123" i="17"/>
  <c r="X123" i="17"/>
  <c r="AC132" i="17"/>
  <c r="AB132" i="17"/>
  <c r="H132" i="17" s="1"/>
  <c r="AH132" i="17"/>
  <c r="Z132" i="17"/>
  <c r="AE132" i="17"/>
  <c r="AG132" i="17"/>
  <c r="AF132" i="17"/>
  <c r="Y132" i="17"/>
  <c r="AA132" i="17"/>
  <c r="X132" i="17"/>
  <c r="AI132" i="17"/>
  <c r="AD132" i="17"/>
  <c r="AD136" i="17"/>
  <c r="AG136" i="17"/>
  <c r="Y136" i="17"/>
  <c r="AH136" i="17"/>
  <c r="AF136" i="17"/>
  <c r="AC136" i="17"/>
  <c r="Z136" i="17"/>
  <c r="AE136" i="17"/>
  <c r="AB136" i="17"/>
  <c r="H136" i="17" s="1"/>
  <c r="AI136" i="17"/>
  <c r="AA136" i="17"/>
  <c r="X136" i="17"/>
  <c r="AH50" i="17"/>
  <c r="Z50" i="17"/>
  <c r="AG50" i="17"/>
  <c r="X50" i="17"/>
  <c r="AD50" i="17"/>
  <c r="AC50" i="17"/>
  <c r="AF50" i="17"/>
  <c r="AE50" i="17"/>
  <c r="AB50" i="17"/>
  <c r="H50" i="17" s="1"/>
  <c r="AA50" i="17"/>
  <c r="Y50" i="17"/>
  <c r="AI50" i="17"/>
  <c r="AF48" i="17"/>
  <c r="X48" i="17"/>
  <c r="AE48" i="17"/>
  <c r="AB48" i="17"/>
  <c r="H48" i="17" s="1"/>
  <c r="AA48" i="17"/>
  <c r="AI48" i="17"/>
  <c r="AH48" i="17"/>
  <c r="AG48" i="17"/>
  <c r="AD48" i="17"/>
  <c r="AC48" i="17"/>
  <c r="Z48" i="17"/>
  <c r="Y48" i="17"/>
  <c r="AD75" i="17"/>
  <c r="AC75" i="17"/>
  <c r="AH75" i="17"/>
  <c r="Z75" i="17"/>
  <c r="Y75" i="17"/>
  <c r="X75" i="17"/>
  <c r="AI75" i="17"/>
  <c r="AB75" i="17"/>
  <c r="H75" i="17" s="1"/>
  <c r="AG75" i="17"/>
  <c r="AF75" i="17"/>
  <c r="AE75" i="17"/>
  <c r="AA75" i="17"/>
  <c r="AI72" i="17"/>
  <c r="AA72" i="17"/>
  <c r="AH72" i="17"/>
  <c r="Z72" i="17"/>
  <c r="AE72" i="17"/>
  <c r="AF72" i="17"/>
  <c r="AD72" i="17"/>
  <c r="AB72" i="17"/>
  <c r="H72" i="17" s="1"/>
  <c r="X72" i="17"/>
  <c r="AG72" i="17"/>
  <c r="AC72" i="17"/>
  <c r="Y72" i="17"/>
  <c r="AH92" i="17"/>
  <c r="Z92" i="17"/>
  <c r="AG92" i="17"/>
  <c r="Y92" i="17"/>
  <c r="AD92" i="17"/>
  <c r="AC92" i="17"/>
  <c r="AB92" i="17"/>
  <c r="H92" i="17" s="1"/>
  <c r="AA92" i="17"/>
  <c r="AI92" i="17"/>
  <c r="X92" i="17"/>
  <c r="AE92" i="17"/>
  <c r="AF92" i="17"/>
  <c r="AD82" i="17"/>
  <c r="AH82" i="17"/>
  <c r="Z82" i="17"/>
  <c r="AI82" i="17"/>
  <c r="X82" i="17"/>
  <c r="AG82" i="17"/>
  <c r="AC82" i="17"/>
  <c r="AF82" i="17"/>
  <c r="AE82" i="17"/>
  <c r="AB82" i="17"/>
  <c r="H82" i="17" s="1"/>
  <c r="AA82" i="17"/>
  <c r="Y82" i="17"/>
  <c r="AC116" i="17"/>
  <c r="AG116" i="17"/>
  <c r="Y116" i="17"/>
  <c r="AF116" i="17"/>
  <c r="AE116" i="17"/>
  <c r="AD116" i="17"/>
  <c r="AB116" i="17"/>
  <c r="H116" i="17" s="1"/>
  <c r="AA116" i="17"/>
  <c r="Z116" i="17"/>
  <c r="AI116" i="17"/>
  <c r="X116" i="17"/>
  <c r="AH116" i="17"/>
  <c r="AG120" i="17"/>
  <c r="Y120" i="17"/>
  <c r="AF120" i="17"/>
  <c r="X120" i="17"/>
  <c r="AC120" i="17"/>
  <c r="AE120" i="17"/>
  <c r="AD120" i="17"/>
  <c r="AB120" i="17"/>
  <c r="H120" i="17" s="1"/>
  <c r="AA120" i="17"/>
  <c r="Z120" i="17"/>
  <c r="AI120" i="17"/>
  <c r="AH120" i="17"/>
  <c r="AE89" i="17"/>
  <c r="AD89" i="17"/>
  <c r="AI89" i="17"/>
  <c r="AA89" i="17"/>
  <c r="X89" i="17"/>
  <c r="AH89" i="17"/>
  <c r="AG89" i="17"/>
  <c r="AC89" i="17"/>
  <c r="AB89" i="17"/>
  <c r="H89" i="17" s="1"/>
  <c r="AF89" i="17"/>
  <c r="Z89" i="17"/>
  <c r="Y89" i="17"/>
  <c r="AI114" i="17"/>
  <c r="AA114" i="17"/>
  <c r="AE114" i="17"/>
  <c r="AF114" i="17"/>
  <c r="AC114" i="17"/>
  <c r="AB114" i="17"/>
  <c r="H114" i="17" s="1"/>
  <c r="Z114" i="17"/>
  <c r="Y114" i="17"/>
  <c r="AH114" i="17"/>
  <c r="X114" i="17"/>
  <c r="AG114" i="17"/>
  <c r="AD114" i="17"/>
  <c r="AD143" i="17"/>
  <c r="AC143" i="17"/>
  <c r="AB143" i="17"/>
  <c r="H143" i="17" s="1"/>
  <c r="AF143" i="17"/>
  <c r="X143" i="17"/>
  <c r="AH143" i="17"/>
  <c r="AG143" i="17"/>
  <c r="AE143" i="17"/>
  <c r="AA143" i="17"/>
  <c r="AI143" i="17"/>
  <c r="Z143" i="17"/>
  <c r="Y143" i="17"/>
  <c r="AE134" i="17"/>
  <c r="AG134" i="17"/>
  <c r="X134" i="17"/>
  <c r="AF134" i="17"/>
  <c r="AC134" i="17"/>
  <c r="AI134" i="17"/>
  <c r="Z134" i="17"/>
  <c r="AH134" i="17"/>
  <c r="AA134" i="17"/>
  <c r="AD134" i="17"/>
  <c r="AB134" i="17"/>
  <c r="H134" i="17" s="1"/>
  <c r="Y134" i="17"/>
  <c r="AI60" i="17"/>
  <c r="AA60" i="17"/>
  <c r="AH60" i="17"/>
  <c r="Z60" i="17"/>
  <c r="AC60" i="17"/>
  <c r="AB60" i="17"/>
  <c r="H60" i="17" s="1"/>
  <c r="Y60" i="17"/>
  <c r="X60" i="17"/>
  <c r="AG60" i="17"/>
  <c r="AF60" i="17"/>
  <c r="AE60" i="17"/>
  <c r="AD60" i="17"/>
  <c r="AH77" i="17"/>
  <c r="Z77" i="17"/>
  <c r="AG77" i="17"/>
  <c r="Y77" i="17"/>
  <c r="AD77" i="17"/>
  <c r="AC77" i="17"/>
  <c r="AB77" i="17"/>
  <c r="H77" i="17" s="1"/>
  <c r="AA77" i="17"/>
  <c r="AF77" i="17"/>
  <c r="AE77" i="17"/>
  <c r="X77" i="17"/>
  <c r="AI77" i="17"/>
  <c r="AG85" i="17"/>
  <c r="Y85" i="17"/>
  <c r="AF85" i="17"/>
  <c r="X85" i="17"/>
  <c r="AC85" i="17"/>
  <c r="AI85" i="17"/>
  <c r="AH85" i="17"/>
  <c r="AE85" i="17"/>
  <c r="AB85" i="17"/>
  <c r="H85" i="17" s="1"/>
  <c r="I85" i="17" s="1"/>
  <c r="AA85" i="17"/>
  <c r="AD85" i="17"/>
  <c r="Z85" i="17"/>
  <c r="AI78" i="17"/>
  <c r="AA78" i="17"/>
  <c r="AH78" i="17"/>
  <c r="Z78" i="17"/>
  <c r="AE78" i="17"/>
  <c r="X78" i="17"/>
  <c r="AG78" i="17"/>
  <c r="AB78" i="17"/>
  <c r="H78" i="17" s="1"/>
  <c r="AC78" i="17"/>
  <c r="AF78" i="17"/>
  <c r="Y78" i="17"/>
  <c r="AD78" i="17"/>
  <c r="AC101" i="17"/>
  <c r="AB101" i="17"/>
  <c r="H101" i="17" s="1"/>
  <c r="AG101" i="17"/>
  <c r="Y101" i="17"/>
  <c r="AD101" i="17"/>
  <c r="AA101" i="17"/>
  <c r="Z101" i="17"/>
  <c r="X101" i="17"/>
  <c r="AI101" i="17"/>
  <c r="AH101" i="17"/>
  <c r="AF101" i="17"/>
  <c r="AE101" i="17"/>
  <c r="AE64" i="17"/>
  <c r="AD64" i="17"/>
  <c r="AC64" i="17"/>
  <c r="AB64" i="17"/>
  <c r="H64" i="17" s="1"/>
  <c r="AG64" i="17"/>
  <c r="AA64" i="17"/>
  <c r="Z64" i="17"/>
  <c r="X64" i="17"/>
  <c r="AI64" i="17"/>
  <c r="AH64" i="17"/>
  <c r="AF64" i="17"/>
  <c r="Y64" i="17"/>
  <c r="AB100" i="17"/>
  <c r="H100" i="17" s="1"/>
  <c r="AI100" i="17"/>
  <c r="AA100" i="17"/>
  <c r="AF100" i="17"/>
  <c r="X100" i="17"/>
  <c r="AH100" i="17"/>
  <c r="AG100" i="17"/>
  <c r="AE100" i="17"/>
  <c r="AD100" i="17"/>
  <c r="AC100" i="17"/>
  <c r="Z100" i="17"/>
  <c r="Y100" i="17"/>
  <c r="AI130" i="17"/>
  <c r="AA130" i="17"/>
  <c r="AH130" i="17"/>
  <c r="Z130" i="17"/>
  <c r="AF130" i="17"/>
  <c r="X130" i="17"/>
  <c r="AC130" i="17"/>
  <c r="AG130" i="17"/>
  <c r="AE130" i="17"/>
  <c r="Y130" i="17"/>
  <c r="AD130" i="17"/>
  <c r="AB130" i="17"/>
  <c r="H130" i="17" s="1"/>
  <c r="AE97" i="17"/>
  <c r="AD97" i="17"/>
  <c r="AI97" i="17"/>
  <c r="AA97" i="17"/>
  <c r="Y97" i="17"/>
  <c r="X97" i="17"/>
  <c r="AH97" i="17"/>
  <c r="AG97" i="17"/>
  <c r="AF97" i="17"/>
  <c r="AC97" i="17"/>
  <c r="AB97" i="17"/>
  <c r="H97" i="17" s="1"/>
  <c r="Z97" i="17"/>
  <c r="AD125" i="17"/>
  <c r="AI125" i="17"/>
  <c r="AA125" i="17"/>
  <c r="AF125" i="17"/>
  <c r="X125" i="17"/>
  <c r="AC125" i="17"/>
  <c r="AB125" i="17"/>
  <c r="H125" i="17" s="1"/>
  <c r="AG125" i="17"/>
  <c r="AE125" i="17"/>
  <c r="Z125" i="17"/>
  <c r="Y125" i="17"/>
  <c r="AH125" i="17"/>
  <c r="AH129" i="17"/>
  <c r="Z129" i="17"/>
  <c r="AG129" i="17"/>
  <c r="Y129" i="17"/>
  <c r="AE129" i="17"/>
  <c r="AB129" i="17"/>
  <c r="H129" i="17" s="1"/>
  <c r="AI129" i="17"/>
  <c r="AF129" i="17"/>
  <c r="AA129" i="17"/>
  <c r="AD129" i="17"/>
  <c r="AC129" i="17"/>
  <c r="X129" i="17"/>
  <c r="AC142" i="17"/>
  <c r="AB142" i="17"/>
  <c r="H142" i="17" s="1"/>
  <c r="AI142" i="17"/>
  <c r="AA142" i="17"/>
  <c r="AE142" i="17"/>
  <c r="AH142" i="17"/>
  <c r="AG142" i="17"/>
  <c r="AF142" i="17"/>
  <c r="AD142" i="17"/>
  <c r="X142" i="17"/>
  <c r="Y142" i="17"/>
  <c r="Z142" i="17"/>
  <c r="AF80" i="17"/>
  <c r="X80" i="17"/>
  <c r="AI80" i="17"/>
  <c r="Z80" i="17"/>
  <c r="AH80" i="17"/>
  <c r="Y80" i="17"/>
  <c r="AD80" i="17"/>
  <c r="AC80" i="17"/>
  <c r="AB80" i="17"/>
  <c r="H80" i="17" s="1"/>
  <c r="AA80" i="17"/>
  <c r="AG80" i="17"/>
  <c r="AE80" i="17"/>
  <c r="AD46" i="17"/>
  <c r="AC46" i="17"/>
  <c r="AI46" i="17"/>
  <c r="Z46" i="17"/>
  <c r="AH46" i="17"/>
  <c r="Y46" i="17"/>
  <c r="AE46" i="17"/>
  <c r="AB46" i="17"/>
  <c r="H46" i="17" s="1"/>
  <c r="AA46" i="17"/>
  <c r="X46" i="17"/>
  <c r="AG46" i="17"/>
  <c r="AF46" i="17"/>
  <c r="AG49" i="17"/>
  <c r="Y49" i="17"/>
  <c r="AB49" i="17"/>
  <c r="H49" i="17" s="1"/>
  <c r="AH49" i="17"/>
  <c r="X49" i="17"/>
  <c r="AF49" i="17"/>
  <c r="AI49" i="17"/>
  <c r="AE49" i="17"/>
  <c r="AD49" i="17"/>
  <c r="AC49" i="17"/>
  <c r="AA49" i="17"/>
  <c r="Z49" i="17"/>
  <c r="AB61" i="17"/>
  <c r="H61" i="17" s="1"/>
  <c r="AI61" i="17"/>
  <c r="AA61" i="17"/>
  <c r="AD61" i="17"/>
  <c r="AC61" i="17"/>
  <c r="X61" i="17"/>
  <c r="AG61" i="17"/>
  <c r="AF61" i="17"/>
  <c r="AH61" i="17"/>
  <c r="AE61" i="17"/>
  <c r="Z61" i="17"/>
  <c r="Y61" i="17"/>
  <c r="AE47" i="17"/>
  <c r="AI47" i="17"/>
  <c r="Z47" i="17"/>
  <c r="AF47" i="17"/>
  <c r="AD47" i="17"/>
  <c r="AA47" i="17"/>
  <c r="Y47" i="17"/>
  <c r="X47" i="17"/>
  <c r="AH47" i="17"/>
  <c r="AG47" i="17"/>
  <c r="AC47" i="17"/>
  <c r="AB47" i="17"/>
  <c r="H47" i="17" s="1"/>
  <c r="AD88" i="17"/>
  <c r="AC88" i="17"/>
  <c r="AH88" i="17"/>
  <c r="Z88" i="17"/>
  <c r="AE88" i="17"/>
  <c r="AB88" i="17"/>
  <c r="H88" i="17" s="1"/>
  <c r="AA88" i="17"/>
  <c r="X88" i="17"/>
  <c r="AI88" i="17"/>
  <c r="AG88" i="17"/>
  <c r="AF88" i="17"/>
  <c r="Y88" i="17"/>
  <c r="AC108" i="17"/>
  <c r="AB108" i="17"/>
  <c r="H108" i="17" s="1"/>
  <c r="AH108" i="17"/>
  <c r="Z108" i="17"/>
  <c r="AG108" i="17"/>
  <c r="Y108" i="17"/>
  <c r="AE108" i="17"/>
  <c r="AD108" i="17"/>
  <c r="AA108" i="17"/>
  <c r="X108" i="17"/>
  <c r="AI108" i="17"/>
  <c r="AF108" i="17"/>
  <c r="AE69" i="17"/>
  <c r="AD69" i="17"/>
  <c r="AI69" i="17"/>
  <c r="AA69" i="17"/>
  <c r="X69" i="17"/>
  <c r="AH69" i="17"/>
  <c r="AF69" i="17"/>
  <c r="AC69" i="17"/>
  <c r="Z69" i="17"/>
  <c r="Y69" i="17"/>
  <c r="AB69" i="17"/>
  <c r="H69" i="17" s="1"/>
  <c r="AG69" i="17"/>
  <c r="AH113" i="17"/>
  <c r="Z113" i="17"/>
  <c r="AE113" i="17"/>
  <c r="AD113" i="17"/>
  <c r="AB113" i="17"/>
  <c r="H113" i="17" s="1"/>
  <c r="AA113" i="17"/>
  <c r="AI113" i="17"/>
  <c r="AG113" i="17"/>
  <c r="AF113" i="17"/>
  <c r="AC113" i="17"/>
  <c r="Y113" i="17"/>
  <c r="X113" i="17"/>
  <c r="AB131" i="17"/>
  <c r="H131" i="17" s="1"/>
  <c r="AI131" i="17"/>
  <c r="AA131" i="17"/>
  <c r="AG131" i="17"/>
  <c r="Y131" i="17"/>
  <c r="AD131" i="17"/>
  <c r="AH131" i="17"/>
  <c r="AF131" i="17"/>
  <c r="Z131" i="17"/>
  <c r="AE131" i="17"/>
  <c r="AC131" i="17"/>
  <c r="X131" i="17"/>
  <c r="AE103" i="17"/>
  <c r="AD103" i="17"/>
  <c r="AI103" i="17"/>
  <c r="AA103" i="17"/>
  <c r="Z103" i="17"/>
  <c r="Y103" i="17"/>
  <c r="X103" i="17"/>
  <c r="AH103" i="17"/>
  <c r="AG103" i="17"/>
  <c r="AF103" i="17"/>
  <c r="AC103" i="17"/>
  <c r="AB103" i="17"/>
  <c r="H103" i="17" s="1"/>
  <c r="AI140" i="17"/>
  <c r="AA140" i="17"/>
  <c r="AH140" i="17"/>
  <c r="Z140" i="17"/>
  <c r="AC140" i="17"/>
  <c r="AD140" i="17"/>
  <c r="AB140" i="17"/>
  <c r="H140" i="17" s="1"/>
  <c r="Y140" i="17"/>
  <c r="X140" i="17"/>
  <c r="AF140" i="17"/>
  <c r="AG140" i="17"/>
  <c r="AE140" i="17"/>
  <c r="AG139" i="17"/>
  <c r="Y139" i="17"/>
  <c r="AB139" i="17"/>
  <c r="H139" i="17" s="1"/>
  <c r="Z139" i="17"/>
  <c r="AI139" i="17"/>
  <c r="X139" i="17"/>
  <c r="AH139" i="17"/>
  <c r="AF139" i="17"/>
  <c r="AC139" i="17"/>
  <c r="AD139" i="17"/>
  <c r="AE139" i="17"/>
  <c r="AA139" i="17"/>
  <c r="AH147" i="17"/>
  <c r="Z147" i="17"/>
  <c r="AG147" i="17"/>
  <c r="Y147" i="17"/>
  <c r="AF147" i="17"/>
  <c r="X147" i="17"/>
  <c r="AE147" i="17"/>
  <c r="AB147" i="17"/>
  <c r="H147" i="17" s="1"/>
  <c r="AI147" i="17"/>
  <c r="AA147" i="17"/>
  <c r="AD147" i="17"/>
  <c r="AC147" i="17"/>
  <c r="AD54" i="17"/>
  <c r="AA54" i="17"/>
  <c r="AG54" i="17"/>
  <c r="X54" i="17"/>
  <c r="AF54" i="17"/>
  <c r="AH54" i="17"/>
  <c r="AE54" i="17"/>
  <c r="AC54" i="17"/>
  <c r="AB54" i="17"/>
  <c r="H54" i="17" s="1"/>
  <c r="Z54" i="17"/>
  <c r="Y54" i="17"/>
  <c r="AI54" i="17"/>
  <c r="AG65" i="17"/>
  <c r="Y65" i="17"/>
  <c r="AF65" i="17"/>
  <c r="X65" i="17"/>
  <c r="AC65" i="17"/>
  <c r="AH65" i="17"/>
  <c r="AE65" i="17"/>
  <c r="AB65" i="17"/>
  <c r="H65" i="17" s="1"/>
  <c r="Z65" i="17"/>
  <c r="AI65" i="17"/>
  <c r="AD65" i="17"/>
  <c r="AA65" i="17"/>
  <c r="AE55" i="17"/>
  <c r="AG55" i="17"/>
  <c r="X55" i="17"/>
  <c r="AC55" i="17"/>
  <c r="AB55" i="17"/>
  <c r="H55" i="17" s="1"/>
  <c r="AF55" i="17"/>
  <c r="AD55" i="17"/>
  <c r="AA55" i="17"/>
  <c r="Z55" i="17"/>
  <c r="Y55" i="17"/>
  <c r="AI55" i="17"/>
  <c r="AH55" i="17"/>
  <c r="AB94" i="17"/>
  <c r="H94" i="17" s="1"/>
  <c r="AI94" i="17"/>
  <c r="AA94" i="17"/>
  <c r="AF94" i="17"/>
  <c r="X94" i="17"/>
  <c r="AE94" i="17"/>
  <c r="AD94" i="17"/>
  <c r="AC94" i="17"/>
  <c r="Y94" i="17"/>
  <c r="AH94" i="17"/>
  <c r="Z94" i="17"/>
  <c r="AG94" i="17"/>
  <c r="AI122" i="17"/>
  <c r="AA122" i="17"/>
  <c r="AF122" i="17"/>
  <c r="X122" i="17"/>
  <c r="AE122" i="17"/>
  <c r="AD122" i="17"/>
  <c r="Z122" i="17"/>
  <c r="AH122" i="17"/>
  <c r="AG122" i="17"/>
  <c r="AC122" i="17"/>
  <c r="AB122" i="17"/>
  <c r="H122" i="17" s="1"/>
  <c r="Y122" i="17"/>
  <c r="AC87" i="17"/>
  <c r="AB87" i="17"/>
  <c r="H87" i="17" s="1"/>
  <c r="AG87" i="17"/>
  <c r="Y87" i="17"/>
  <c r="X87" i="17"/>
  <c r="AI87" i="17"/>
  <c r="AH87" i="17"/>
  <c r="AE87" i="17"/>
  <c r="AD87" i="17"/>
  <c r="AF87" i="17"/>
  <c r="AA87" i="17"/>
  <c r="Z87" i="17"/>
  <c r="AE79" i="17"/>
  <c r="AC79" i="17"/>
  <c r="AB79" i="17"/>
  <c r="H79" i="17" s="1"/>
  <c r="AH79" i="17"/>
  <c r="Y79" i="17"/>
  <c r="AG79" i="17"/>
  <c r="AF79" i="17"/>
  <c r="AD79" i="17"/>
  <c r="AI79" i="17"/>
  <c r="AA79" i="17"/>
  <c r="Z79" i="17"/>
  <c r="X79" i="17"/>
  <c r="AF84" i="17"/>
  <c r="X84" i="17"/>
  <c r="AE84" i="17"/>
  <c r="AB84" i="17"/>
  <c r="H84" i="17" s="1"/>
  <c r="AC84" i="17"/>
  <c r="AA84" i="17"/>
  <c r="Z84" i="17"/>
  <c r="AI84" i="17"/>
  <c r="AH84" i="17"/>
  <c r="AG84" i="17"/>
  <c r="AD84" i="17"/>
  <c r="Y84" i="17"/>
  <c r="AE109" i="17"/>
  <c r="AD109" i="17"/>
  <c r="AB109" i="17"/>
  <c r="H109" i="17" s="1"/>
  <c r="AI109" i="17"/>
  <c r="AA109" i="17"/>
  <c r="AG109" i="17"/>
  <c r="AF109" i="17"/>
  <c r="AC109" i="17"/>
  <c r="Z109" i="17"/>
  <c r="Y109" i="17"/>
  <c r="X109" i="17"/>
  <c r="AH109" i="17"/>
  <c r="AF119" i="17"/>
  <c r="X119" i="17"/>
  <c r="AE119" i="17"/>
  <c r="AB119" i="17"/>
  <c r="H119" i="17" s="1"/>
  <c r="Z119" i="17"/>
  <c r="Y119" i="17"/>
  <c r="AI119" i="17"/>
  <c r="AH119" i="17"/>
  <c r="AG119" i="17"/>
  <c r="AD119" i="17"/>
  <c r="AC119" i="17"/>
  <c r="AA119" i="17"/>
  <c r="AF127" i="17"/>
  <c r="X127" i="17"/>
  <c r="AE127" i="17"/>
  <c r="AC127" i="17"/>
  <c r="AH127" i="17"/>
  <c r="Z127" i="17"/>
  <c r="AG127" i="17"/>
  <c r="AD127" i="17"/>
  <c r="Y127" i="17"/>
  <c r="AI127" i="17"/>
  <c r="AB127" i="17"/>
  <c r="H127" i="17" s="1"/>
  <c r="AA127" i="17"/>
  <c r="AG146" i="17"/>
  <c r="Y146" i="17"/>
  <c r="AF146" i="17"/>
  <c r="X146" i="17"/>
  <c r="AE146" i="17"/>
  <c r="AI146" i="17"/>
  <c r="AA146" i="17"/>
  <c r="AH146" i="17"/>
  <c r="AD146" i="17"/>
  <c r="AC146" i="17"/>
  <c r="AB146" i="17"/>
  <c r="H146" i="17" s="1"/>
  <c r="Z146" i="17"/>
  <c r="AG58" i="17"/>
  <c r="Y58" i="17"/>
  <c r="AF58" i="17"/>
  <c r="X58" i="17"/>
  <c r="AA58" i="17"/>
  <c r="Z58" i="17"/>
  <c r="AE58" i="17"/>
  <c r="AD58" i="17"/>
  <c r="AB58" i="17"/>
  <c r="H58" i="17" s="1"/>
  <c r="I58" i="17" s="1"/>
  <c r="AI58" i="17"/>
  <c r="AH58" i="17"/>
  <c r="AC58" i="17"/>
  <c r="AB73" i="17"/>
  <c r="H73" i="17" s="1"/>
  <c r="AI73" i="17"/>
  <c r="AA73" i="17"/>
  <c r="AF73" i="17"/>
  <c r="X73" i="17"/>
  <c r="Z73" i="17"/>
  <c r="Y73" i="17"/>
  <c r="AE73" i="17"/>
  <c r="AC73" i="17"/>
  <c r="AH73" i="17"/>
  <c r="AG73" i="17"/>
  <c r="AD73" i="17"/>
  <c r="AH71" i="17"/>
  <c r="Z71" i="17"/>
  <c r="AG71" i="17"/>
  <c r="Y71" i="17"/>
  <c r="AD71" i="17"/>
  <c r="X71" i="17"/>
  <c r="AA71" i="17"/>
  <c r="AI71" i="17"/>
  <c r="AE71" i="17"/>
  <c r="AC71" i="17"/>
  <c r="AF71" i="17"/>
  <c r="AB71" i="17"/>
  <c r="H71" i="17" s="1"/>
  <c r="AD96" i="17"/>
  <c r="AC96" i="17"/>
  <c r="AH96" i="17"/>
  <c r="Z96" i="17"/>
  <c r="AE96" i="17"/>
  <c r="AB96" i="17"/>
  <c r="H96" i="17" s="1"/>
  <c r="AA96" i="17"/>
  <c r="Y96" i="17"/>
  <c r="X96" i="17"/>
  <c r="AI96" i="17"/>
  <c r="AG96" i="17"/>
  <c r="AF96" i="17"/>
  <c r="AF57" i="17"/>
  <c r="X57" i="17"/>
  <c r="AE57" i="17"/>
  <c r="Z57" i="17"/>
  <c r="AI57" i="17"/>
  <c r="Y57" i="17"/>
  <c r="AH57" i="17"/>
  <c r="AG57" i="17"/>
  <c r="AC57" i="17"/>
  <c r="AB57" i="17"/>
  <c r="H57" i="17" s="1"/>
  <c r="AD57" i="17"/>
  <c r="AA57" i="17"/>
  <c r="AC95" i="17"/>
  <c r="AB95" i="17"/>
  <c r="H95" i="17" s="1"/>
  <c r="AG95" i="17"/>
  <c r="Y95" i="17"/>
  <c r="X95" i="17"/>
  <c r="AI95" i="17"/>
  <c r="AH95" i="17"/>
  <c r="AF95" i="17"/>
  <c r="AE95" i="17"/>
  <c r="AD95" i="17"/>
  <c r="Z95" i="17"/>
  <c r="AA95" i="17"/>
  <c r="AI86" i="17"/>
  <c r="AA86" i="17"/>
  <c r="AH86" i="17"/>
  <c r="Z86" i="17"/>
  <c r="AE86" i="17"/>
  <c r="AD86" i="17"/>
  <c r="AC86" i="17"/>
  <c r="AB86" i="17"/>
  <c r="H86" i="17" s="1"/>
  <c r="X86" i="17"/>
  <c r="AG86" i="17"/>
  <c r="AF86" i="17"/>
  <c r="Y86" i="17"/>
  <c r="AF90" i="17"/>
  <c r="X90" i="17"/>
  <c r="AE90" i="17"/>
  <c r="AB90" i="17"/>
  <c r="H90" i="17" s="1"/>
  <c r="AD90" i="17"/>
  <c r="AC90" i="17"/>
  <c r="AA90" i="17"/>
  <c r="Y90" i="17"/>
  <c r="AI90" i="17"/>
  <c r="AH90" i="17"/>
  <c r="AG90" i="17"/>
  <c r="Z90" i="17"/>
  <c r="AH121" i="17"/>
  <c r="Z121" i="17"/>
  <c r="AG121" i="17"/>
  <c r="Y121" i="17"/>
  <c r="AD121" i="17"/>
  <c r="AA121" i="17"/>
  <c r="X121" i="17"/>
  <c r="AI121" i="17"/>
  <c r="AF121" i="17"/>
  <c r="AE121" i="17"/>
  <c r="AC121" i="17"/>
  <c r="AB121" i="17"/>
  <c r="H121" i="17" s="1"/>
  <c r="AE118" i="17"/>
  <c r="AI118" i="17"/>
  <c r="AA118" i="17"/>
  <c r="AH118" i="17"/>
  <c r="X118" i="17"/>
  <c r="AG118" i="17"/>
  <c r="AF118" i="17"/>
  <c r="AD118" i="17"/>
  <c r="AC118" i="17"/>
  <c r="AB118" i="17"/>
  <c r="H118" i="17" s="1"/>
  <c r="Z118" i="17"/>
  <c r="Y118" i="17"/>
  <c r="AF138" i="17"/>
  <c r="X138" i="17"/>
  <c r="AI138" i="17"/>
  <c r="AA138" i="17"/>
  <c r="Y138" i="17"/>
  <c r="AH138" i="17"/>
  <c r="AG138" i="17"/>
  <c r="AE138" i="17"/>
  <c r="AB138" i="17"/>
  <c r="H138" i="17" s="1"/>
  <c r="AD138" i="17"/>
  <c r="AC138" i="17"/>
  <c r="Z138" i="17"/>
  <c r="AE137" i="17"/>
  <c r="AH137" i="17"/>
  <c r="Z137" i="17"/>
  <c r="AI137" i="17"/>
  <c r="X137" i="17"/>
  <c r="AG137" i="17"/>
  <c r="AF137" i="17"/>
  <c r="AD137" i="17"/>
  <c r="AA137" i="17"/>
  <c r="Y137" i="17"/>
  <c r="AC137" i="17"/>
  <c r="AB137" i="17"/>
  <c r="H137" i="17" s="1"/>
  <c r="AD23" i="17"/>
  <c r="AH23" i="17"/>
  <c r="Y23" i="17"/>
  <c r="AI23" i="17"/>
  <c r="Z23" i="17"/>
  <c r="AG23" i="17"/>
  <c r="X23" i="17"/>
  <c r="AF23" i="17"/>
  <c r="AA23" i="17"/>
  <c r="AE23" i="17"/>
  <c r="AC23" i="17"/>
  <c r="AB23" i="17"/>
  <c r="H23" i="17" s="1"/>
  <c r="AC68" i="17"/>
  <c r="AB68" i="17"/>
  <c r="H68" i="17" s="1"/>
  <c r="AG68" i="17"/>
  <c r="Y68" i="17"/>
  <c r="AD68" i="17"/>
  <c r="AA68" i="17"/>
  <c r="AI68" i="17"/>
  <c r="AF68" i="17"/>
  <c r="AE68" i="17"/>
  <c r="X68" i="17"/>
  <c r="AH68" i="17"/>
  <c r="Z68" i="17"/>
  <c r="AC74" i="17"/>
  <c r="AB74" i="17"/>
  <c r="H74" i="17" s="1"/>
  <c r="AG74" i="17"/>
  <c r="Y74" i="17"/>
  <c r="AF74" i="17"/>
  <c r="AE74" i="17"/>
  <c r="AI74" i="17"/>
  <c r="AH74" i="17"/>
  <c r="AA74" i="17"/>
  <c r="Z74" i="17"/>
  <c r="AD74" i="17"/>
  <c r="X74" i="17"/>
  <c r="AB67" i="17"/>
  <c r="H67" i="17" s="1"/>
  <c r="AI67" i="17"/>
  <c r="AA67" i="17"/>
  <c r="AF67" i="17"/>
  <c r="X67" i="17"/>
  <c r="AH67" i="17"/>
  <c r="AG67" i="17"/>
  <c r="AD67" i="17"/>
  <c r="AC67" i="17"/>
  <c r="Y67" i="17"/>
  <c r="AE67" i="17"/>
  <c r="Z67" i="17"/>
  <c r="AG98" i="17"/>
  <c r="Y98" i="17"/>
  <c r="AF98" i="17"/>
  <c r="X98" i="17"/>
  <c r="AC98" i="17"/>
  <c r="AE98" i="17"/>
  <c r="AD98" i="17"/>
  <c r="AB98" i="17"/>
  <c r="H98" i="17" s="1"/>
  <c r="AA98" i="17"/>
  <c r="Z98" i="17"/>
  <c r="AH98" i="17"/>
  <c r="AI98" i="17"/>
  <c r="AF70" i="17"/>
  <c r="X70" i="17"/>
  <c r="AE70" i="17"/>
  <c r="AB70" i="17"/>
  <c r="H70" i="17" s="1"/>
  <c r="AD70" i="17"/>
  <c r="AC70" i="17"/>
  <c r="AI70" i="17"/>
  <c r="AH70" i="17"/>
  <c r="AA70" i="17"/>
  <c r="Z70" i="17"/>
  <c r="AG70" i="17"/>
  <c r="Y70" i="17"/>
  <c r="AG105" i="17"/>
  <c r="Y105" i="17"/>
  <c r="AF105" i="17"/>
  <c r="X105" i="17"/>
  <c r="AC105" i="17"/>
  <c r="AA105" i="17"/>
  <c r="Z105" i="17"/>
  <c r="AI105" i="17"/>
  <c r="AH105" i="17"/>
  <c r="AE105" i="17"/>
  <c r="AD105" i="17"/>
  <c r="AB105" i="17"/>
  <c r="H105" i="17" s="1"/>
  <c r="AI93" i="17"/>
  <c r="AA93" i="17"/>
  <c r="AH93" i="17"/>
  <c r="Z93" i="17"/>
  <c r="AE93" i="17"/>
  <c r="X93" i="17"/>
  <c r="AG93" i="17"/>
  <c r="AD93" i="17"/>
  <c r="AC93" i="17"/>
  <c r="AF93" i="17"/>
  <c r="Y93" i="17"/>
  <c r="AB93" i="17"/>
  <c r="H93" i="17" s="1"/>
  <c r="AF104" i="17"/>
  <c r="X104" i="17"/>
  <c r="AE104" i="17"/>
  <c r="AB104" i="17"/>
  <c r="H104" i="17" s="1"/>
  <c r="AH104" i="17"/>
  <c r="AG104" i="17"/>
  <c r="AD104" i="17"/>
  <c r="AC104" i="17"/>
  <c r="AA104" i="17"/>
  <c r="Z104" i="17"/>
  <c r="Y104" i="17"/>
  <c r="AI104" i="17"/>
  <c r="AG128" i="17"/>
  <c r="Y128" i="17"/>
  <c r="AF128" i="17"/>
  <c r="X128" i="17"/>
  <c r="AD128" i="17"/>
  <c r="AI128" i="17"/>
  <c r="AA128" i="17"/>
  <c r="AH128" i="17"/>
  <c r="AE128" i="17"/>
  <c r="Z128" i="17"/>
  <c r="AB128" i="17"/>
  <c r="H128" i="17" s="1"/>
  <c r="AC128" i="17"/>
  <c r="AC135" i="17"/>
  <c r="AF135" i="17"/>
  <c r="X135" i="17"/>
  <c r="AG135" i="17"/>
  <c r="AE135" i="17"/>
  <c r="AB135" i="17"/>
  <c r="H135" i="17" s="1"/>
  <c r="AI135" i="17"/>
  <c r="Y135" i="17"/>
  <c r="AH135" i="17"/>
  <c r="AD135" i="17"/>
  <c r="AA135" i="17"/>
  <c r="Z135" i="17"/>
  <c r="AB141" i="17"/>
  <c r="H141" i="17" s="1"/>
  <c r="AI141" i="17"/>
  <c r="AA141" i="17"/>
  <c r="AD141" i="17"/>
  <c r="X141" i="17"/>
  <c r="AH141" i="17"/>
  <c r="AG141" i="17"/>
  <c r="AF141" i="17"/>
  <c r="Z141" i="17"/>
  <c r="Y141" i="17"/>
  <c r="AE141" i="17"/>
  <c r="AC141" i="17"/>
  <c r="AF145" i="17"/>
  <c r="X145" i="17"/>
  <c r="AE145" i="17"/>
  <c r="AD145" i="17"/>
  <c r="AH145" i="17"/>
  <c r="Z145" i="17"/>
  <c r="AI145" i="17"/>
  <c r="AG145" i="17"/>
  <c r="AC145" i="17"/>
  <c r="AB145" i="17"/>
  <c r="H145" i="17" s="1"/>
  <c r="Y145" i="17"/>
  <c r="AA145" i="17"/>
  <c r="AC53" i="17"/>
  <c r="AE53" i="17"/>
  <c r="AA53" i="17"/>
  <c r="AI53" i="17"/>
  <c r="Z53" i="17"/>
  <c r="AH53" i="17"/>
  <c r="AG53" i="17"/>
  <c r="AF53" i="17"/>
  <c r="AD53" i="17"/>
  <c r="AB53" i="17"/>
  <c r="H53" i="17" s="1"/>
  <c r="Y53" i="17"/>
  <c r="X53" i="17"/>
  <c r="AI51" i="17"/>
  <c r="AA51" i="17"/>
  <c r="AD51" i="17"/>
  <c r="Z51" i="17"/>
  <c r="AH51" i="17"/>
  <c r="Y51" i="17"/>
  <c r="AC51" i="17"/>
  <c r="AB51" i="17"/>
  <c r="H51" i="17" s="1"/>
  <c r="X51" i="17"/>
  <c r="AG51" i="17"/>
  <c r="AF51" i="17"/>
  <c r="AE51" i="17"/>
  <c r="AB52" i="17"/>
  <c r="H52" i="17" s="1"/>
  <c r="AI52" i="17"/>
  <c r="Z52" i="17"/>
  <c r="AF52" i="17"/>
  <c r="AE52" i="17"/>
  <c r="Y52" i="17"/>
  <c r="X52" i="17"/>
  <c r="AH52" i="17"/>
  <c r="AG52" i="17"/>
  <c r="AD52" i="17"/>
  <c r="AC52" i="17"/>
  <c r="AA52" i="17"/>
  <c r="AD102" i="17"/>
  <c r="AC102" i="17"/>
  <c r="AH102" i="17"/>
  <c r="Z102" i="17"/>
  <c r="AG102" i="17"/>
  <c r="AF102" i="17"/>
  <c r="AE102" i="17"/>
  <c r="AB102" i="17"/>
  <c r="H102" i="17" s="1"/>
  <c r="AA102" i="17"/>
  <c r="Y102" i="17"/>
  <c r="X102" i="17"/>
  <c r="AI102" i="17"/>
  <c r="AH106" i="17"/>
  <c r="Z106" i="17"/>
  <c r="AG106" i="17"/>
  <c r="Y106" i="17"/>
  <c r="AD106" i="17"/>
  <c r="AI106" i="17"/>
  <c r="AF106" i="17"/>
  <c r="AE106" i="17"/>
  <c r="AC106" i="17"/>
  <c r="AB106" i="17"/>
  <c r="H106" i="17" s="1"/>
  <c r="AA106" i="17"/>
  <c r="X106" i="17"/>
  <c r="AF111" i="17"/>
  <c r="X111" i="17"/>
  <c r="AC111" i="17"/>
  <c r="AB111" i="17"/>
  <c r="H111" i="17" s="1"/>
  <c r="AI111" i="17"/>
  <c r="Z111" i="17"/>
  <c r="AH111" i="17"/>
  <c r="Y111" i="17"/>
  <c r="AG111" i="17"/>
  <c r="AE111" i="17"/>
  <c r="AD111" i="17"/>
  <c r="AA111" i="17"/>
  <c r="AF76" i="17"/>
  <c r="X76" i="17"/>
  <c r="AE76" i="17"/>
  <c r="AB76" i="17"/>
  <c r="H76" i="17" s="1"/>
  <c r="AH76" i="17"/>
  <c r="AG76" i="17"/>
  <c r="AD76" i="17"/>
  <c r="Y76" i="17"/>
  <c r="AI76" i="17"/>
  <c r="AC76" i="17"/>
  <c r="AA76" i="17"/>
  <c r="Z76" i="17"/>
  <c r="AD133" i="17"/>
  <c r="AC133" i="17"/>
  <c r="AI133" i="17"/>
  <c r="AA133" i="17"/>
  <c r="AF133" i="17"/>
  <c r="X133" i="17"/>
  <c r="AG133" i="17"/>
  <c r="AE133" i="17"/>
  <c r="Y133" i="17"/>
  <c r="AH133" i="17"/>
  <c r="AB133" i="17"/>
  <c r="H133" i="17" s="1"/>
  <c r="Z133" i="17"/>
  <c r="AI99" i="17"/>
  <c r="AA99" i="17"/>
  <c r="AH99" i="17"/>
  <c r="Z99" i="17"/>
  <c r="AE99" i="17"/>
  <c r="AC99" i="17"/>
  <c r="AB99" i="17"/>
  <c r="H99" i="17" s="1"/>
  <c r="Y99" i="17"/>
  <c r="X99" i="17"/>
  <c r="AG99" i="17"/>
  <c r="AF99" i="17"/>
  <c r="AD99" i="17"/>
  <c r="AE110" i="17"/>
  <c r="AG110" i="17"/>
  <c r="X110" i="17"/>
  <c r="AF110" i="17"/>
  <c r="AC110" i="17"/>
  <c r="AB110" i="17"/>
  <c r="H110" i="17" s="1"/>
  <c r="AH110" i="17"/>
  <c r="AD110" i="17"/>
  <c r="AA110" i="17"/>
  <c r="Z110" i="17"/>
  <c r="Y110" i="17"/>
  <c r="AI110" i="17"/>
  <c r="AD117" i="17"/>
  <c r="AH117" i="17"/>
  <c r="Z117" i="17"/>
  <c r="AG117" i="17"/>
  <c r="AF117" i="17"/>
  <c r="AE117" i="17"/>
  <c r="AC117" i="17"/>
  <c r="AB117" i="17"/>
  <c r="H117" i="17" s="1"/>
  <c r="AA117" i="17"/>
  <c r="Y117" i="17"/>
  <c r="AI117" i="17"/>
  <c r="X117" i="17"/>
  <c r="AC124" i="17"/>
  <c r="AH124" i="17"/>
  <c r="Z124" i="17"/>
  <c r="AE124" i="17"/>
  <c r="AI124" i="17"/>
  <c r="AG124" i="17"/>
  <c r="AB124" i="17"/>
  <c r="H124" i="17" s="1"/>
  <c r="X124" i="17"/>
  <c r="AF124" i="17"/>
  <c r="AD124" i="17"/>
  <c r="AA124" i="17"/>
  <c r="Y124" i="17"/>
  <c r="AE126" i="17"/>
  <c r="AB126" i="17"/>
  <c r="H126" i="17" s="1"/>
  <c r="AG126" i="17"/>
  <c r="Y126" i="17"/>
  <c r="X126" i="17"/>
  <c r="AI126" i="17"/>
  <c r="AD126" i="17"/>
  <c r="AH126" i="17"/>
  <c r="AF126" i="17"/>
  <c r="AC126" i="17"/>
  <c r="AA126" i="17"/>
  <c r="Z126" i="17"/>
  <c r="AE144" i="17"/>
  <c r="AD144" i="17"/>
  <c r="AC144" i="17"/>
  <c r="AG144" i="17"/>
  <c r="Y144" i="17"/>
  <c r="AH144" i="17"/>
  <c r="AF144" i="17"/>
  <c r="AB144" i="17"/>
  <c r="H144" i="17" s="1"/>
  <c r="AA144" i="17"/>
  <c r="AI144" i="17"/>
  <c r="Z144" i="17"/>
  <c r="X144" i="17"/>
  <c r="AJ34" i="14"/>
  <c r="AD34" i="14"/>
  <c r="AG34" i="14"/>
  <c r="AB34" i="14"/>
  <c r="AH34" i="14"/>
  <c r="AA34" i="14"/>
  <c r="AF34" i="14"/>
  <c r="Y34" i="14"/>
  <c r="AE34" i="14"/>
  <c r="Z34" i="14"/>
  <c r="AC34" i="14"/>
  <c r="AI34" i="14"/>
  <c r="AJ73" i="14"/>
  <c r="AC73" i="14"/>
  <c r="Z73" i="14"/>
  <c r="AE73" i="14"/>
  <c r="AD73" i="14"/>
  <c r="AH73" i="14"/>
  <c r="Y73" i="14"/>
  <c r="AB73" i="14"/>
  <c r="AG73" i="14"/>
  <c r="AF73" i="14"/>
  <c r="AI73" i="14"/>
  <c r="AA73" i="14"/>
  <c r="AJ75" i="14"/>
  <c r="Y75" i="14"/>
  <c r="AE75" i="14"/>
  <c r="AC75" i="14"/>
  <c r="AD75" i="14"/>
  <c r="AA75" i="14"/>
  <c r="AI75" i="14"/>
  <c r="AG75" i="14"/>
  <c r="AB75" i="14"/>
  <c r="Z75" i="14"/>
  <c r="AH75" i="14"/>
  <c r="AF75" i="14"/>
  <c r="AJ27" i="14"/>
  <c r="AC27" i="14"/>
  <c r="AD27" i="14"/>
  <c r="Y27" i="14"/>
  <c r="AG27" i="14"/>
  <c r="AF27" i="14"/>
  <c r="Z27" i="14"/>
  <c r="AI27" i="14"/>
  <c r="AB27" i="14"/>
  <c r="AH27" i="14"/>
  <c r="AA27" i="14"/>
  <c r="AG25" i="14"/>
  <c r="AH25" i="14"/>
  <c r="AA25" i="14"/>
  <c r="Z25" i="14"/>
  <c r="AE25" i="14"/>
  <c r="AB25" i="14"/>
  <c r="AD25" i="14"/>
  <c r="AI25" i="14"/>
  <c r="AF25" i="14"/>
  <c r="Y25" i="14"/>
  <c r="AJ25" i="14"/>
  <c r="AC25" i="14"/>
  <c r="AJ29" i="14"/>
  <c r="AH29" i="14"/>
  <c r="AB29" i="14"/>
  <c r="AD29" i="14"/>
  <c r="AI29" i="14"/>
  <c r="AA29" i="14"/>
  <c r="AF29" i="14"/>
  <c r="AC29" i="14"/>
  <c r="AG29" i="14"/>
  <c r="Y29" i="14"/>
  <c r="Z29" i="14"/>
  <c r="AE29" i="14"/>
  <c r="AH26" i="14"/>
  <c r="AE26" i="14"/>
  <c r="AC26" i="14"/>
  <c r="AD26" i="14"/>
  <c r="AJ26" i="14"/>
  <c r="Y26" i="14"/>
  <c r="Z26" i="14"/>
  <c r="AI26" i="14"/>
  <c r="AB26" i="14"/>
  <c r="AG26" i="14"/>
  <c r="AA26" i="14"/>
  <c r="AF26" i="14"/>
  <c r="J13" i="3"/>
  <c r="J7" i="3"/>
  <c r="J10" i="3"/>
  <c r="I188" i="1"/>
  <c r="F188" i="1"/>
  <c r="Y82" i="14"/>
  <c r="G142" i="1"/>
  <c r="C13" i="3" s="1"/>
  <c r="H100" i="1"/>
  <c r="B10" i="3" s="1"/>
  <c r="H54" i="1"/>
  <c r="B7" i="3" s="1"/>
  <c r="H114" i="1"/>
  <c r="H142" i="1" s="1"/>
  <c r="B13" i="3" s="1"/>
  <c r="J101" i="1"/>
  <c r="J114" i="1" s="1"/>
  <c r="B204" i="2" s="1"/>
  <c r="B253" i="2" s="1"/>
  <c r="G100" i="1"/>
  <c r="C10" i="3" s="1"/>
  <c r="G54" i="1"/>
  <c r="C7" i="3" s="1"/>
  <c r="K28" i="14"/>
  <c r="K24" i="14"/>
  <c r="K36" i="14"/>
  <c r="E135" i="4"/>
  <c r="AE90" i="2"/>
  <c r="AR90" i="2"/>
  <c r="G90" i="2"/>
  <c r="D7" i="3" s="1"/>
  <c r="T90" i="2"/>
  <c r="AN90" i="2"/>
  <c r="N174" i="2"/>
  <c r="AB174" i="2"/>
  <c r="AL174" i="2"/>
  <c r="AS174" i="2"/>
  <c r="J253" i="2"/>
  <c r="AO253" i="2"/>
  <c r="AO325" i="2" s="1"/>
  <c r="F16" i="3"/>
  <c r="D16" i="3"/>
  <c r="AG325" i="2"/>
  <c r="M90" i="2"/>
  <c r="AC90" i="2"/>
  <c r="I90" i="2"/>
  <c r="Q90" i="2"/>
  <c r="I324" i="2"/>
  <c r="AF90" i="2"/>
  <c r="AL90" i="2"/>
  <c r="H174" i="2"/>
  <c r="E10" i="3" s="1"/>
  <c r="L174" i="2"/>
  <c r="R174" i="2"/>
  <c r="U174" i="2"/>
  <c r="Y174" i="2"/>
  <c r="AE174" i="2"/>
  <c r="AD174" i="2"/>
  <c r="AM174" i="2"/>
  <c r="AQ174" i="2"/>
  <c r="C143" i="2"/>
  <c r="C174" i="2" s="1"/>
  <c r="C204" i="2"/>
  <c r="L253" i="2"/>
  <c r="U253" i="2"/>
  <c r="Y253" i="2"/>
  <c r="AE253" i="2"/>
  <c r="AM253" i="2"/>
  <c r="AQ253" i="2"/>
  <c r="C58" i="2"/>
  <c r="C89" i="2"/>
  <c r="AJ82" i="14"/>
  <c r="AD82" i="14"/>
  <c r="AG82" i="14"/>
  <c r="AI82" i="14"/>
  <c r="G155" i="1"/>
  <c r="G185" i="1" s="1"/>
  <c r="C16" i="3" s="1"/>
  <c r="AE82" i="14"/>
  <c r="AA82" i="14"/>
  <c r="AF82" i="14"/>
  <c r="Z82" i="14"/>
  <c r="AH82" i="14"/>
  <c r="AB82" i="14"/>
  <c r="K33" i="14"/>
  <c r="K35" i="14"/>
  <c r="K48" i="14"/>
  <c r="K52" i="14"/>
  <c r="K70" i="14"/>
  <c r="K69" i="14"/>
  <c r="K78" i="14"/>
  <c r="K82" i="14"/>
  <c r="K86" i="14"/>
  <c r="K88" i="14"/>
  <c r="K89" i="14"/>
  <c r="K92" i="14"/>
  <c r="K96" i="14"/>
  <c r="K104" i="14"/>
  <c r="K108" i="14"/>
  <c r="K125" i="14"/>
  <c r="K127" i="14"/>
  <c r="K133" i="14"/>
  <c r="K135" i="14"/>
  <c r="K139" i="14"/>
  <c r="K141" i="14"/>
  <c r="AA70" i="14"/>
  <c r="R270" i="14"/>
  <c r="T270" i="14" s="1"/>
  <c r="R272" i="14"/>
  <c r="T272" i="14" s="1"/>
  <c r="R274" i="14"/>
  <c r="T274" i="14" s="1"/>
  <c r="S275" i="14"/>
  <c r="R277" i="14"/>
  <c r="T277" i="14" s="1"/>
  <c r="R279" i="14"/>
  <c r="T279" i="14" s="1"/>
  <c r="R281" i="14"/>
  <c r="T281" i="14" s="1"/>
  <c r="R284" i="14"/>
  <c r="T284" i="14" s="1"/>
  <c r="S286" i="14"/>
  <c r="AG42" i="14"/>
  <c r="S293" i="14"/>
  <c r="Z40" i="14"/>
  <c r="AI59" i="14"/>
  <c r="M324" i="2"/>
  <c r="S324" i="2"/>
  <c r="AA324" i="2"/>
  <c r="AK324" i="2"/>
  <c r="AN324" i="2"/>
  <c r="AR324" i="2"/>
  <c r="L90" i="2"/>
  <c r="N90" i="2"/>
  <c r="U90" i="2"/>
  <c r="G174" i="2"/>
  <c r="D10" i="3" s="1"/>
  <c r="I174" i="2"/>
  <c r="M174" i="2"/>
  <c r="O174" i="2"/>
  <c r="S174" i="2"/>
  <c r="T174" i="2"/>
  <c r="AA174" i="2"/>
  <c r="AA325" i="2" s="1"/>
  <c r="AC174" i="2"/>
  <c r="AK174" i="2"/>
  <c r="AH174" i="2"/>
  <c r="AN174" i="2"/>
  <c r="AR174" i="2"/>
  <c r="C226" i="2"/>
  <c r="I253" i="2"/>
  <c r="M253" i="2"/>
  <c r="S253" i="2"/>
  <c r="AK253" i="2"/>
  <c r="AR253" i="2"/>
  <c r="C13" i="2"/>
  <c r="S34" i="2"/>
  <c r="S58" i="2" s="1"/>
  <c r="AK58" i="2"/>
  <c r="AK90" i="2" s="1"/>
  <c r="AS58" i="2"/>
  <c r="AS90" i="2" s="1"/>
  <c r="AH90" i="2"/>
  <c r="AQ90" i="2"/>
  <c r="R90" i="2"/>
  <c r="J90" i="2"/>
  <c r="K58" i="2"/>
  <c r="K90" i="2" s="1"/>
  <c r="O58" i="2"/>
  <c r="O90" i="2" s="1"/>
  <c r="Y90" i="2"/>
  <c r="AB58" i="2"/>
  <c r="AB90" i="2" s="1"/>
  <c r="AD90" i="2"/>
  <c r="C252" i="2"/>
  <c r="AG93" i="14"/>
  <c r="AF63" i="14"/>
  <c r="AI41" i="14"/>
  <c r="AD41" i="14"/>
  <c r="Y55" i="14" a="1"/>
  <c r="AJ55" i="14" s="1"/>
  <c r="Y91" i="14" a="1"/>
  <c r="AJ91" i="14" s="1"/>
  <c r="Y66" i="14" a="1"/>
  <c r="AC66" i="14" s="1"/>
  <c r="S345" i="14"/>
  <c r="R356" i="14"/>
  <c r="T356" i="14" s="1"/>
  <c r="AB53" i="14"/>
  <c r="Z36" i="14"/>
  <c r="AI63" i="14"/>
  <c r="AA53" i="14"/>
  <c r="AF57" i="14"/>
  <c r="AF56" i="14"/>
  <c r="R275" i="14"/>
  <c r="T275" i="14" s="1"/>
  <c r="AB62" i="14"/>
  <c r="AA56" i="14"/>
  <c r="AF49" i="14"/>
  <c r="AG37" i="14"/>
  <c r="AC62" i="14"/>
  <c r="AG57" i="14"/>
  <c r="AE36" i="14"/>
  <c r="Y63" i="14"/>
  <c r="AE61" i="14"/>
  <c r="Y57" i="14"/>
  <c r="AA54" i="14"/>
  <c r="AE50" i="14"/>
  <c r="Y49" i="14"/>
  <c r="AG38" i="14"/>
  <c r="AH36" i="14"/>
  <c r="AA63" i="14"/>
  <c r="AI53" i="14"/>
  <c r="AC49" i="14"/>
  <c r="AJ61" i="14"/>
  <c r="Z50" i="14"/>
  <c r="S356" i="14"/>
  <c r="AB96" i="14"/>
  <c r="R286" i="14"/>
  <c r="T286" i="14" s="1"/>
  <c r="AB63" i="14"/>
  <c r="AF62" i="14"/>
  <c r="Y62" i="14"/>
  <c r="AA61" i="14"/>
  <c r="AB57" i="14"/>
  <c r="AE56" i="14"/>
  <c r="AE54" i="14"/>
  <c r="AF53" i="14"/>
  <c r="Y53" i="14"/>
  <c r="AB49" i="14"/>
  <c r="AC38" i="14"/>
  <c r="AC37" i="14"/>
  <c r="AD36" i="14"/>
  <c r="AE63" i="14"/>
  <c r="AG62" i="14"/>
  <c r="AC57" i="14"/>
  <c r="AE53" i="14"/>
  <c r="AG49" i="14"/>
  <c r="AI36" i="14"/>
  <c r="AA36" i="14"/>
  <c r="AJ54" i="14"/>
  <c r="AH56" i="14"/>
  <c r="AH38" i="14"/>
  <c r="AD54" i="14"/>
  <c r="AB94" i="14"/>
  <c r="AA44" i="14"/>
  <c r="AJ37" i="14"/>
  <c r="AB38" i="14"/>
  <c r="AJ102" i="14"/>
  <c r="Z100" i="14"/>
  <c r="AE79" i="14"/>
  <c r="Y86" i="14"/>
  <c r="AI86" i="14"/>
  <c r="AF78" i="14"/>
  <c r="AA78" i="14"/>
  <c r="AI37" i="14"/>
  <c r="Z37" i="14"/>
  <c r="AD37" i="14"/>
  <c r="AF37" i="14"/>
  <c r="AI50" i="14"/>
  <c r="AD50" i="14"/>
  <c r="Y50" i="14"/>
  <c r="AA83" i="14"/>
  <c r="Y78" i="14"/>
  <c r="AH63" i="14"/>
  <c r="AD63" i="14"/>
  <c r="Z63" i="14"/>
  <c r="AH62" i="14"/>
  <c r="AD62" i="14"/>
  <c r="Z62" i="14"/>
  <c r="AG61" i="14"/>
  <c r="AC61" i="14"/>
  <c r="AH57" i="14"/>
  <c r="AD57" i="14"/>
  <c r="Z57" i="14"/>
  <c r="AG56" i="14"/>
  <c r="AC56" i="14"/>
  <c r="AG54" i="14"/>
  <c r="AC54" i="14"/>
  <c r="AH53" i="14"/>
  <c r="AD53" i="14"/>
  <c r="Z53" i="14"/>
  <c r="AG50" i="14"/>
  <c r="AC50" i="14"/>
  <c r="AH49" i="14"/>
  <c r="AD49" i="14"/>
  <c r="Z49" i="14"/>
  <c r="AE38" i="14"/>
  <c r="AA38" i="14"/>
  <c r="AE37" i="14"/>
  <c r="AA37" i="14"/>
  <c r="AF36" i="14"/>
  <c r="AB36" i="14"/>
  <c r="Y36" i="14"/>
  <c r="AG63" i="14"/>
  <c r="AC63" i="14"/>
  <c r="AI62" i="14"/>
  <c r="AE62" i="14"/>
  <c r="AA62" i="14"/>
  <c r="AI57" i="14"/>
  <c r="AE57" i="14"/>
  <c r="AA57" i="14"/>
  <c r="AG53" i="14"/>
  <c r="AC53" i="14"/>
  <c r="AI49" i="14"/>
  <c r="AE49" i="14"/>
  <c r="AA49" i="14"/>
  <c r="AG36" i="14"/>
  <c r="AC36" i="14"/>
  <c r="AC32" i="14"/>
  <c r="AF61" i="14"/>
  <c r="AF50" i="14"/>
  <c r="AH50" i="14"/>
  <c r="Z38" i="14"/>
  <c r="AB37" i="14"/>
  <c r="Z61" i="14"/>
  <c r="Y37" i="14"/>
  <c r="AD80" i="14"/>
  <c r="AI80" i="14"/>
  <c r="AI38" i="14"/>
  <c r="AF38" i="14"/>
  <c r="Y38" i="14"/>
  <c r="AD38" i="14"/>
  <c r="Y54" i="14"/>
  <c r="AF54" i="14"/>
  <c r="AI56" i="14"/>
  <c r="AD56" i="14"/>
  <c r="Y56" i="14"/>
  <c r="AI61" i="14"/>
  <c r="Y61" i="14"/>
  <c r="AH61" i="14"/>
  <c r="AB61" i="14"/>
  <c r="K38" i="14"/>
  <c r="K39" i="14"/>
  <c r="K50" i="14"/>
  <c r="K56" i="14"/>
  <c r="K58" i="14"/>
  <c r="K61" i="14"/>
  <c r="K63" i="14"/>
  <c r="K83" i="14"/>
  <c r="K91" i="14"/>
  <c r="K97" i="14"/>
  <c r="K101" i="14"/>
  <c r="K105" i="14"/>
  <c r="K109" i="14"/>
  <c r="K111" i="14"/>
  <c r="K112" i="14"/>
  <c r="K116" i="14"/>
  <c r="K120" i="14"/>
  <c r="K124" i="14"/>
  <c r="K128" i="14"/>
  <c r="K132" i="14"/>
  <c r="K136" i="14"/>
  <c r="K140" i="14"/>
  <c r="K144" i="14"/>
  <c r="K148" i="14"/>
  <c r="R269" i="14"/>
  <c r="T269" i="14" s="1"/>
  <c r="S270" i="14"/>
  <c r="S271" i="14"/>
  <c r="R273" i="14"/>
  <c r="T273" i="14" s="1"/>
  <c r="R276" i="14"/>
  <c r="T276" i="14" s="1"/>
  <c r="S277" i="14"/>
  <c r="R278" i="14"/>
  <c r="T278" i="14" s="1"/>
  <c r="R280" i="14"/>
  <c r="T280" i="14" s="1"/>
  <c r="S281" i="14"/>
  <c r="S282" i="14"/>
  <c r="R283" i="14"/>
  <c r="T283" i="14" s="1"/>
  <c r="R285" i="14"/>
  <c r="T285" i="14" s="1"/>
  <c r="S287" i="14"/>
  <c r="S288" i="14"/>
  <c r="S289" i="14"/>
  <c r="S292" i="14"/>
  <c r="R293" i="14"/>
  <c r="T293" i="14" s="1"/>
  <c r="Y106" i="14"/>
  <c r="AH69" i="14"/>
  <c r="Z59" i="14"/>
  <c r="AC65" i="14"/>
  <c r="AA94" i="14"/>
  <c r="Z101" i="14"/>
  <c r="AF65" i="14"/>
  <c r="AH59" i="14"/>
  <c r="AE23" i="14"/>
  <c r="AA59" i="14"/>
  <c r="AI40" i="14"/>
  <c r="AF33" i="14"/>
  <c r="AE33" i="14"/>
  <c r="AG98" i="14"/>
  <c r="Z94" i="14"/>
  <c r="AE98" i="14"/>
  <c r="AH105" i="14"/>
  <c r="AH106" i="14"/>
  <c r="Y94" i="14"/>
  <c r="AC94" i="14"/>
  <c r="AG88" i="14"/>
  <c r="AA31" i="14"/>
  <c r="AA24" i="14"/>
  <c r="AF85" i="14"/>
  <c r="Z93" i="14"/>
  <c r="AE94" i="14"/>
  <c r="AH94" i="14"/>
  <c r="AJ94" i="14"/>
  <c r="AI94" i="14"/>
  <c r="AF98" i="14"/>
  <c r="AG105" i="14"/>
  <c r="AC106" i="14"/>
  <c r="AA106" i="14"/>
  <c r="AD98" i="14"/>
  <c r="AF94" i="14"/>
  <c r="AG94" i="14"/>
  <c r="AA101" i="14"/>
  <c r="AI105" i="14"/>
  <c r="AG92" i="14"/>
  <c r="Z87" i="14"/>
  <c r="AF77" i="14"/>
  <c r="AF71" i="14"/>
  <c r="AA52" i="14"/>
  <c r="AF31" i="14"/>
  <c r="AF88" i="14"/>
  <c r="AH45" i="14"/>
  <c r="AB44" i="14"/>
  <c r="Y39" i="14"/>
  <c r="AC93" i="14"/>
  <c r="AC92" i="14"/>
  <c r="AC88" i="14"/>
  <c r="AC86" i="14"/>
  <c r="AG80" i="14"/>
  <c r="Y71" i="14"/>
  <c r="AB60" i="14"/>
  <c r="AC47" i="14"/>
  <c r="AE45" i="14"/>
  <c r="AA39" i="14"/>
  <c r="AH47" i="14"/>
  <c r="AI52" i="14"/>
  <c r="Y52" i="14"/>
  <c r="AB52" i="14"/>
  <c r="AC52" i="14"/>
  <c r="AG52" i="14"/>
  <c r="AD51" i="14"/>
  <c r="Z51" i="14"/>
  <c r="AE51" i="14"/>
  <c r="AF68" i="14"/>
  <c r="AA68" i="14"/>
  <c r="AJ68" i="14"/>
  <c r="AB45" i="14"/>
  <c r="AJ45" i="14"/>
  <c r="AI45" i="14"/>
  <c r="AD45" i="14"/>
  <c r="Y45" i="14"/>
  <c r="AC45" i="14"/>
  <c r="AG45" i="14"/>
  <c r="AI31" i="14"/>
  <c r="AE31" i="14"/>
  <c r="AH31" i="14"/>
  <c r="AD31" i="14"/>
  <c r="Z31" i="14"/>
  <c r="AC31" i="14"/>
  <c r="AH28" i="14"/>
  <c r="AB28" i="14"/>
  <c r="AE28" i="14"/>
  <c r="AI24" i="14"/>
  <c r="Y24" i="14"/>
  <c r="AJ88" i="14"/>
  <c r="AI88" i="14"/>
  <c r="AD88" i="14"/>
  <c r="Y88" i="14"/>
  <c r="AD83" i="14"/>
  <c r="AB83" i="14"/>
  <c r="AJ83" i="14"/>
  <c r="AH86" i="14"/>
  <c r="Z86" i="14"/>
  <c r="AF86" i="14"/>
  <c r="AB86" i="14"/>
  <c r="AA86" i="14"/>
  <c r="AE86" i="14"/>
  <c r="AI93" i="14"/>
  <c r="AD93" i="14"/>
  <c r="AF93" i="14"/>
  <c r="Y93" i="14"/>
  <c r="AH93" i="14"/>
  <c r="AJ93" i="14"/>
  <c r="AE78" i="14"/>
  <c r="AI78" i="14"/>
  <c r="AH78" i="14"/>
  <c r="AD78" i="14"/>
  <c r="Z78" i="14"/>
  <c r="AC78" i="14"/>
  <c r="AJ71" i="14"/>
  <c r="AA71" i="14"/>
  <c r="AE71" i="14"/>
  <c r="AI71" i="14"/>
  <c r="Z71" i="14"/>
  <c r="AD71" i="14"/>
  <c r="AH71" i="14"/>
  <c r="AI47" i="14"/>
  <c r="AB47" i="14"/>
  <c r="AJ47" i="14"/>
  <c r="AD47" i="14"/>
  <c r="AF47" i="14"/>
  <c r="AA47" i="14"/>
  <c r="AE47" i="14"/>
  <c r="AI44" i="14"/>
  <c r="AF44" i="14"/>
  <c r="AC44" i="14"/>
  <c r="AG44" i="14"/>
  <c r="AJ32" i="14"/>
  <c r="AA32" i="14"/>
  <c r="AE32" i="14"/>
  <c r="AI32" i="14"/>
  <c r="Z32" i="14"/>
  <c r="AD32" i="14"/>
  <c r="AH32" i="14"/>
  <c r="Z74" i="14"/>
  <c r="AF74" i="14"/>
  <c r="AC74" i="14"/>
  <c r="AG74" i="14"/>
  <c r="AD85" i="14"/>
  <c r="AA85" i="14"/>
  <c r="AE85" i="14"/>
  <c r="AI92" i="14"/>
  <c r="AD92" i="14"/>
  <c r="Y92" i="14"/>
  <c r="AE93" i="14"/>
  <c r="AA93" i="14"/>
  <c r="AE92" i="14"/>
  <c r="AA92" i="14"/>
  <c r="AE88" i="14"/>
  <c r="AA88" i="14"/>
  <c r="AG83" i="14"/>
  <c r="AC83" i="14"/>
  <c r="AG86" i="14"/>
  <c r="AG85" i="14"/>
  <c r="AA74" i="14"/>
  <c r="AG78" i="14"/>
  <c r="AB78" i="14"/>
  <c r="AJ78" i="14"/>
  <c r="AB71" i="14"/>
  <c r="AE52" i="14"/>
  <c r="AG47" i="14"/>
  <c r="AA45" i="14"/>
  <c r="AE39" i="14"/>
  <c r="AE44" i="14"/>
  <c r="AF32" i="14"/>
  <c r="Y32" i="14"/>
  <c r="AG71" i="14"/>
  <c r="AG32" i="14"/>
  <c r="AG31" i="14"/>
  <c r="AB31" i="14"/>
  <c r="AJ31" i="14"/>
  <c r="AF83" i="14"/>
  <c r="AF92" i="14"/>
  <c r="AH92" i="14"/>
  <c r="Z88" i="14"/>
  <c r="AJ86" i="14"/>
  <c r="AJ52" i="14"/>
  <c r="Z45" i="14"/>
  <c r="AJ39" i="14"/>
  <c r="AJ44" i="14"/>
  <c r="AB88" i="14"/>
  <c r="AD86" i="14"/>
  <c r="AI77" i="14"/>
  <c r="Y83" i="14"/>
  <c r="AD39" i="14"/>
  <c r="Y47" i="14"/>
  <c r="Z44" i="14"/>
  <c r="Y44" i="14"/>
  <c r="AD44" i="14"/>
  <c r="Z85" i="14"/>
  <c r="N5" i="6"/>
  <c r="O5" i="6" s="1"/>
  <c r="Y72" i="14" a="1"/>
  <c r="AI72" i="14" s="1"/>
  <c r="Y64" i="14" a="1"/>
  <c r="AI64" i="14" s="1"/>
  <c r="T5" i="6"/>
  <c r="S5" i="6"/>
  <c r="AJ103" i="14"/>
  <c r="AG103" i="14"/>
  <c r="AH103" i="14"/>
  <c r="AI103" i="14"/>
  <c r="AI99" i="14"/>
  <c r="Y99" i="14"/>
  <c r="Z99" i="14"/>
  <c r="AG99" i="14"/>
  <c r="AC99" i="14"/>
  <c r="AH96" i="14"/>
  <c r="AE96" i="14"/>
  <c r="AJ96" i="14"/>
  <c r="AD96" i="14"/>
  <c r="Z96" i="14"/>
  <c r="AA96" i="14"/>
  <c r="Y96" i="14"/>
  <c r="AC102" i="14"/>
  <c r="AB102" i="14"/>
  <c r="Y102" i="14"/>
  <c r="AA102" i="14"/>
  <c r="AI102" i="14"/>
  <c r="AD102" i="14"/>
  <c r="AG102" i="14"/>
  <c r="AF102" i="14"/>
  <c r="AE102" i="14"/>
  <c r="AH102" i="14"/>
  <c r="AC104" i="14"/>
  <c r="AE104" i="14"/>
  <c r="AG81" i="14"/>
  <c r="AC69" i="14"/>
  <c r="AC67" i="14"/>
  <c r="Y65" i="14"/>
  <c r="AD59" i="14"/>
  <c r="AH40" i="14"/>
  <c r="AE59" i="14"/>
  <c r="AA40" i="14"/>
  <c r="Y33" i="14"/>
  <c r="AB79" i="14"/>
  <c r="AJ67" i="14"/>
  <c r="S344" i="14"/>
  <c r="R345" i="14"/>
  <c r="T345" i="14" s="1"/>
  <c r="S348" i="14"/>
  <c r="S349" i="14"/>
  <c r="S355" i="14"/>
  <c r="AH98" i="14"/>
  <c r="AH101" i="14"/>
  <c r="AC101" i="14"/>
  <c r="AF105" i="14"/>
  <c r="AB105" i="14"/>
  <c r="Z95" i="14"/>
  <c r="AF106" i="14"/>
  <c r="AF95" i="14"/>
  <c r="AB95" i="14"/>
  <c r="Y105" i="14"/>
  <c r="AE105" i="14"/>
  <c r="AF101" i="14"/>
  <c r="AI101" i="14"/>
  <c r="AA81" i="14"/>
  <c r="AA79" i="14"/>
  <c r="AB69" i="14"/>
  <c r="AG67" i="14"/>
  <c r="AB65" i="14"/>
  <c r="AG70" i="14"/>
  <c r="AD40" i="14"/>
  <c r="AC42" i="14"/>
  <c r="AA23" i="14"/>
  <c r="AA28" i="14"/>
  <c r="AG65" i="14"/>
  <c r="AE40" i="14"/>
  <c r="AC41" i="14"/>
  <c r="AG33" i="14"/>
  <c r="AB33" i="14"/>
  <c r="AJ33" i="14"/>
  <c r="AG24" i="14"/>
  <c r="AB24" i="14"/>
  <c r="AJ24" i="14"/>
  <c r="AJ85" i="14"/>
  <c r="AB85" i="14"/>
  <c r="AJ74" i="14"/>
  <c r="AB74" i="14"/>
  <c r="AI70" i="14"/>
  <c r="AA98" i="14"/>
  <c r="Z98" i="14"/>
  <c r="AI98" i="14"/>
  <c r="AD101" i="14"/>
  <c r="AG101" i="14"/>
  <c r="AJ101" i="14"/>
  <c r="AC105" i="14"/>
  <c r="Z105" i="14"/>
  <c r="AJ105" i="14"/>
  <c r="AE95" i="14"/>
  <c r="AG106" i="14"/>
  <c r="AH95" i="14"/>
  <c r="AB106" i="14"/>
  <c r="AC95" i="14"/>
  <c r="AI106" i="14"/>
  <c r="Z106" i="14"/>
  <c r="AE106" i="14"/>
  <c r="AD106" i="14"/>
  <c r="Y98" i="14"/>
  <c r="AJ98" i="14"/>
  <c r="AE97" i="14"/>
  <c r="Z97" i="14"/>
  <c r="AB101" i="14"/>
  <c r="AC97" i="14"/>
  <c r="AC98" i="14"/>
  <c r="AA105" i="14"/>
  <c r="Y101" i="14"/>
  <c r="AH104" i="14"/>
  <c r="Y104" i="14"/>
  <c r="AH65" i="14"/>
  <c r="AD65" i="14"/>
  <c r="Z65" i="14"/>
  <c r="AI65" i="14"/>
  <c r="AE65" i="14"/>
  <c r="AA65" i="14"/>
  <c r="Z41" i="14"/>
  <c r="AH41" i="14"/>
  <c r="AC33" i="14"/>
  <c r="Z33" i="14"/>
  <c r="AD33" i="14"/>
  <c r="AH33" i="14"/>
  <c r="AE41" i="14"/>
  <c r="AA33" i="14"/>
  <c r="AJ79" i="14"/>
  <c r="AB67" i="14"/>
  <c r="AI69" i="14"/>
  <c r="Y70" i="14"/>
  <c r="AH81" i="14"/>
  <c r="AE43" i="14"/>
  <c r="Y43" i="14"/>
  <c r="AI79" i="14"/>
  <c r="Z79" i="14"/>
  <c r="AI67" i="14"/>
  <c r="Z67" i="14"/>
  <c r="AD67" i="14"/>
  <c r="Y46" i="14"/>
  <c r="AH46" i="14"/>
  <c r="Z46" i="14"/>
  <c r="AF43" i="14"/>
  <c r="Z43" i="14"/>
  <c r="AI42" i="14"/>
  <c r="Y42" i="14"/>
  <c r="AD42" i="14"/>
  <c r="AB42" i="14"/>
  <c r="AJ42" i="14"/>
  <c r="AB23" i="14"/>
  <c r="Y23" i="14"/>
  <c r="AI28" i="14"/>
  <c r="Z28" i="14"/>
  <c r="AF28" i="14"/>
  <c r="AD103" i="14"/>
  <c r="AE103" i="14"/>
  <c r="Z103" i="14"/>
  <c r="AC103" i="14"/>
  <c r="R287" i="14"/>
  <c r="T287" i="14" s="1"/>
  <c r="R282" i="14"/>
  <c r="T282" i="14" s="1"/>
  <c r="R271" i="14"/>
  <c r="T271" i="14" s="1"/>
  <c r="AF104" i="14"/>
  <c r="Z104" i="14"/>
  <c r="AC81" i="14"/>
  <c r="AG79" i="14"/>
  <c r="AC79" i="14"/>
  <c r="AG104" i="14"/>
  <c r="AG69" i="14"/>
  <c r="Z69" i="14"/>
  <c r="AD69" i="14"/>
  <c r="AE67" i="14"/>
  <c r="AA67" i="14"/>
  <c r="AE70" i="14"/>
  <c r="AF59" i="14"/>
  <c r="AB59" i="14"/>
  <c r="Y59" i="14"/>
  <c r="AG46" i="14"/>
  <c r="AA46" i="14"/>
  <c r="AF40" i="14"/>
  <c r="AB40" i="14"/>
  <c r="Y40" i="14"/>
  <c r="AG43" i="14"/>
  <c r="AA43" i="14"/>
  <c r="AE42" i="14"/>
  <c r="AA42" i="14"/>
  <c r="AC23" i="14"/>
  <c r="AG28" i="14"/>
  <c r="AC28" i="14"/>
  <c r="AG59" i="14"/>
  <c r="AC59" i="14"/>
  <c r="AG40" i="14"/>
  <c r="AC40" i="14"/>
  <c r="AG41" i="14"/>
  <c r="Y41" i="14"/>
  <c r="AB41" i="14"/>
  <c r="AF41" i="14"/>
  <c r="AJ41" i="14"/>
  <c r="AC24" i="14"/>
  <c r="Z24" i="14"/>
  <c r="AD24" i="14"/>
  <c r="AH24" i="14"/>
  <c r="AA41" i="14"/>
  <c r="AE24" i="14"/>
  <c r="AB81" i="14"/>
  <c r="AF79" i="14"/>
  <c r="AF67" i="14"/>
  <c r="AF42" i="14"/>
  <c r="AJ28" i="14"/>
  <c r="AF23" i="14"/>
  <c r="AJ46" i="14"/>
  <c r="AD28" i="14"/>
  <c r="AD79" i="14"/>
  <c r="AH67" i="14"/>
  <c r="Y28" i="14"/>
  <c r="AH79" i="14"/>
  <c r="Z42" i="14"/>
  <c r="R347" i="14"/>
  <c r="T347" i="14" s="1"/>
  <c r="AI83" i="14"/>
  <c r="AH83" i="14"/>
  <c r="Z83" i="14"/>
  <c r="AH52" i="14"/>
  <c r="Z52" i="14"/>
  <c r="AF52" i="14"/>
  <c r="AJ50" i="14"/>
  <c r="AB50" i="14"/>
  <c r="AI54" i="14"/>
  <c r="AH54" i="14"/>
  <c r="Z54" i="14"/>
  <c r="AB56" i="14"/>
  <c r="AJ56" i="14"/>
  <c r="AI74" i="14"/>
  <c r="AD74" i="14"/>
  <c r="Y74" i="14"/>
  <c r="AH74" i="14"/>
  <c r="AI85" i="14"/>
  <c r="Y85" i="14"/>
  <c r="AH85" i="14"/>
  <c r="AJ92" i="14"/>
  <c r="AB92" i="14"/>
  <c r="Y58" i="14" a="1"/>
  <c r="AD58" i="14" s="1"/>
  <c r="J147" i="1"/>
  <c r="J155" i="1" s="1"/>
  <c r="B276" i="2" s="1"/>
  <c r="B324" i="2" s="1"/>
  <c r="H155" i="1"/>
  <c r="H185" i="1" s="1"/>
  <c r="E188" i="1"/>
  <c r="J16" i="3"/>
  <c r="B34" i="2"/>
  <c r="B143" i="2"/>
  <c r="B174" i="2" s="1"/>
  <c r="J100" i="1"/>
  <c r="J54" i="1"/>
  <c r="G253" i="2"/>
  <c r="F13" i="3" s="1"/>
  <c r="Q253" i="2"/>
  <c r="T253" i="2"/>
  <c r="AH253" i="2"/>
  <c r="P253" i="2"/>
  <c r="P325" i="2" s="1"/>
  <c r="AL253" i="2"/>
  <c r="K43" i="14"/>
  <c r="Y90" i="14" a="1"/>
  <c r="Y89" i="14" a="1"/>
  <c r="Y76" i="14" a="1"/>
  <c r="Y48" i="14" a="1"/>
  <c r="AF48" i="14" s="1"/>
  <c r="S269" i="14"/>
  <c r="S272" i="14"/>
  <c r="S273" i="14"/>
  <c r="S274" i="14"/>
  <c r="S276" i="14"/>
  <c r="S278" i="14"/>
  <c r="S279" i="14"/>
  <c r="S280" i="14"/>
  <c r="S283" i="14"/>
  <c r="S284" i="14"/>
  <c r="S285" i="14"/>
  <c r="R288" i="14"/>
  <c r="T288" i="14" s="1"/>
  <c r="R289" i="14"/>
  <c r="T289" i="14" s="1"/>
  <c r="R292" i="14"/>
  <c r="T292" i="14" s="1"/>
  <c r="R344" i="14"/>
  <c r="T344" i="14" s="1"/>
  <c r="S347" i="14"/>
  <c r="R348" i="14"/>
  <c r="T348" i="14" s="1"/>
  <c r="R349" i="14"/>
  <c r="T349" i="14" s="1"/>
  <c r="R355" i="14"/>
  <c r="T355" i="14" s="1"/>
  <c r="R351" i="14"/>
  <c r="T351" i="14" s="1"/>
  <c r="S352" i="14"/>
  <c r="R353" i="14"/>
  <c r="T353" i="14" s="1"/>
  <c r="AP253" i="2"/>
  <c r="AP325" i="2" s="1"/>
  <c r="K253" i="2"/>
  <c r="AF253" i="2"/>
  <c r="AC253" i="2"/>
  <c r="O253" i="2"/>
  <c r="AS253" i="2"/>
  <c r="AB253" i="2"/>
  <c r="N253" i="2"/>
  <c r="C276" i="2"/>
  <c r="C5" i="10"/>
  <c r="C7" i="10" s="1"/>
  <c r="AD84" i="14"/>
  <c r="AA77" i="14"/>
  <c r="AJ77" i="14"/>
  <c r="AB77" i="14"/>
  <c r="AG77" i="14"/>
  <c r="AE80" i="14"/>
  <c r="AA80" i="14"/>
  <c r="AF80" i="14"/>
  <c r="Y80" i="14"/>
  <c r="AJ60" i="14"/>
  <c r="AE60" i="14"/>
  <c r="Z60" i="14"/>
  <c r="AH60" i="14"/>
  <c r="AJ87" i="14"/>
  <c r="AA87" i="14"/>
  <c r="AI87" i="14"/>
  <c r="AB87" i="14"/>
  <c r="AH87" i="14"/>
  <c r="Y87" i="14"/>
  <c r="AE87" i="14"/>
  <c r="AC80" i="14"/>
  <c r="AH80" i="14"/>
  <c r="Y77" i="14"/>
  <c r="AH77" i="14"/>
  <c r="AB68" i="14"/>
  <c r="Y60" i="14"/>
  <c r="AC51" i="14"/>
  <c r="AC60" i="14"/>
  <c r="AE77" i="14"/>
  <c r="AJ100" i="14"/>
  <c r="AH100" i="14"/>
  <c r="AI100" i="14"/>
  <c r="AF100" i="14"/>
  <c r="S351" i="14"/>
  <c r="AH99" i="14"/>
  <c r="AF99" i="14"/>
  <c r="AE99" i="14"/>
  <c r="AB99" i="14"/>
  <c r="AB103" i="14"/>
  <c r="AI95" i="14"/>
  <c r="AD95" i="14"/>
  <c r="Y95" i="14"/>
  <c r="AC100" i="14"/>
  <c r="Y100" i="14"/>
  <c r="AG95" i="14"/>
  <c r="AA100" i="14"/>
  <c r="AF87" i="14"/>
  <c r="AC87" i="14"/>
  <c r="Z80" i="14"/>
  <c r="AJ80" i="14"/>
  <c r="Z77" i="14"/>
  <c r="AG68" i="14"/>
  <c r="AF60" i="14"/>
  <c r="AA51" i="14"/>
  <c r="AA60" i="14"/>
  <c r="AJ51" i="14"/>
  <c r="AJ95" i="14"/>
  <c r="AF97" i="14"/>
  <c r="AD97" i="14"/>
  <c r="AA97" i="14"/>
  <c r="AJ104" i="14"/>
  <c r="AA104" i="14"/>
  <c r="AI104" i="14"/>
  <c r="AB104" i="14"/>
  <c r="K77" i="14"/>
  <c r="K47" i="14"/>
  <c r="K115" i="14"/>
  <c r="K94" i="14"/>
  <c r="K67" i="14"/>
  <c r="K49" i="14"/>
  <c r="R290" i="14"/>
  <c r="T290" i="14" s="1"/>
  <c r="S290" i="14"/>
  <c r="R291" i="14"/>
  <c r="T291" i="14" s="1"/>
  <c r="S291" i="14"/>
  <c r="R342" i="14"/>
  <c r="T342" i="14" s="1"/>
  <c r="S342" i="14"/>
  <c r="R343" i="14"/>
  <c r="T343" i="14" s="1"/>
  <c r="S343" i="14"/>
  <c r="R346" i="14"/>
  <c r="T346" i="14" s="1"/>
  <c r="S346" i="14"/>
  <c r="R350" i="14"/>
  <c r="T350" i="14" s="1"/>
  <c r="S350" i="14"/>
  <c r="R354" i="14"/>
  <c r="T354" i="14" s="1"/>
  <c r="S354" i="14"/>
  <c r="S357" i="14"/>
  <c r="R357" i="14"/>
  <c r="T357" i="14" s="1"/>
  <c r="AI51" i="14"/>
  <c r="Y51" i="14"/>
  <c r="AG51" i="14"/>
  <c r="AH51" i="14"/>
  <c r="AB51" i="14"/>
  <c r="AE68" i="14"/>
  <c r="AD68" i="14"/>
  <c r="AC68" i="14"/>
  <c r="AI68" i="14"/>
  <c r="AG100" i="14"/>
  <c r="AB100" i="14"/>
  <c r="AD100" i="14"/>
  <c r="AD87" i="14"/>
  <c r="AB80" i="14"/>
  <c r="AD77" i="14"/>
  <c r="Y68" i="14"/>
  <c r="AH68" i="14"/>
  <c r="AD60" i="14"/>
  <c r="AI60" i="14"/>
  <c r="AF51" i="14"/>
  <c r="Y103" i="14"/>
  <c r="AF103" i="14"/>
  <c r="AJ99" i="14"/>
  <c r="AD99" i="14"/>
  <c r="AA99" i="14"/>
  <c r="AF96" i="14"/>
  <c r="AC96" i="14"/>
  <c r="AI96" i="14"/>
  <c r="AI39" i="14"/>
  <c r="AH39" i="14"/>
  <c r="AB39" i="14"/>
  <c r="AG39" i="14"/>
  <c r="Z39" i="14"/>
  <c r="AF39" i="14"/>
  <c r="AI81" i="14"/>
  <c r="AD81" i="14"/>
  <c r="AF81" i="14"/>
  <c r="AE81" i="14"/>
  <c r="Z81" i="14"/>
  <c r="AJ81" i="14"/>
  <c r="AE69" i="14"/>
  <c r="AA69" i="14"/>
  <c r="AF69" i="14"/>
  <c r="Y69" i="14"/>
  <c r="AJ70" i="14"/>
  <c r="AB70" i="14"/>
  <c r="AH70" i="14"/>
  <c r="AF70" i="14"/>
  <c r="AC70" i="14"/>
  <c r="AD70" i="14"/>
  <c r="AI46" i="14"/>
  <c r="AB46" i="14"/>
  <c r="AC46" i="14"/>
  <c r="AF46" i="14"/>
  <c r="AD46" i="14"/>
  <c r="AI43" i="14"/>
  <c r="AD43" i="14"/>
  <c r="AC43" i="14"/>
  <c r="AB43" i="14"/>
  <c r="AH43" i="14"/>
  <c r="AI23" i="14"/>
  <c r="AJ23" i="14"/>
  <c r="Z23" i="14"/>
  <c r="AG23" i="14"/>
  <c r="AD23" i="14"/>
  <c r="K54" i="14"/>
  <c r="K87" i="14"/>
  <c r="K118" i="14"/>
  <c r="K126" i="14"/>
  <c r="K134" i="14"/>
  <c r="K80" i="14"/>
  <c r="K95" i="14"/>
  <c r="K99" i="14"/>
  <c r="K107" i="14"/>
  <c r="K119" i="14"/>
  <c r="K41" i="14"/>
  <c r="K53" i="14"/>
  <c r="K65" i="14"/>
  <c r="K72" i="14"/>
  <c r="K90" i="14"/>
  <c r="K100" i="14"/>
  <c r="K110" i="14"/>
  <c r="K114" i="14"/>
  <c r="K138" i="14"/>
  <c r="K37" i="14"/>
  <c r="K60" i="14"/>
  <c r="K64" i="14"/>
  <c r="K79" i="14"/>
  <c r="K143" i="14"/>
  <c r="K103" i="14"/>
  <c r="K117" i="14"/>
  <c r="K149" i="14"/>
  <c r="K23" i="14"/>
  <c r="K46" i="14"/>
  <c r="K129" i="14"/>
  <c r="K137" i="14"/>
  <c r="K42" i="14"/>
  <c r="K57" i="14"/>
  <c r="K66" i="14"/>
  <c r="K85" i="14"/>
  <c r="K102" i="14"/>
  <c r="K130" i="14"/>
  <c r="K45" i="14"/>
  <c r="K55" i="14"/>
  <c r="K74" i="14"/>
  <c r="K81" i="14"/>
  <c r="K145" i="14"/>
  <c r="K121" i="14"/>
  <c r="K44" i="14"/>
  <c r="K51" i="14"/>
  <c r="K123" i="14"/>
  <c r="K131" i="14"/>
  <c r="K142" i="14"/>
  <c r="K147" i="14"/>
  <c r="S353" i="14"/>
  <c r="K31" i="14"/>
  <c r="K32" i="14"/>
  <c r="K59" i="14"/>
  <c r="K71" i="14"/>
  <c r="K68" i="14"/>
  <c r="K98" i="14"/>
  <c r="K106" i="14"/>
  <c r="K40" i="14"/>
  <c r="K62" i="14"/>
  <c r="K76" i="14"/>
  <c r="Y135" i="14" a="1"/>
  <c r="AF135" i="14" s="1"/>
  <c r="Y139" i="14" a="1"/>
  <c r="AH139" i="14" s="1"/>
  <c r="Y123" i="14" a="1"/>
  <c r="AC123" i="14" s="1"/>
  <c r="Y143" i="14" a="1"/>
  <c r="Y143" i="14" s="1"/>
  <c r="Y113" i="14" a="1"/>
  <c r="AH113" i="14" s="1"/>
  <c r="Y133" i="14" a="1"/>
  <c r="Y133" i="14" s="1"/>
  <c r="Y119" i="14" a="1"/>
  <c r="AD119" i="14" s="1"/>
  <c r="Y124" i="14" a="1"/>
  <c r="AA124" i="14" s="1"/>
  <c r="Y110" i="14" a="1"/>
  <c r="AB110" i="14" s="1"/>
  <c r="Y147" i="14" a="1"/>
  <c r="AH147" i="14" s="1"/>
  <c r="Y129" i="14" a="1"/>
  <c r="AH129" i="14" s="1"/>
  <c r="Y117" i="14" a="1"/>
  <c r="AH117" i="14" s="1"/>
  <c r="Y134" i="14" a="1"/>
  <c r="AG134" i="14" s="1"/>
  <c r="Y30" i="14" a="1"/>
  <c r="Y30" i="14" s="1"/>
  <c r="Y140" i="14" a="1"/>
  <c r="AI140" i="14" s="1"/>
  <c r="Y112" i="14" a="1"/>
  <c r="AJ112" i="14" s="1"/>
  <c r="Y146" i="14" a="1"/>
  <c r="Y146" i="14" s="1"/>
  <c r="Y115" i="14" a="1"/>
  <c r="AG115" i="14" s="1"/>
  <c r="Y142" i="14" a="1"/>
  <c r="AE142" i="14" s="1"/>
  <c r="Y126" i="14" a="1"/>
  <c r="AD126" i="14" s="1"/>
  <c r="Y148" i="14" a="1"/>
  <c r="AD148" i="14" s="1"/>
  <c r="Y35" i="14" a="1"/>
  <c r="AC35" i="14" s="1"/>
  <c r="Y108" i="14" a="1"/>
  <c r="Y122" i="14" a="1"/>
  <c r="Y144" i="14" a="1"/>
  <c r="Y116" i="14" a="1"/>
  <c r="Y128" i="14" a="1"/>
  <c r="Y109" i="14" a="1"/>
  <c r="Y130" i="14" a="1"/>
  <c r="Y120" i="14" a="1"/>
  <c r="Y132" i="14" a="1"/>
  <c r="Y107" i="14" a="1"/>
  <c r="Y114" i="14" a="1"/>
  <c r="Y125" i="14" a="1"/>
  <c r="Y131" i="14" a="1"/>
  <c r="Y141" i="14" a="1"/>
  <c r="Y149" i="14" a="1"/>
  <c r="Y118" i="14" a="1"/>
  <c r="AB118" i="14" s="1"/>
  <c r="Y138" i="14" a="1"/>
  <c r="Y136" i="14" a="1"/>
  <c r="Y111" i="14" a="1"/>
  <c r="Y121" i="14" a="1"/>
  <c r="Y127" i="14" a="1"/>
  <c r="Y137" i="14" a="1"/>
  <c r="Y145" i="14" a="1"/>
  <c r="AJ150" i="14"/>
  <c r="AC150" i="14"/>
  <c r="Z150" i="14"/>
  <c r="AH150" i="14"/>
  <c r="AG150" i="14"/>
  <c r="AF150" i="14"/>
  <c r="AI150" i="14"/>
  <c r="Y150" i="14"/>
  <c r="AD150" i="14"/>
  <c r="AB150" i="14"/>
  <c r="AE150" i="14"/>
  <c r="AA150" i="14"/>
  <c r="AJ97" i="14"/>
  <c r="AG97" i="14"/>
  <c r="AB97" i="14"/>
  <c r="AH97" i="14"/>
  <c r="AI97" i="14"/>
  <c r="AI84" i="14"/>
  <c r="AE84" i="14"/>
  <c r="AH84" i="14"/>
  <c r="Z84" i="14"/>
  <c r="AA84" i="14"/>
  <c r="AF84" i="14"/>
  <c r="Y84" i="14"/>
  <c r="AC84" i="14"/>
  <c r="AJ84" i="14"/>
  <c r="AB84" i="14"/>
  <c r="H7" i="13" l="1"/>
  <c r="H5" i="13"/>
  <c r="H4" i="13"/>
  <c r="H3" i="13"/>
  <c r="I62" i="17"/>
  <c r="I63" i="17"/>
  <c r="J62" i="17"/>
  <c r="K62" i="17" s="1"/>
  <c r="J63" i="17"/>
  <c r="H8" i="17"/>
  <c r="H7" i="17"/>
  <c r="J39" i="17"/>
  <c r="K39" i="17" s="1"/>
  <c r="H5" i="17"/>
  <c r="J37" i="17"/>
  <c r="K37" i="17" s="1"/>
  <c r="I36" i="17"/>
  <c r="J35" i="17"/>
  <c r="K35" i="17" s="1"/>
  <c r="I29" i="17"/>
  <c r="J27" i="17"/>
  <c r="K27" i="17" s="1"/>
  <c r="J32" i="17"/>
  <c r="K32" i="17" s="1"/>
  <c r="I33" i="17"/>
  <c r="J44" i="17"/>
  <c r="J30" i="17"/>
  <c r="K30" i="17" s="1"/>
  <c r="I45" i="17"/>
  <c r="I40" i="17"/>
  <c r="J36" i="17"/>
  <c r="K36" i="17" s="1"/>
  <c r="I31" i="17"/>
  <c r="I42" i="17"/>
  <c r="J43" i="17"/>
  <c r="K43" i="17" s="1"/>
  <c r="I37" i="17"/>
  <c r="I27" i="17"/>
  <c r="I30" i="17"/>
  <c r="I32" i="17"/>
  <c r="J26" i="17"/>
  <c r="J41" i="17"/>
  <c r="J25" i="17"/>
  <c r="J45" i="17"/>
  <c r="J40" i="17"/>
  <c r="I35" i="17"/>
  <c r="J31" i="17"/>
  <c r="J38" i="17"/>
  <c r="I44" i="17"/>
  <c r="J33" i="17"/>
  <c r="J28" i="17"/>
  <c r="J29" i="17"/>
  <c r="I39" i="17"/>
  <c r="I26" i="17"/>
  <c r="J42" i="17"/>
  <c r="I38" i="17"/>
  <c r="I24" i="17"/>
  <c r="H3" i="17"/>
  <c r="J34" i="17"/>
  <c r="I34" i="17"/>
  <c r="H4" i="17"/>
  <c r="I41" i="17"/>
  <c r="I25" i="17"/>
  <c r="I28" i="17"/>
  <c r="J24" i="17"/>
  <c r="I109" i="17"/>
  <c r="I79" i="17"/>
  <c r="I124" i="17"/>
  <c r="I120" i="17"/>
  <c r="I144" i="17"/>
  <c r="I102" i="17"/>
  <c r="I112" i="17"/>
  <c r="I76" i="17"/>
  <c r="I51" i="17"/>
  <c r="I93" i="17"/>
  <c r="J74" i="17"/>
  <c r="I137" i="17"/>
  <c r="J118" i="17"/>
  <c r="I86" i="17"/>
  <c r="J119" i="17"/>
  <c r="J109" i="17"/>
  <c r="J125" i="17"/>
  <c r="J79" i="17"/>
  <c r="I130" i="17"/>
  <c r="I125" i="17"/>
  <c r="I64" i="17"/>
  <c r="I128" i="17"/>
  <c r="I122" i="17"/>
  <c r="I83" i="17"/>
  <c r="J55" i="17"/>
  <c r="J134" i="17"/>
  <c r="J116" i="17"/>
  <c r="I72" i="17"/>
  <c r="I110" i="17"/>
  <c r="I118" i="17"/>
  <c r="I132" i="17"/>
  <c r="I84" i="17"/>
  <c r="I47" i="17"/>
  <c r="J135" i="17"/>
  <c r="J105" i="17"/>
  <c r="J121" i="17"/>
  <c r="J84" i="17"/>
  <c r="I94" i="17"/>
  <c r="I55" i="17"/>
  <c r="J113" i="17"/>
  <c r="I80" i="17"/>
  <c r="J114" i="17"/>
  <c r="I136" i="17"/>
  <c r="I123" i="17"/>
  <c r="I81" i="17"/>
  <c r="J111" i="17"/>
  <c r="J57" i="17"/>
  <c r="J96" i="17"/>
  <c r="I127" i="17"/>
  <c r="J139" i="17"/>
  <c r="J88" i="17"/>
  <c r="J97" i="17"/>
  <c r="I143" i="17"/>
  <c r="J48" i="17"/>
  <c r="J132" i="17"/>
  <c r="J115" i="17"/>
  <c r="I66" i="17"/>
  <c r="J146" i="17"/>
  <c r="I142" i="17"/>
  <c r="I129" i="17"/>
  <c r="I114" i="17"/>
  <c r="I65" i="17"/>
  <c r="J103" i="17"/>
  <c r="J51" i="17"/>
  <c r="J145" i="17"/>
  <c r="I141" i="17"/>
  <c r="I67" i="17"/>
  <c r="I61" i="17"/>
  <c r="J77" i="17"/>
  <c r="I89" i="17"/>
  <c r="J50" i="17"/>
  <c r="I115" i="17"/>
  <c r="I59" i="17"/>
  <c r="I98" i="17"/>
  <c r="I121" i="17"/>
  <c r="I71" i="17"/>
  <c r="I104" i="17"/>
  <c r="J68" i="17"/>
  <c r="I23" i="17"/>
  <c r="J140" i="17"/>
  <c r="I69" i="17"/>
  <c r="J85" i="17"/>
  <c r="J78" i="17"/>
  <c r="J110" i="17"/>
  <c r="J99" i="17"/>
  <c r="J87" i="17"/>
  <c r="I99" i="17"/>
  <c r="I134" i="17"/>
  <c r="J93" i="17"/>
  <c r="I70" i="17"/>
  <c r="I90" i="17"/>
  <c r="J123" i="17"/>
  <c r="J130" i="17"/>
  <c r="J75" i="17"/>
  <c r="J144" i="17"/>
  <c r="I126" i="17"/>
  <c r="J117" i="17"/>
  <c r="I106" i="17"/>
  <c r="I53" i="17"/>
  <c r="I135" i="17"/>
  <c r="I68" i="17"/>
  <c r="J137" i="17"/>
  <c r="J138" i="17"/>
  <c r="J90" i="17"/>
  <c r="I95" i="17"/>
  <c r="J73" i="17"/>
  <c r="J65" i="17"/>
  <c r="J100" i="17"/>
  <c r="J64" i="17"/>
  <c r="I60" i="17"/>
  <c r="J81" i="17"/>
  <c r="J106" i="17"/>
  <c r="I52" i="17"/>
  <c r="J104" i="17"/>
  <c r="I73" i="17"/>
  <c r="I54" i="17"/>
  <c r="J147" i="17"/>
  <c r="I131" i="17"/>
  <c r="I113" i="17"/>
  <c r="J61" i="17"/>
  <c r="J80" i="17"/>
  <c r="J92" i="17"/>
  <c r="I50" i="17"/>
  <c r="J126" i="17"/>
  <c r="I117" i="17"/>
  <c r="I111" i="17"/>
  <c r="J52" i="17"/>
  <c r="J128" i="17"/>
  <c r="I105" i="17"/>
  <c r="J70" i="17"/>
  <c r="I119" i="17"/>
  <c r="J122" i="17"/>
  <c r="I147" i="17"/>
  <c r="I103" i="17"/>
  <c r="J49" i="17"/>
  <c r="I46" i="17"/>
  <c r="I78" i="17"/>
  <c r="J120" i="17"/>
  <c r="I75" i="17"/>
  <c r="I48" i="17"/>
  <c r="J136" i="17"/>
  <c r="I56" i="17"/>
  <c r="I133" i="17"/>
  <c r="J102" i="17"/>
  <c r="J98" i="17"/>
  <c r="J86" i="17"/>
  <c r="J95" i="17"/>
  <c r="J58" i="17"/>
  <c r="I146" i="17"/>
  <c r="I139" i="17"/>
  <c r="I140" i="17"/>
  <c r="J131" i="17"/>
  <c r="J108" i="17"/>
  <c r="I49" i="17"/>
  <c r="I97" i="17"/>
  <c r="I77" i="17"/>
  <c r="J60" i="17"/>
  <c r="I116" i="17"/>
  <c r="I92" i="17"/>
  <c r="J72" i="17"/>
  <c r="J107" i="17"/>
  <c r="J91" i="17"/>
  <c r="J66" i="17"/>
  <c r="J124" i="17"/>
  <c r="J133" i="17"/>
  <c r="J53" i="17"/>
  <c r="I145" i="17"/>
  <c r="J141" i="17"/>
  <c r="J67" i="17"/>
  <c r="I74" i="17"/>
  <c r="J23" i="17"/>
  <c r="I57" i="17"/>
  <c r="I96" i="17"/>
  <c r="I87" i="17"/>
  <c r="J94" i="17"/>
  <c r="J54" i="17"/>
  <c r="J69" i="17"/>
  <c r="I108" i="17"/>
  <c r="I88" i="17"/>
  <c r="J142" i="17"/>
  <c r="J101" i="17"/>
  <c r="I101" i="17"/>
  <c r="J143" i="17"/>
  <c r="J89" i="17"/>
  <c r="I82" i="17"/>
  <c r="J82" i="17"/>
  <c r="I107" i="17"/>
  <c r="J76" i="17"/>
  <c r="I138" i="17"/>
  <c r="J71" i="17"/>
  <c r="J127" i="17"/>
  <c r="J47" i="17"/>
  <c r="J46" i="17"/>
  <c r="J129" i="17"/>
  <c r="I100" i="17"/>
  <c r="J83" i="17"/>
  <c r="J112" i="17"/>
  <c r="J59" i="17"/>
  <c r="J56" i="17"/>
  <c r="J17" i="3"/>
  <c r="AD325" i="2"/>
  <c r="S90" i="2"/>
  <c r="S325" i="2" s="1"/>
  <c r="AA91" i="14"/>
  <c r="V362" i="14"/>
  <c r="V423" i="14"/>
  <c r="J325" i="2"/>
  <c r="R325" i="2"/>
  <c r="T325" i="2"/>
  <c r="AH91" i="14"/>
  <c r="T3" i="6"/>
  <c r="O3" i="6"/>
  <c r="N3" i="6"/>
  <c r="AR325" i="2"/>
  <c r="D13" i="3"/>
  <c r="D17" i="3" s="1"/>
  <c r="C253" i="2"/>
  <c r="L3" i="6"/>
  <c r="C17" i="3"/>
  <c r="AB91" i="14"/>
  <c r="AG66" i="14"/>
  <c r="AE66" i="14"/>
  <c r="J142" i="1"/>
  <c r="AE91" i="14"/>
  <c r="AC91" i="14"/>
  <c r="Y91" i="14"/>
  <c r="Z55" i="14"/>
  <c r="AA55" i="14"/>
  <c r="Z66" i="14"/>
  <c r="AI66" i="14"/>
  <c r="AF66" i="14"/>
  <c r="AA66" i="14"/>
  <c r="Y66" i="14"/>
  <c r="AB66" i="14"/>
  <c r="AH66" i="14"/>
  <c r="AJ66" i="14"/>
  <c r="AD66" i="14"/>
  <c r="G188" i="1"/>
  <c r="G16" i="3"/>
  <c r="AQ325" i="2"/>
  <c r="AF325" i="2"/>
  <c r="AC325" i="2"/>
  <c r="AE325" i="2"/>
  <c r="Q325" i="2"/>
  <c r="AM325" i="2"/>
  <c r="AK325" i="2"/>
  <c r="AN325" i="2"/>
  <c r="N325" i="2"/>
  <c r="AL325" i="2"/>
  <c r="AH325" i="2"/>
  <c r="Y325" i="2"/>
  <c r="G325" i="2"/>
  <c r="F10" i="3"/>
  <c r="G10" i="3" s="1"/>
  <c r="I325" i="2"/>
  <c r="M325" i="2"/>
  <c r="U325" i="2"/>
  <c r="L325" i="2"/>
  <c r="AD55" i="14"/>
  <c r="AI55" i="14"/>
  <c r="Y55" i="14"/>
  <c r="AB55" i="14"/>
  <c r="AG55" i="14"/>
  <c r="AC55" i="14"/>
  <c r="AH55" i="14"/>
  <c r="AF55" i="14"/>
  <c r="AE55" i="14"/>
  <c r="AB325" i="2"/>
  <c r="O325" i="2"/>
  <c r="K325" i="2"/>
  <c r="AS325" i="2"/>
  <c r="Z91" i="14"/>
  <c r="AG91" i="14"/>
  <c r="AD91" i="14"/>
  <c r="AF91" i="14"/>
  <c r="AI91" i="14"/>
  <c r="AB64" i="14"/>
  <c r="Z64" i="14"/>
  <c r="AD72" i="14"/>
  <c r="AH72" i="14"/>
  <c r="AJ72" i="14"/>
  <c r="AG72" i="14"/>
  <c r="AC72" i="14"/>
  <c r="AA72" i="14"/>
  <c r="Y72" i="14"/>
  <c r="AF72" i="14"/>
  <c r="AA58" i="14"/>
  <c r="AB72" i="14"/>
  <c r="Z72" i="14"/>
  <c r="AE72" i="14"/>
  <c r="AC64" i="14"/>
  <c r="AD64" i="14"/>
  <c r="AF64" i="14"/>
  <c r="AH64" i="14"/>
  <c r="AJ64" i="14"/>
  <c r="AE64" i="14"/>
  <c r="AG64" i="14"/>
  <c r="Y64" i="14"/>
  <c r="AA64" i="14"/>
  <c r="AC58" i="14"/>
  <c r="AH58" i="14"/>
  <c r="AG58" i="14"/>
  <c r="Y58" i="14"/>
  <c r="Z58" i="14"/>
  <c r="AG48" i="14"/>
  <c r="AI48" i="14"/>
  <c r="AB58" i="14"/>
  <c r="AJ58" i="14"/>
  <c r="AE58" i="14"/>
  <c r="AF58" i="14"/>
  <c r="AI58" i="14"/>
  <c r="J185" i="1"/>
  <c r="B16" i="3"/>
  <c r="B17" i="3" s="1"/>
  <c r="H188" i="1"/>
  <c r="AD48" i="14"/>
  <c r="AE48" i="14"/>
  <c r="AA48" i="14"/>
  <c r="AB48" i="14"/>
  <c r="AJ123" i="14"/>
  <c r="Z48" i="14"/>
  <c r="AJ48" i="14"/>
  <c r="Y48" i="14"/>
  <c r="AC48" i="14"/>
  <c r="AH48" i="14"/>
  <c r="AJ89" i="14"/>
  <c r="AA89" i="14"/>
  <c r="AE89" i="14"/>
  <c r="AI89" i="14"/>
  <c r="Y89" i="14"/>
  <c r="AB89" i="14"/>
  <c r="AF89" i="14"/>
  <c r="AC89" i="14"/>
  <c r="AG89" i="14"/>
  <c r="Z89" i="14"/>
  <c r="AD89" i="14"/>
  <c r="AH89" i="14"/>
  <c r="B90" i="2"/>
  <c r="B325" i="2" s="1"/>
  <c r="AA76" i="14"/>
  <c r="AH76" i="14"/>
  <c r="AD76" i="14"/>
  <c r="Z76" i="14"/>
  <c r="AC76" i="14"/>
  <c r="AI76" i="14"/>
  <c r="AE76" i="14"/>
  <c r="AJ76" i="14"/>
  <c r="AF76" i="14"/>
  <c r="AB76" i="14"/>
  <c r="Y76" i="14"/>
  <c r="AG76" i="14"/>
  <c r="AJ90" i="14"/>
  <c r="AC90" i="14"/>
  <c r="AG90" i="14"/>
  <c r="Y90" i="14"/>
  <c r="AB90" i="14"/>
  <c r="AF90" i="14"/>
  <c r="AA90" i="14"/>
  <c r="AE90" i="14"/>
  <c r="AI90" i="14"/>
  <c r="Z90" i="14"/>
  <c r="AD90" i="14"/>
  <c r="AH90" i="14"/>
  <c r="G13" i="3"/>
  <c r="AA135" i="14"/>
  <c r="C324" i="2"/>
  <c r="Z126" i="14"/>
  <c r="Y135" i="14"/>
  <c r="AJ143" i="14"/>
  <c r="Z113" i="14"/>
  <c r="Z134" i="14"/>
  <c r="Y124" i="14"/>
  <c r="AB134" i="14"/>
  <c r="AD134" i="14"/>
  <c r="AI30" i="14"/>
  <c r="AA147" i="14"/>
  <c r="AJ147" i="14"/>
  <c r="AJ139" i="14"/>
  <c r="AI123" i="14"/>
  <c r="AD30" i="14"/>
  <c r="AF143" i="14"/>
  <c r="AB112" i="14"/>
  <c r="AJ129" i="14"/>
  <c r="AA139" i="14"/>
  <c r="AG143" i="14"/>
  <c r="AC139" i="14"/>
  <c r="AG139" i="14"/>
  <c r="AF139" i="14"/>
  <c r="AE143" i="14"/>
  <c r="AH123" i="14"/>
  <c r="Y112" i="14"/>
  <c r="AG112" i="14"/>
  <c r="AA35" i="14"/>
  <c r="AJ110" i="14"/>
  <c r="Z143" i="14"/>
  <c r="AE110" i="14"/>
  <c r="AD139" i="14"/>
  <c r="Y139" i="14"/>
  <c r="AH143" i="14"/>
  <c r="Y126" i="14"/>
  <c r="AE139" i="14"/>
  <c r="AH142" i="14"/>
  <c r="Z139" i="14"/>
  <c r="AB143" i="14"/>
  <c r="AD143" i="14"/>
  <c r="AI139" i="14"/>
  <c r="Z148" i="14"/>
  <c r="AE118" i="14"/>
  <c r="Y148" i="14"/>
  <c r="AE126" i="14"/>
  <c r="AF123" i="14"/>
  <c r="AJ134" i="14"/>
  <c r="AB35" i="14"/>
  <c r="AB147" i="14"/>
  <c r="Y113" i="14"/>
  <c r="AF147" i="14"/>
  <c r="AH146" i="14"/>
  <c r="Z118" i="14"/>
  <c r="AG148" i="14"/>
  <c r="AG126" i="14"/>
  <c r="AG140" i="14"/>
  <c r="Z110" i="14"/>
  <c r="AH110" i="14"/>
  <c r="AF140" i="14"/>
  <c r="AE124" i="14"/>
  <c r="AE135" i="14"/>
  <c r="AD123" i="14"/>
  <c r="AH135" i="14"/>
  <c r="AJ135" i="14"/>
  <c r="AG135" i="14"/>
  <c r="AI110" i="14"/>
  <c r="Y110" i="14"/>
  <c r="Z123" i="14"/>
  <c r="AB139" i="14"/>
  <c r="AA123" i="14"/>
  <c r="AG110" i="14"/>
  <c r="AA142" i="14"/>
  <c r="AB123" i="14"/>
  <c r="Y123" i="14"/>
  <c r="AB135" i="14"/>
  <c r="AC135" i="14"/>
  <c r="AE123" i="14"/>
  <c r="AG124" i="14"/>
  <c r="AA110" i="14"/>
  <c r="AC110" i="14"/>
  <c r="AG123" i="14"/>
  <c r="AI124" i="14"/>
  <c r="AD135" i="14"/>
  <c r="AI135" i="14"/>
  <c r="Z135" i="14"/>
  <c r="AF110" i="14"/>
  <c r="AD110" i="14"/>
  <c r="AF124" i="14"/>
  <c r="AC124" i="14"/>
  <c r="AJ126" i="14"/>
  <c r="AI126" i="14"/>
  <c r="AE146" i="14"/>
  <c r="AD147" i="14"/>
  <c r="Z124" i="14"/>
  <c r="AJ124" i="14"/>
  <c r="AH134" i="14"/>
  <c r="AC119" i="14"/>
  <c r="AA112" i="14"/>
  <c r="AI112" i="14"/>
  <c r="AG113" i="14"/>
  <c r="AH30" i="14"/>
  <c r="AF146" i="14"/>
  <c r="Z147" i="14"/>
  <c r="AB30" i="14"/>
  <c r="AH118" i="14"/>
  <c r="AC148" i="14"/>
  <c r="AI148" i="14"/>
  <c r="AB148" i="14"/>
  <c r="Z146" i="14"/>
  <c r="AB124" i="14"/>
  <c r="AF30" i="14"/>
  <c r="AB146" i="14"/>
  <c r="AC30" i="14"/>
  <c r="Y118" i="14"/>
  <c r="AF148" i="14"/>
  <c r="AJ148" i="14"/>
  <c r="AE148" i="14"/>
  <c r="AE30" i="14"/>
  <c r="Z30" i="14"/>
  <c r="AI118" i="14"/>
  <c r="AH148" i="14"/>
  <c r="AA148" i="14"/>
  <c r="AC147" i="14"/>
  <c r="AA134" i="14"/>
  <c r="AG147" i="14"/>
  <c r="AA113" i="14"/>
  <c r="AA140" i="14"/>
  <c r="AJ142" i="14"/>
  <c r="AD142" i="14"/>
  <c r="AB119" i="14"/>
  <c r="AF119" i="14"/>
  <c r="AJ113" i="14"/>
  <c r="AE113" i="14"/>
  <c r="AC140" i="14"/>
  <c r="Y142" i="14"/>
  <c r="AA115" i="14"/>
  <c r="Z119" i="14"/>
  <c r="AD113" i="14"/>
  <c r="AI113" i="14"/>
  <c r="AF113" i="14"/>
  <c r="AI143" i="14"/>
  <c r="AA143" i="14"/>
  <c r="AC143" i="14"/>
  <c r="AC113" i="14"/>
  <c r="Z140" i="14"/>
  <c r="AH35" i="14"/>
  <c r="AB142" i="14"/>
  <c r="AB113" i="14"/>
  <c r="AE117" i="14"/>
  <c r="AA117" i="14"/>
  <c r="AC117" i="14"/>
  <c r="AG117" i="14"/>
  <c r="Y117" i="14"/>
  <c r="Z117" i="14"/>
  <c r="AF117" i="14"/>
  <c r="AD117" i="14"/>
  <c r="AB117" i="14"/>
  <c r="AI117" i="14"/>
  <c r="Y35" i="14"/>
  <c r="AD35" i="14"/>
  <c r="AF115" i="14"/>
  <c r="AB115" i="14"/>
  <c r="AI146" i="14"/>
  <c r="AC146" i="14"/>
  <c r="AG146" i="14"/>
  <c r="AD146" i="14"/>
  <c r="AJ30" i="14"/>
  <c r="AG30" i="14"/>
  <c r="Z129" i="14"/>
  <c r="AB129" i="14"/>
  <c r="AI129" i="14"/>
  <c r="AD129" i="14"/>
  <c r="Y129" i="14"/>
  <c r="AE129" i="14"/>
  <c r="AG129" i="14"/>
  <c r="AA129" i="14"/>
  <c r="AC129" i="14"/>
  <c r="AF129" i="14"/>
  <c r="AJ133" i="14"/>
  <c r="AH133" i="14"/>
  <c r="AC133" i="14"/>
  <c r="AF133" i="14"/>
  <c r="AG133" i="14"/>
  <c r="AB133" i="14"/>
  <c r="AE133" i="14"/>
  <c r="AD133" i="14"/>
  <c r="AA133" i="14"/>
  <c r="AE35" i="14"/>
  <c r="AI133" i="14"/>
  <c r="AB126" i="14"/>
  <c r="AH126" i="14"/>
  <c r="AA126" i="14"/>
  <c r="AF126" i="14"/>
  <c r="AC126" i="14"/>
  <c r="Z112" i="14"/>
  <c r="AH112" i="14"/>
  <c r="AD112" i="14"/>
  <c r="AF112" i="14"/>
  <c r="AE112" i="14"/>
  <c r="AC112" i="14"/>
  <c r="Y134" i="14"/>
  <c r="AE134" i="14"/>
  <c r="AF134" i="14"/>
  <c r="AI134" i="14"/>
  <c r="AC134" i="14"/>
  <c r="AI147" i="14"/>
  <c r="AE147" i="14"/>
  <c r="Y147" i="14"/>
  <c r="AH124" i="14"/>
  <c r="AD124" i="14"/>
  <c r="Z35" i="14"/>
  <c r="AG35" i="14"/>
  <c r="Y115" i="14"/>
  <c r="AJ115" i="14"/>
  <c r="AE115" i="14"/>
  <c r="AD115" i="14"/>
  <c r="AI115" i="14"/>
  <c r="AC115" i="14"/>
  <c r="AH115" i="14"/>
  <c r="AJ117" i="14"/>
  <c r="AI35" i="14"/>
  <c r="Z133" i="14"/>
  <c r="AF35" i="14"/>
  <c r="AJ35" i="14"/>
  <c r="Z115" i="14"/>
  <c r="AA30" i="14"/>
  <c r="AA146" i="14"/>
  <c r="AJ146" i="14"/>
  <c r="Z142" i="14"/>
  <c r="AG142" i="14"/>
  <c r="AF142" i="14"/>
  <c r="AI142" i="14"/>
  <c r="AC142" i="14"/>
  <c r="AH140" i="14"/>
  <c r="AE140" i="14"/>
  <c r="AB140" i="14"/>
  <c r="AJ140" i="14"/>
  <c r="Y140" i="14"/>
  <c r="AD140" i="14"/>
  <c r="AH119" i="14"/>
  <c r="AE119" i="14"/>
  <c r="AI119" i="14"/>
  <c r="Y119" i="14"/>
  <c r="AJ119" i="14"/>
  <c r="AG119" i="14"/>
  <c r="AA119" i="14"/>
  <c r="AC111" i="14"/>
  <c r="Y111" i="14"/>
  <c r="AB111" i="14"/>
  <c r="AI111" i="14"/>
  <c r="AJ111" i="14"/>
  <c r="Z111" i="14"/>
  <c r="AG111" i="14"/>
  <c r="AF111" i="14"/>
  <c r="AA111" i="14"/>
  <c r="AD111" i="14"/>
  <c r="AH111" i="14"/>
  <c r="AE111" i="14"/>
  <c r="AD131" i="14"/>
  <c r="AH131" i="14"/>
  <c r="AB131" i="14"/>
  <c r="AC131" i="14"/>
  <c r="AE131" i="14"/>
  <c r="Y131" i="14"/>
  <c r="AJ131" i="14"/>
  <c r="AG131" i="14"/>
  <c r="Z131" i="14"/>
  <c r="AA131" i="14"/>
  <c r="AF131" i="14"/>
  <c r="AI131" i="14"/>
  <c r="AJ108" i="14"/>
  <c r="AG108" i="14"/>
  <c r="AI108" i="14"/>
  <c r="AC108" i="14"/>
  <c r="AH108" i="14"/>
  <c r="Y108" i="14"/>
  <c r="AA108" i="14"/>
  <c r="AE108" i="14"/>
  <c r="AD108" i="14"/>
  <c r="AB108" i="14"/>
  <c r="AF108" i="14"/>
  <c r="Z108" i="14"/>
  <c r="AJ137" i="14"/>
  <c r="AG137" i="14"/>
  <c r="Z137" i="14"/>
  <c r="AB137" i="14"/>
  <c r="AA137" i="14"/>
  <c r="AF137" i="14"/>
  <c r="AC137" i="14"/>
  <c r="Y137" i="14"/>
  <c r="AH137" i="14"/>
  <c r="AD137" i="14"/>
  <c r="AI137" i="14"/>
  <c r="AE137" i="14"/>
  <c r="AI136" i="14"/>
  <c r="AB136" i="14"/>
  <c r="AF136" i="14"/>
  <c r="Y136" i="14"/>
  <c r="AH136" i="14"/>
  <c r="AG136" i="14"/>
  <c r="Z136" i="14"/>
  <c r="AE136" i="14"/>
  <c r="AA136" i="14"/>
  <c r="AD136" i="14"/>
  <c r="AC136" i="14"/>
  <c r="AJ136" i="14"/>
  <c r="AJ125" i="14"/>
  <c r="AG125" i="14"/>
  <c r="AF125" i="14"/>
  <c r="AE125" i="14"/>
  <c r="AC125" i="14"/>
  <c r="AD125" i="14"/>
  <c r="AB125" i="14"/>
  <c r="AA125" i="14"/>
  <c r="AH125" i="14"/>
  <c r="Y125" i="14"/>
  <c r="AI125" i="14"/>
  <c r="Z125" i="14"/>
  <c r="AI120" i="14"/>
  <c r="Y120" i="14"/>
  <c r="AG120" i="14"/>
  <c r="AB120" i="14"/>
  <c r="AD120" i="14"/>
  <c r="AE120" i="14"/>
  <c r="AF120" i="14"/>
  <c r="AJ120" i="14"/>
  <c r="AC120" i="14"/>
  <c r="Z120" i="14"/>
  <c r="AH120" i="14"/>
  <c r="AA120" i="14"/>
  <c r="Z116" i="14"/>
  <c r="AG116" i="14"/>
  <c r="AA116" i="14"/>
  <c r="AJ116" i="14"/>
  <c r="AB116" i="14"/>
  <c r="AC116" i="14"/>
  <c r="AD116" i="14"/>
  <c r="AF116" i="14"/>
  <c r="Y116" i="14"/>
  <c r="AH116" i="14"/>
  <c r="AE116" i="14"/>
  <c r="AI116" i="14"/>
  <c r="AH145" i="14"/>
  <c r="AC145" i="14"/>
  <c r="AD145" i="14"/>
  <c r="AE145" i="14"/>
  <c r="AG145" i="14"/>
  <c r="Y145" i="14"/>
  <c r="AA145" i="14"/>
  <c r="AJ145" i="14"/>
  <c r="AF145" i="14"/>
  <c r="AI145" i="14"/>
  <c r="Z145" i="14"/>
  <c r="AB145" i="14"/>
  <c r="Z132" i="14"/>
  <c r="AE132" i="14"/>
  <c r="AA132" i="14"/>
  <c r="AB132" i="14"/>
  <c r="AJ132" i="14"/>
  <c r="AH132" i="14"/>
  <c r="AI132" i="14"/>
  <c r="AF132" i="14"/>
  <c r="AD132" i="14"/>
  <c r="AC132" i="14"/>
  <c r="AG132" i="14"/>
  <c r="Y132" i="14"/>
  <c r="AA128" i="14"/>
  <c r="AE128" i="14"/>
  <c r="AC128" i="14"/>
  <c r="AI128" i="14"/>
  <c r="AB128" i="14"/>
  <c r="AH128" i="14"/>
  <c r="Z128" i="14"/>
  <c r="Y128" i="14"/>
  <c r="AD128" i="14"/>
  <c r="AF128" i="14"/>
  <c r="AG128" i="14"/>
  <c r="AJ128" i="14"/>
  <c r="AG118" i="14"/>
  <c r="AC118" i="14"/>
  <c r="AA118" i="14"/>
  <c r="AF118" i="14"/>
  <c r="AD118" i="14"/>
  <c r="AJ118" i="14"/>
  <c r="Z127" i="14"/>
  <c r="AF127" i="14"/>
  <c r="Y127" i="14"/>
  <c r="AD127" i="14"/>
  <c r="AG127" i="14"/>
  <c r="AC127" i="14"/>
  <c r="AA127" i="14"/>
  <c r="AJ127" i="14"/>
  <c r="AH127" i="14"/>
  <c r="AE127" i="14"/>
  <c r="AI127" i="14"/>
  <c r="AB127" i="14"/>
  <c r="AD149" i="14"/>
  <c r="AI149" i="14"/>
  <c r="AA149" i="14"/>
  <c r="AH149" i="14"/>
  <c r="AE149" i="14"/>
  <c r="AG149" i="14"/>
  <c r="Z149" i="14"/>
  <c r="AC149" i="14"/>
  <c r="Y149" i="14"/>
  <c r="AF149" i="14"/>
  <c r="AJ149" i="14"/>
  <c r="AB149" i="14"/>
  <c r="AD114" i="14"/>
  <c r="Z114" i="14"/>
  <c r="AG114" i="14"/>
  <c r="AC114" i="14"/>
  <c r="AE114" i="14"/>
  <c r="AF114" i="14"/>
  <c r="AI114" i="14"/>
  <c r="AJ114" i="14"/>
  <c r="AH114" i="14"/>
  <c r="AA114" i="14"/>
  <c r="AB114" i="14"/>
  <c r="Y114" i="14"/>
  <c r="AJ130" i="14"/>
  <c r="AF130" i="14"/>
  <c r="AI130" i="14"/>
  <c r="AG130" i="14"/>
  <c r="AC130" i="14"/>
  <c r="AE130" i="14"/>
  <c r="Y130" i="14"/>
  <c r="AH130" i="14"/>
  <c r="AD130" i="14"/>
  <c r="Z130" i="14"/>
  <c r="AA130" i="14"/>
  <c r="AB130" i="14"/>
  <c r="AJ144" i="14"/>
  <c r="AF144" i="14"/>
  <c r="AA144" i="14"/>
  <c r="Z144" i="14"/>
  <c r="AC144" i="14"/>
  <c r="AE144" i="14"/>
  <c r="Y144" i="14"/>
  <c r="AH144" i="14"/>
  <c r="AG144" i="14"/>
  <c r="AB144" i="14"/>
  <c r="AD144" i="14"/>
  <c r="AI144" i="14"/>
  <c r="AJ121" i="14"/>
  <c r="Z121" i="14"/>
  <c r="AD121" i="14"/>
  <c r="AB121" i="14"/>
  <c r="AA121" i="14"/>
  <c r="AF121" i="14"/>
  <c r="AE121" i="14"/>
  <c r="AG121" i="14"/>
  <c r="AH121" i="14"/>
  <c r="AC121" i="14"/>
  <c r="Y121" i="14"/>
  <c r="AI121" i="14"/>
  <c r="AJ138" i="14"/>
  <c r="AD138" i="14"/>
  <c r="Y138" i="14"/>
  <c r="AI138" i="14"/>
  <c r="AC138" i="14"/>
  <c r="AF138" i="14"/>
  <c r="AA138" i="14"/>
  <c r="AE138" i="14"/>
  <c r="Z138" i="14"/>
  <c r="AH138" i="14"/>
  <c r="AB138" i="14"/>
  <c r="AG138" i="14"/>
  <c r="AB141" i="14"/>
  <c r="Z141" i="14"/>
  <c r="AF141" i="14"/>
  <c r="AC141" i="14"/>
  <c r="AD141" i="14"/>
  <c r="AE141" i="14"/>
  <c r="AI141" i="14"/>
  <c r="AJ141" i="14"/>
  <c r="AG141" i="14"/>
  <c r="Y141" i="14"/>
  <c r="AH141" i="14"/>
  <c r="AA141" i="14"/>
  <c r="AJ107" i="14"/>
  <c r="AH107" i="14"/>
  <c r="AE107" i="14"/>
  <c r="Y107" i="14"/>
  <c r="AG107" i="14"/>
  <c r="AA107" i="14"/>
  <c r="Z107" i="14"/>
  <c r="AC107" i="14"/>
  <c r="AD107" i="14"/>
  <c r="AF107" i="14"/>
  <c r="AI107" i="14"/>
  <c r="AB107" i="14"/>
  <c r="AE109" i="14"/>
  <c r="AJ109" i="14"/>
  <c r="AD109" i="14"/>
  <c r="Y109" i="14"/>
  <c r="AI109" i="14"/>
  <c r="AB109" i="14"/>
  <c r="AF109" i="14"/>
  <c r="AG109" i="14"/>
  <c r="AH109" i="14"/>
  <c r="AC109" i="14"/>
  <c r="Z109" i="14"/>
  <c r="AA109" i="14"/>
  <c r="AG122" i="14"/>
  <c r="AE122" i="14"/>
  <c r="AB122" i="14"/>
  <c r="AI122" i="14"/>
  <c r="AC122" i="14"/>
  <c r="AD122" i="14"/>
  <c r="Z122" i="14"/>
  <c r="Y122" i="14"/>
  <c r="AH122" i="14"/>
  <c r="AA122" i="14"/>
  <c r="AF122" i="14"/>
  <c r="AJ122" i="14"/>
  <c r="M63" i="17"/>
  <c r="M77" i="17"/>
  <c r="M139" i="17"/>
  <c r="M132" i="17"/>
  <c r="M47" i="17"/>
  <c r="M107" i="17"/>
  <c r="M53" i="17"/>
  <c r="M56" i="17"/>
  <c r="M83" i="17"/>
  <c r="M80" i="17"/>
  <c r="M71" i="17"/>
  <c r="M131" i="17"/>
  <c r="M31" i="17"/>
  <c r="M35" i="17"/>
  <c r="M137" i="17"/>
  <c r="M121" i="17"/>
  <c r="M95" i="17"/>
  <c r="M27" i="17"/>
  <c r="M90" i="17"/>
  <c r="M58" i="17"/>
  <c r="M57" i="17"/>
  <c r="M65" i="17"/>
  <c r="M113" i="17"/>
  <c r="M111" i="17"/>
  <c r="M143" i="17"/>
  <c r="M46" i="17"/>
  <c r="M88" i="17"/>
  <c r="M86" i="17"/>
  <c r="M100" i="17"/>
  <c r="M75" i="17"/>
  <c r="M59" i="17"/>
  <c r="M118" i="17"/>
  <c r="M146" i="17"/>
  <c r="M119" i="17"/>
  <c r="M50" i="17"/>
  <c r="M43" i="17"/>
  <c r="M98" i="17"/>
  <c r="M101" i="17"/>
  <c r="M84" i="17"/>
  <c r="M51" i="17"/>
  <c r="M38" i="17"/>
  <c r="M66" i="17"/>
  <c r="M29" i="17"/>
  <c r="M105" i="17"/>
  <c r="M108" i="17"/>
  <c r="M72" i="17"/>
  <c r="M135" i="17"/>
  <c r="M52" i="17"/>
  <c r="M134" i="17"/>
  <c r="M122" i="17"/>
  <c r="M87" i="17"/>
  <c r="M42" i="17"/>
  <c r="M64" i="17"/>
  <c r="M102" i="17"/>
  <c r="M24" i="17"/>
  <c r="M114" i="17"/>
  <c r="M68" i="17"/>
  <c r="M91" i="17"/>
  <c r="M129" i="17"/>
  <c r="M41" i="17"/>
  <c r="M94" i="17"/>
  <c r="M140" i="17"/>
  <c r="M60" i="17"/>
  <c r="M81" i="17"/>
  <c r="M34" i="17"/>
  <c r="M25" i="17"/>
  <c r="M55" i="17"/>
  <c r="M48" i="17"/>
  <c r="M76" i="17"/>
  <c r="M124" i="17"/>
  <c r="M70" i="17"/>
  <c r="M109" i="17"/>
  <c r="M123" i="17"/>
  <c r="M97" i="17"/>
  <c r="M127" i="17"/>
  <c r="M28" i="17"/>
  <c r="M32" i="17"/>
  <c r="M62" i="17"/>
  <c r="M69" i="17"/>
  <c r="M93" i="17"/>
  <c r="M85" i="17"/>
  <c r="M36" i="17"/>
  <c r="M110" i="17"/>
  <c r="M74" i="17"/>
  <c r="M45" i="17"/>
  <c r="M141" i="17"/>
  <c r="M37" i="17"/>
  <c r="M145" i="17"/>
  <c r="M116" i="17"/>
  <c r="M99" i="17"/>
  <c r="M112" i="17"/>
  <c r="M92" i="17"/>
  <c r="M49" i="17"/>
  <c r="M96" i="17"/>
  <c r="M142" i="17"/>
  <c r="M147" i="17"/>
  <c r="M130" i="17"/>
  <c r="M125" i="17"/>
  <c r="M79" i="17"/>
  <c r="M44" i="17"/>
  <c r="M126" i="17"/>
  <c r="M33" i="17"/>
  <c r="M106" i="17"/>
  <c r="M67" i="17"/>
  <c r="M73" i="17"/>
  <c r="M144" i="17"/>
  <c r="M40" i="17"/>
  <c r="M138" i="17"/>
  <c r="M115" i="17"/>
  <c r="M54" i="17"/>
  <c r="M104" i="17"/>
  <c r="M136" i="17"/>
  <c r="M30" i="17"/>
  <c r="M26" i="17"/>
  <c r="M39" i="17"/>
  <c r="M89" i="17"/>
  <c r="M128" i="17"/>
  <c r="M78" i="17"/>
  <c r="M103" i="17"/>
  <c r="M133" i="17"/>
  <c r="M82" i="17"/>
  <c r="M61" i="17"/>
  <c r="M120" i="17"/>
  <c r="M117" i="17"/>
  <c r="J7" i="13" l="1"/>
  <c r="M7" i="13"/>
  <c r="I7" i="13"/>
  <c r="M4" i="13"/>
  <c r="M5" i="13"/>
  <c r="I5" i="13"/>
  <c r="J5" i="13"/>
  <c r="I4" i="13"/>
  <c r="J4" i="13"/>
  <c r="M3" i="13"/>
  <c r="J3" i="13"/>
  <c r="I3" i="13"/>
  <c r="P62" i="17"/>
  <c r="K63" i="17"/>
  <c r="P63" i="17" s="1"/>
  <c r="H10" i="17"/>
  <c r="I8" i="17"/>
  <c r="J8" i="17"/>
  <c r="M8" i="17"/>
  <c r="J7" i="17"/>
  <c r="I7" i="17"/>
  <c r="M7" i="17"/>
  <c r="P39" i="17"/>
  <c r="I5" i="17"/>
  <c r="M5" i="17"/>
  <c r="I3" i="17"/>
  <c r="K44" i="17"/>
  <c r="J5" i="17"/>
  <c r="P35" i="17"/>
  <c r="P37" i="17"/>
  <c r="P27" i="17"/>
  <c r="P30" i="17"/>
  <c r="P43" i="17"/>
  <c r="H6" i="17"/>
  <c r="P32" i="17"/>
  <c r="P36" i="17"/>
  <c r="M4" i="17"/>
  <c r="M3" i="17"/>
  <c r="K42" i="17"/>
  <c r="P42" i="17" s="1"/>
  <c r="K38" i="17"/>
  <c r="P38" i="17" s="1"/>
  <c r="J4" i="17"/>
  <c r="K34" i="17"/>
  <c r="K31" i="17"/>
  <c r="P31" i="17" s="1"/>
  <c r="K40" i="17"/>
  <c r="P40" i="17" s="1"/>
  <c r="K45" i="17"/>
  <c r="P45" i="17" s="1"/>
  <c r="J3" i="17"/>
  <c r="K24" i="17"/>
  <c r="K29" i="17"/>
  <c r="P29" i="17" s="1"/>
  <c r="K25" i="17"/>
  <c r="P25" i="17" s="1"/>
  <c r="K28" i="17"/>
  <c r="P28" i="17" s="1"/>
  <c r="K41" i="17"/>
  <c r="P41" i="17" s="1"/>
  <c r="I4" i="17"/>
  <c r="K33" i="17"/>
  <c r="P33" i="17" s="1"/>
  <c r="K26" i="17"/>
  <c r="P26" i="17" s="1"/>
  <c r="K87" i="17"/>
  <c r="P87" i="17" s="1"/>
  <c r="K76" i="17"/>
  <c r="K66" i="17"/>
  <c r="K86" i="17"/>
  <c r="K65" i="17"/>
  <c r="K99" i="17"/>
  <c r="P99" i="17" s="1"/>
  <c r="K77" i="17"/>
  <c r="P77" i="17" s="1"/>
  <c r="K57" i="17"/>
  <c r="P57" i="17" s="1"/>
  <c r="K109" i="17"/>
  <c r="P109" i="17" s="1"/>
  <c r="K56" i="17"/>
  <c r="K108" i="17"/>
  <c r="K98" i="17"/>
  <c r="K69" i="17"/>
  <c r="K67" i="17"/>
  <c r="K107" i="17"/>
  <c r="K70" i="17"/>
  <c r="K92" i="17"/>
  <c r="K104" i="17"/>
  <c r="K73" i="17"/>
  <c r="K110" i="17"/>
  <c r="K48" i="17"/>
  <c r="K111" i="17"/>
  <c r="K119" i="17"/>
  <c r="K89" i="17"/>
  <c r="K59" i="17"/>
  <c r="K127" i="17"/>
  <c r="K143" i="17"/>
  <c r="K54" i="17"/>
  <c r="K141" i="17"/>
  <c r="K72" i="17"/>
  <c r="K131" i="17"/>
  <c r="K102" i="17"/>
  <c r="K80" i="17"/>
  <c r="K117" i="17"/>
  <c r="K78" i="17"/>
  <c r="K84" i="17"/>
  <c r="K71" i="17"/>
  <c r="K94" i="17"/>
  <c r="K49" i="17"/>
  <c r="K128" i="17"/>
  <c r="K61" i="17"/>
  <c r="K106" i="17"/>
  <c r="K90" i="17"/>
  <c r="K93" i="17"/>
  <c r="K85" i="17"/>
  <c r="K97" i="17"/>
  <c r="K118" i="17"/>
  <c r="K112" i="17"/>
  <c r="K83" i="17"/>
  <c r="K53" i="17"/>
  <c r="K52" i="17"/>
  <c r="K81" i="17"/>
  <c r="K138" i="17"/>
  <c r="K144" i="17"/>
  <c r="K145" i="17"/>
  <c r="K146" i="17"/>
  <c r="K88" i="17"/>
  <c r="K121" i="17"/>
  <c r="K101" i="17"/>
  <c r="K133" i="17"/>
  <c r="K60" i="17"/>
  <c r="K136" i="17"/>
  <c r="K137" i="17"/>
  <c r="K75" i="17"/>
  <c r="K140" i="17"/>
  <c r="K51" i="17"/>
  <c r="K139" i="17"/>
  <c r="K114" i="17"/>
  <c r="K105" i="17"/>
  <c r="K116" i="17"/>
  <c r="K74" i="17"/>
  <c r="K142" i="17"/>
  <c r="K124" i="17"/>
  <c r="K58" i="17"/>
  <c r="K147" i="17"/>
  <c r="K64" i="17"/>
  <c r="K130" i="17"/>
  <c r="K50" i="17"/>
  <c r="K103" i="17"/>
  <c r="K135" i="17"/>
  <c r="K134" i="17"/>
  <c r="K79" i="17"/>
  <c r="K46" i="17"/>
  <c r="K95" i="17"/>
  <c r="K122" i="17"/>
  <c r="K126" i="17"/>
  <c r="K100" i="17"/>
  <c r="K68" i="17"/>
  <c r="K115" i="17"/>
  <c r="K96" i="17"/>
  <c r="K113" i="17"/>
  <c r="K55" i="17"/>
  <c r="K125" i="17"/>
  <c r="K129" i="17"/>
  <c r="K82" i="17"/>
  <c r="K47" i="17"/>
  <c r="K91" i="17"/>
  <c r="K120" i="17"/>
  <c r="K123" i="17"/>
  <c r="K132" i="17"/>
  <c r="J188" i="1"/>
  <c r="Q45" i="17"/>
  <c r="Q35" i="17"/>
  <c r="Q37" i="17"/>
  <c r="Q38" i="17"/>
  <c r="Q40" i="17"/>
  <c r="Q43" i="17"/>
  <c r="Q31" i="17"/>
  <c r="Q42" i="17"/>
  <c r="Q33" i="17"/>
  <c r="Q36" i="17"/>
  <c r="Q28" i="17"/>
  <c r="Q39" i="17"/>
  <c r="Q29" i="17"/>
  <c r="Q32" i="17"/>
  <c r="Q30" i="17"/>
  <c r="Q63" i="17"/>
  <c r="Q26" i="17"/>
  <c r="Q41" i="17"/>
  <c r="Q62" i="17"/>
  <c r="Q25" i="17"/>
  <c r="Q27" i="17"/>
  <c r="K7" i="13" l="1"/>
  <c r="P44" i="17"/>
  <c r="K5" i="13"/>
  <c r="P34" i="17"/>
  <c r="P4" i="17" s="1"/>
  <c r="K4" i="13"/>
  <c r="K3" i="13"/>
  <c r="R62" i="17"/>
  <c r="R63" i="17"/>
  <c r="H19" i="17"/>
  <c r="I10" i="17"/>
  <c r="J10" i="17"/>
  <c r="M10" i="17"/>
  <c r="K8" i="17"/>
  <c r="K7" i="17"/>
  <c r="R39" i="17"/>
  <c r="I6" i="17"/>
  <c r="J6" i="17"/>
  <c r="K5" i="17"/>
  <c r="K3" i="17"/>
  <c r="R35" i="17"/>
  <c r="R37" i="17"/>
  <c r="R27" i="17"/>
  <c r="M6" i="17"/>
  <c r="R32" i="17"/>
  <c r="R43" i="17"/>
  <c r="R30" i="17"/>
  <c r="R36" i="17"/>
  <c r="R42" i="17"/>
  <c r="R41" i="17"/>
  <c r="R25" i="17"/>
  <c r="R31" i="17"/>
  <c r="R38" i="17"/>
  <c r="R33" i="17"/>
  <c r="R40" i="17"/>
  <c r="R45" i="17"/>
  <c r="R29" i="17"/>
  <c r="P24" i="17"/>
  <c r="P3" i="13" s="1"/>
  <c r="K4" i="17"/>
  <c r="R26" i="17"/>
  <c r="R28" i="17"/>
  <c r="P78" i="17"/>
  <c r="P119" i="17"/>
  <c r="P96" i="17"/>
  <c r="P125" i="17"/>
  <c r="P115" i="17"/>
  <c r="P135" i="17"/>
  <c r="P103" i="17"/>
  <c r="P50" i="17"/>
  <c r="P146" i="17"/>
  <c r="P121" i="17"/>
  <c r="P118" i="17"/>
  <c r="P84" i="17"/>
  <c r="P140" i="17"/>
  <c r="P105" i="17"/>
  <c r="P114" i="17"/>
  <c r="P93" i="17"/>
  <c r="P74" i="17"/>
  <c r="P145" i="17"/>
  <c r="P79" i="17"/>
  <c r="P139" i="17"/>
  <c r="P97" i="17"/>
  <c r="P111" i="17"/>
  <c r="P88" i="17"/>
  <c r="P116" i="17"/>
  <c r="P134" i="17"/>
  <c r="P85" i="17"/>
  <c r="P48" i="17"/>
  <c r="P110" i="17"/>
  <c r="P51" i="17"/>
  <c r="P132" i="17"/>
  <c r="P55" i="17"/>
  <c r="P68" i="17"/>
  <c r="P113" i="17"/>
  <c r="Q145" i="17"/>
  <c r="Q85" i="17"/>
  <c r="Q109" i="17"/>
  <c r="Q118" i="17"/>
  <c r="Q87" i="17"/>
  <c r="Q74" i="17"/>
  <c r="Q119" i="17"/>
  <c r="Q93" i="17"/>
  <c r="Q146" i="17"/>
  <c r="Q134" i="17"/>
  <c r="Q88" i="17"/>
  <c r="Q77" i="17"/>
  <c r="Q24" i="17"/>
  <c r="Q96" i="17"/>
  <c r="Q114" i="17"/>
  <c r="Q34" i="17"/>
  <c r="Q110" i="17"/>
  <c r="Q113" i="17"/>
  <c r="Q57" i="17"/>
  <c r="Q116" i="17"/>
  <c r="Q132" i="17"/>
  <c r="Q51" i="17"/>
  <c r="Q50" i="17"/>
  <c r="Q111" i="17"/>
  <c r="Q115" i="17"/>
  <c r="Q78" i="17"/>
  <c r="Q44" i="17"/>
  <c r="Q103" i="17"/>
  <c r="Q55" i="17"/>
  <c r="Q99" i="17"/>
  <c r="Q68" i="17"/>
  <c r="Q125" i="17"/>
  <c r="Q79" i="17"/>
  <c r="Q84" i="17"/>
  <c r="M23" i="17"/>
  <c r="Q105" i="17"/>
  <c r="Q139" i="17"/>
  <c r="Q121" i="17"/>
  <c r="Q48" i="17"/>
  <c r="Q135" i="17"/>
  <c r="Q97" i="17"/>
  <c r="Q140" i="17"/>
  <c r="Q4" i="13" l="1"/>
  <c r="R34" i="17"/>
  <c r="R4" i="13" s="1"/>
  <c r="Q4" i="17"/>
  <c r="R44" i="17"/>
  <c r="P4" i="13"/>
  <c r="Q3" i="13"/>
  <c r="P3" i="17"/>
  <c r="I19" i="17"/>
  <c r="K10" i="17"/>
  <c r="M19" i="17"/>
  <c r="M262" i="17" s="1"/>
  <c r="J19" i="17"/>
  <c r="K6" i="17"/>
  <c r="Q3" i="17"/>
  <c r="R24" i="17"/>
  <c r="R3" i="13" s="1"/>
  <c r="P100" i="17"/>
  <c r="P70" i="17"/>
  <c r="P101" i="17"/>
  <c r="P72" i="17"/>
  <c r="P127" i="17"/>
  <c r="P128" i="17"/>
  <c r="P23" i="17"/>
  <c r="P67" i="17"/>
  <c r="P54" i="17"/>
  <c r="P95" i="17"/>
  <c r="P90" i="17"/>
  <c r="P120" i="17"/>
  <c r="P138" i="17"/>
  <c r="P52" i="17"/>
  <c r="P46" i="17"/>
  <c r="P75" i="17"/>
  <c r="P122" i="17"/>
  <c r="P61" i="17"/>
  <c r="P81" i="17"/>
  <c r="P80" i="17"/>
  <c r="P106" i="17"/>
  <c r="P131" i="17"/>
  <c r="P112" i="17"/>
  <c r="P83" i="17"/>
  <c r="P59" i="17"/>
  <c r="P142" i="17"/>
  <c r="P69" i="17"/>
  <c r="P94" i="17"/>
  <c r="P58" i="17"/>
  <c r="P123" i="17"/>
  <c r="P92" i="17"/>
  <c r="P126" i="17"/>
  <c r="P129" i="17"/>
  <c r="P89" i="17"/>
  <c r="P60" i="17"/>
  <c r="P76" i="17"/>
  <c r="P130" i="17"/>
  <c r="P66" i="17"/>
  <c r="P104" i="17"/>
  <c r="P137" i="17"/>
  <c r="P86" i="17"/>
  <c r="P82" i="17"/>
  <c r="P117" i="17"/>
  <c r="P98" i="17"/>
  <c r="P56" i="17"/>
  <c r="P102" i="17"/>
  <c r="P141" i="17"/>
  <c r="P108" i="17"/>
  <c r="P53" i="17"/>
  <c r="P124" i="17"/>
  <c r="P65" i="17"/>
  <c r="P49" i="17"/>
  <c r="P143" i="17"/>
  <c r="P47" i="17"/>
  <c r="P91" i="17"/>
  <c r="P144" i="17"/>
  <c r="P133" i="17"/>
  <c r="P73" i="17"/>
  <c r="P147" i="17"/>
  <c r="P71" i="17"/>
  <c r="P64" i="17"/>
  <c r="P136" i="17"/>
  <c r="P107" i="17"/>
  <c r="R74" i="17"/>
  <c r="R103" i="17"/>
  <c r="R132" i="17"/>
  <c r="R84" i="17"/>
  <c r="R134" i="17"/>
  <c r="R119" i="17"/>
  <c r="R125" i="17"/>
  <c r="R135" i="17"/>
  <c r="R139" i="17"/>
  <c r="R85" i="17"/>
  <c r="R145" i="17"/>
  <c r="R146" i="17"/>
  <c r="R50" i="17"/>
  <c r="R111" i="17"/>
  <c r="R118" i="17"/>
  <c r="R51" i="17"/>
  <c r="R105" i="17"/>
  <c r="R116" i="17"/>
  <c r="R68" i="17"/>
  <c r="R99" i="17"/>
  <c r="R87" i="17"/>
  <c r="R114" i="17"/>
  <c r="R79" i="17"/>
  <c r="R77" i="17"/>
  <c r="R121" i="17"/>
  <c r="R115" i="17"/>
  <c r="R78" i="17"/>
  <c r="R55" i="17"/>
  <c r="R48" i="17"/>
  <c r="R88" i="17"/>
  <c r="R57" i="17"/>
  <c r="R109" i="17"/>
  <c r="R96" i="17"/>
  <c r="R140" i="17"/>
  <c r="R110" i="17"/>
  <c r="R97" i="17"/>
  <c r="R93" i="17"/>
  <c r="R113" i="17"/>
  <c r="D34" i="4"/>
  <c r="E34" i="4" s="1"/>
  <c r="V453" i="14"/>
  <c r="V454" i="14"/>
  <c r="Q52" i="17"/>
  <c r="Q128" i="17"/>
  <c r="Q144" i="17"/>
  <c r="Q106" i="17"/>
  <c r="Q142" i="17"/>
  <c r="Q56" i="17"/>
  <c r="Q122" i="17"/>
  <c r="Q90" i="17"/>
  <c r="Q64" i="17"/>
  <c r="Q108" i="17"/>
  <c r="Q86" i="17"/>
  <c r="Q98" i="17"/>
  <c r="Q112" i="17"/>
  <c r="Q53" i="17"/>
  <c r="Q49" i="17"/>
  <c r="Q94" i="17"/>
  <c r="Q141" i="17"/>
  <c r="Q127" i="17"/>
  <c r="Q123" i="17"/>
  <c r="Q81" i="17"/>
  <c r="Q131" i="17"/>
  <c r="Q89" i="17"/>
  <c r="Q65" i="17"/>
  <c r="Q126" i="17"/>
  <c r="Q133" i="17"/>
  <c r="Q120" i="17"/>
  <c r="Q92" i="17"/>
  <c r="Q73" i="17"/>
  <c r="Q61" i="17"/>
  <c r="Q95" i="17"/>
  <c r="Q91" i="17"/>
  <c r="Q60" i="17"/>
  <c r="Q138" i="17"/>
  <c r="Q100" i="17"/>
  <c r="Q54" i="17"/>
  <c r="Q58" i="17"/>
  <c r="Q75" i="17"/>
  <c r="Q101" i="17"/>
  <c r="Q102" i="17"/>
  <c r="Q130" i="17"/>
  <c r="Q66" i="17"/>
  <c r="Q47" i="17"/>
  <c r="Q59" i="17"/>
  <c r="Q136" i="17"/>
  <c r="Q117" i="17"/>
  <c r="Q104" i="17"/>
  <c r="Q23" i="17"/>
  <c r="Q129" i="17"/>
  <c r="Q46" i="17"/>
  <c r="Q83" i="17"/>
  <c r="Q124" i="17"/>
  <c r="Q107" i="17"/>
  <c r="Q137" i="17"/>
  <c r="Q67" i="17"/>
  <c r="Q143" i="17"/>
  <c r="Q82" i="17"/>
  <c r="Q147" i="17"/>
  <c r="Q76" i="17"/>
  <c r="Q80" i="17"/>
  <c r="Q7" i="13" l="1"/>
  <c r="P7" i="13"/>
  <c r="P5" i="13"/>
  <c r="Q5" i="13"/>
  <c r="R4" i="17"/>
  <c r="R3" i="17"/>
  <c r="P8" i="17"/>
  <c r="K19" i="17"/>
  <c r="Q8" i="17"/>
  <c r="P7" i="17"/>
  <c r="Q7" i="17"/>
  <c r="P5" i="17"/>
  <c r="P6" i="17" s="1"/>
  <c r="Q5" i="17"/>
  <c r="R73" i="17"/>
  <c r="R127" i="17"/>
  <c r="R126" i="17"/>
  <c r="R136" i="17"/>
  <c r="R95" i="17"/>
  <c r="R130" i="17"/>
  <c r="R94" i="17"/>
  <c r="R91" i="17"/>
  <c r="R138" i="17"/>
  <c r="R69" i="17"/>
  <c r="R71" i="17"/>
  <c r="R52" i="17"/>
  <c r="R92" i="17"/>
  <c r="R102" i="17"/>
  <c r="R82" i="17"/>
  <c r="R80" i="17"/>
  <c r="R53" i="17"/>
  <c r="R137" i="17"/>
  <c r="R23" i="17"/>
  <c r="R101" i="17"/>
  <c r="R133" i="17"/>
  <c r="R122" i="17"/>
  <c r="R60" i="17"/>
  <c r="R66" i="17"/>
  <c r="R129" i="17"/>
  <c r="R90" i="17"/>
  <c r="R58" i="17"/>
  <c r="R147" i="17"/>
  <c r="R106" i="17"/>
  <c r="R143" i="17"/>
  <c r="R108" i="17"/>
  <c r="R67" i="17"/>
  <c r="R47" i="17"/>
  <c r="R128" i="17"/>
  <c r="R59" i="17"/>
  <c r="R98" i="17"/>
  <c r="R107" i="17"/>
  <c r="R144" i="17"/>
  <c r="R56" i="17"/>
  <c r="R54" i="17"/>
  <c r="R112" i="17"/>
  <c r="R81" i="17"/>
  <c r="R141" i="17"/>
  <c r="R89" i="17"/>
  <c r="R131" i="17"/>
  <c r="R61" i="17"/>
  <c r="R124" i="17"/>
  <c r="R117" i="17"/>
  <c r="R120" i="17"/>
  <c r="R76" i="17"/>
  <c r="R142" i="17"/>
  <c r="R65" i="17"/>
  <c r="R104" i="17"/>
  <c r="R123" i="17"/>
  <c r="R75" i="17"/>
  <c r="R64" i="17"/>
  <c r="R83" i="17"/>
  <c r="R46" i="17"/>
  <c r="R86" i="17"/>
  <c r="R100" i="17"/>
  <c r="R49" i="17"/>
  <c r="D111" i="4"/>
  <c r="D110" i="4" s="1"/>
  <c r="E110" i="4" s="1"/>
  <c r="Q72" i="17"/>
  <c r="Q70" i="17"/>
  <c r="R7" i="13" l="1"/>
  <c r="R5" i="13"/>
  <c r="P10" i="17"/>
  <c r="P19" i="17" s="1"/>
  <c r="R8" i="17"/>
  <c r="Q10" i="17"/>
  <c r="R7" i="17"/>
  <c r="R5" i="17"/>
  <c r="R6" i="17" s="1"/>
  <c r="Q6" i="17"/>
  <c r="R72" i="17"/>
  <c r="R70" i="17"/>
  <c r="V475" i="14"/>
  <c r="Q19" i="17" l="1"/>
  <c r="R10" i="17"/>
  <c r="R19" i="17" s="1"/>
  <c r="H34" i="2"/>
  <c r="C34" i="2"/>
  <c r="R262" i="17" l="1"/>
  <c r="J262" i="17" s="1"/>
  <c r="C90" i="2"/>
  <c r="C325" i="2" s="1"/>
  <c r="A325" i="2" s="1"/>
  <c r="A34" i="2"/>
  <c r="A58" i="2" s="1"/>
  <c r="A89" i="2" s="1"/>
  <c r="A111" i="2" s="1"/>
  <c r="A143" i="2" s="1"/>
  <c r="A173" i="2" s="1"/>
  <c r="A204" i="2" s="1"/>
  <c r="A226" i="2" s="1"/>
  <c r="A252" i="2" s="1"/>
  <c r="A276" i="2" s="1"/>
  <c r="A301" i="2" s="1"/>
  <c r="A323" i="2" s="1"/>
  <c r="H58" i="2"/>
  <c r="H90" i="2" s="1"/>
  <c r="H325" i="2" l="1"/>
  <c r="E7" i="3"/>
  <c r="E17" i="3" s="1"/>
  <c r="F7" i="3"/>
  <c r="G7" i="3" l="1"/>
  <c r="F17" i="3"/>
  <c r="G17" i="3" l="1"/>
  <c r="E12" i="4" l="1"/>
  <c r="V448" i="14" l="1"/>
  <c r="V72" i="14" l="1"/>
  <c r="V74" i="14"/>
  <c r="V70" i="14" l="1"/>
  <c r="X80" i="14"/>
  <c r="V80" i="14"/>
  <c r="V78" i="14"/>
  <c r="X78" i="14"/>
  <c r="V69" i="14"/>
  <c r="X69" i="14"/>
  <c r="X79" i="14"/>
  <c r="V79" i="14"/>
  <c r="V71" i="14"/>
  <c r="X77" i="14"/>
  <c r="V77" i="14"/>
  <c r="V76" i="14"/>
  <c r="X76" i="14"/>
  <c r="J30" i="14" l="1"/>
  <c r="G30" i="14" l="1"/>
  <c r="L30" i="14" s="1"/>
  <c r="H30" i="14"/>
  <c r="I30" i="14" s="1"/>
  <c r="T30" i="14" l="1"/>
  <c r="N30" i="14"/>
  <c r="W33" i="6"/>
  <c r="X140" i="6"/>
  <c r="W44" i="6"/>
  <c r="X138" i="6"/>
  <c r="W6" i="6"/>
  <c r="A363" i="14"/>
  <c r="X117" i="6"/>
  <c r="X55" i="6"/>
  <c r="X75" i="6"/>
  <c r="W104" i="6"/>
  <c r="A440" i="14"/>
  <c r="W45" i="6"/>
  <c r="A201" i="14"/>
  <c r="W139" i="6"/>
  <c r="X104" i="6"/>
  <c r="A232" i="14"/>
  <c r="A353" i="14"/>
  <c r="X34" i="6"/>
  <c r="X79" i="6"/>
  <c r="W76" i="6"/>
  <c r="A50" i="14"/>
  <c r="A23" i="14"/>
  <c r="A229" i="14"/>
  <c r="X7" i="6"/>
  <c r="A53" i="14"/>
  <c r="A482" i="14"/>
  <c r="A397" i="14"/>
  <c r="X112" i="6"/>
  <c r="A234" i="14"/>
  <c r="A383" i="14"/>
  <c r="A275" i="14"/>
  <c r="W39" i="6"/>
  <c r="A430" i="14"/>
  <c r="A385" i="14"/>
  <c r="W42" i="6"/>
  <c r="A262" i="14"/>
  <c r="W130" i="6"/>
  <c r="A30" i="14"/>
  <c r="X63" i="6"/>
  <c r="A465" i="14"/>
  <c r="X30" i="6"/>
  <c r="A215" i="14"/>
  <c r="W93" i="6"/>
  <c r="A421" i="14"/>
  <c r="A473" i="14"/>
  <c r="A420" i="14"/>
  <c r="A171" i="14"/>
  <c r="A428" i="14"/>
  <c r="X41" i="6"/>
  <c r="W94" i="6"/>
  <c r="X20" i="6"/>
  <c r="W128" i="6"/>
  <c r="X38" i="6"/>
  <c r="X116" i="6"/>
  <c r="A390" i="14"/>
  <c r="A401" i="14"/>
  <c r="A83" i="14"/>
  <c r="A49" i="14"/>
  <c r="W98" i="6"/>
  <c r="A230" i="14"/>
  <c r="X14" i="6"/>
  <c r="A40" i="14"/>
  <c r="W100" i="6"/>
  <c r="X11" i="6"/>
  <c r="X35" i="6"/>
  <c r="A189" i="14"/>
  <c r="A46" i="14"/>
  <c r="A436" i="14"/>
  <c r="W99" i="6"/>
  <c r="W9" i="6"/>
  <c r="A290" i="14"/>
  <c r="W31" i="6"/>
  <c r="A410" i="14"/>
  <c r="W122" i="6"/>
  <c r="A228" i="14"/>
  <c r="X113" i="6"/>
  <c r="W131" i="6"/>
  <c r="W59" i="6"/>
  <c r="A188" i="14"/>
  <c r="X57" i="6"/>
  <c r="X16" i="6"/>
  <c r="X50" i="6"/>
  <c r="A403" i="14"/>
  <c r="X6" i="6"/>
  <c r="A443" i="14"/>
  <c r="W84" i="6"/>
  <c r="A470" i="14"/>
  <c r="X95" i="6"/>
  <c r="A399" i="14"/>
  <c r="A33" i="14"/>
  <c r="A395" i="14"/>
  <c r="A192" i="14"/>
  <c r="W107" i="6"/>
  <c r="X39" i="6"/>
  <c r="W83" i="6"/>
  <c r="A466" i="14"/>
  <c r="A346" i="14"/>
  <c r="A208" i="14"/>
  <c r="A223" i="14"/>
  <c r="A458" i="14"/>
  <c r="A279" i="14"/>
  <c r="W32" i="6"/>
  <c r="X94" i="6"/>
  <c r="A58" i="14"/>
  <c r="W26" i="6"/>
  <c r="A456" i="14"/>
  <c r="A273" i="14"/>
  <c r="A38" i="14"/>
  <c r="X82" i="6"/>
  <c r="W75" i="6"/>
  <c r="A460" i="14"/>
  <c r="W115" i="6"/>
  <c r="A166" i="14"/>
  <c r="W64" i="6"/>
  <c r="A157" i="14"/>
  <c r="W124" i="6"/>
  <c r="A32" i="14"/>
  <c r="A227" i="14"/>
  <c r="W55" i="6"/>
  <c r="X68" i="6"/>
  <c r="W101" i="6"/>
  <c r="A286" i="14"/>
  <c r="X28" i="6"/>
  <c r="A429" i="14"/>
  <c r="A352" i="14"/>
  <c r="A289" i="14"/>
  <c r="A481" i="14"/>
  <c r="W23" i="6"/>
  <c r="A434" i="14"/>
  <c r="A205" i="14"/>
  <c r="X66" i="6"/>
  <c r="A31" i="14"/>
  <c r="X33" i="6"/>
  <c r="A412" i="14"/>
  <c r="W110" i="6"/>
  <c r="W15" i="6"/>
  <c r="X67" i="6"/>
  <c r="A469" i="14"/>
  <c r="A278" i="14"/>
  <c r="X91" i="6"/>
  <c r="A382" i="14"/>
  <c r="A455" i="14"/>
  <c r="A345" i="14"/>
  <c r="A269" i="14"/>
  <c r="A251" i="14"/>
  <c r="A437" i="14"/>
  <c r="A197" i="14"/>
  <c r="A165" i="14"/>
  <c r="W54" i="6"/>
  <c r="A441" i="14"/>
  <c r="A354" i="14"/>
  <c r="W13" i="6"/>
  <c r="W113" i="6"/>
  <c r="X126" i="6"/>
  <c r="A237" i="14"/>
  <c r="A389" i="14"/>
  <c r="X58" i="6"/>
  <c r="A386" i="14"/>
  <c r="X45" i="6"/>
  <c r="X37" i="6"/>
  <c r="X18" i="6"/>
  <c r="A344" i="14"/>
  <c r="W16" i="6"/>
  <c r="W52" i="6"/>
  <c r="A202" i="14"/>
  <c r="A435" i="14"/>
  <c r="A349" i="14"/>
  <c r="A216" i="14"/>
  <c r="X103" i="6"/>
  <c r="X128" i="6"/>
  <c r="A343" i="14"/>
  <c r="W17" i="6"/>
  <c r="A364" i="14"/>
  <c r="A281" i="14"/>
  <c r="A409" i="14"/>
  <c r="A445" i="14"/>
  <c r="W92" i="6"/>
  <c r="W90" i="6"/>
  <c r="W120" i="6"/>
  <c r="W61" i="6"/>
  <c r="A44" i="14"/>
  <c r="A483" i="14"/>
  <c r="X44" i="6"/>
  <c r="A381" i="14"/>
  <c r="X15" i="6"/>
  <c r="X31" i="6"/>
  <c r="W57" i="6"/>
  <c r="A174" i="14"/>
  <c r="A47" i="14"/>
  <c r="W12" i="6"/>
  <c r="A233" i="14"/>
  <c r="W81" i="6"/>
  <c r="A462" i="14"/>
  <c r="A183" i="14"/>
  <c r="A217" i="14"/>
  <c r="W133" i="6"/>
  <c r="X52" i="6"/>
  <c r="X42" i="6"/>
  <c r="W118" i="6"/>
  <c r="X109" i="6"/>
  <c r="A480" i="14"/>
  <c r="X131" i="6"/>
  <c r="X13" i="6"/>
  <c r="A212" i="14"/>
  <c r="W105" i="6"/>
  <c r="X119" i="6"/>
  <c r="A178" i="14"/>
  <c r="A207" i="14"/>
  <c r="A427" i="14"/>
  <c r="X46" i="6"/>
  <c r="X123" i="6"/>
  <c r="A487" i="14"/>
  <c r="W68" i="6"/>
  <c r="A416" i="14"/>
  <c r="A467" i="14"/>
  <c r="X118" i="6"/>
  <c r="W22" i="6"/>
  <c r="A431" i="14"/>
  <c r="W35" i="6"/>
  <c r="A198" i="14"/>
  <c r="W123" i="6"/>
  <c r="W95" i="6"/>
  <c r="A196" i="14"/>
  <c r="W21" i="6"/>
  <c r="A263" i="14"/>
  <c r="W86" i="6"/>
  <c r="X114" i="6"/>
  <c r="A425" i="14"/>
  <c r="W106" i="6"/>
  <c r="A459" i="14"/>
  <c r="W85" i="6"/>
  <c r="A365" i="14"/>
  <c r="W65" i="6"/>
  <c r="A398" i="14"/>
  <c r="A155" i="14"/>
  <c r="X87" i="6"/>
  <c r="X10" i="6"/>
  <c r="W40" i="6"/>
  <c r="W103" i="6"/>
  <c r="A351" i="14"/>
  <c r="W125" i="6"/>
  <c r="W25" i="6"/>
  <c r="A384" i="14"/>
  <c r="X134" i="6"/>
  <c r="A231" i="14"/>
  <c r="A439" i="14"/>
  <c r="A432" i="14"/>
  <c r="W74" i="6"/>
  <c r="X49" i="6"/>
  <c r="X56" i="6"/>
  <c r="A474" i="14"/>
  <c r="A413" i="14"/>
  <c r="X64" i="6"/>
  <c r="A342" i="14"/>
  <c r="X129" i="6"/>
  <c r="W121" i="6"/>
  <c r="W28" i="6"/>
  <c r="A194" i="14"/>
  <c r="X17" i="6"/>
  <c r="W132" i="6"/>
  <c r="A48" i="14"/>
  <c r="A45" i="14"/>
  <c r="W41" i="6"/>
  <c r="W116" i="6"/>
  <c r="A463" i="14"/>
  <c r="W88" i="6"/>
  <c r="A452" i="14"/>
  <c r="A193" i="14"/>
  <c r="A438" i="14"/>
  <c r="A276" i="14"/>
  <c r="X24" i="6"/>
  <c r="A181" i="14"/>
  <c r="A156" i="14"/>
  <c r="A449" i="14"/>
  <c r="A250" i="14"/>
  <c r="A347" i="14"/>
  <c r="X9" i="6"/>
  <c r="W38" i="6"/>
  <c r="A415" i="14"/>
  <c r="W67" i="6"/>
  <c r="A158" i="14"/>
  <c r="A191" i="14"/>
  <c r="A444" i="14"/>
  <c r="A169" i="14"/>
  <c r="W78" i="6"/>
  <c r="X99" i="6"/>
  <c r="W109" i="6"/>
  <c r="X78" i="6"/>
  <c r="X71" i="6"/>
  <c r="A210" i="14"/>
  <c r="A280" i="14"/>
  <c r="A350" i="14"/>
  <c r="A450" i="14"/>
  <c r="W14" i="6"/>
  <c r="X96" i="6"/>
  <c r="X60" i="6"/>
  <c r="W63" i="6"/>
  <c r="W69" i="6"/>
  <c r="A288" i="14"/>
  <c r="A484" i="14"/>
  <c r="W119" i="6"/>
  <c r="X133" i="6"/>
  <c r="X32" i="6"/>
  <c r="A162" i="14"/>
  <c r="X105" i="6"/>
  <c r="A182" i="14"/>
  <c r="W111" i="6"/>
  <c r="A394" i="14"/>
  <c r="W91" i="6"/>
  <c r="A186" i="14"/>
  <c r="A411" i="14"/>
  <c r="W30" i="6"/>
  <c r="A291" i="14"/>
  <c r="A177" i="14"/>
  <c r="A225" i="14"/>
  <c r="A163" i="14"/>
  <c r="A187" i="14"/>
  <c r="A173" i="14"/>
  <c r="A200" i="14"/>
  <c r="A393" i="14"/>
  <c r="A287" i="14"/>
  <c r="X127" i="6"/>
  <c r="A235" i="14"/>
  <c r="A184" i="14"/>
  <c r="A221" i="14"/>
  <c r="A218" i="14"/>
  <c r="A164" i="14"/>
  <c r="W27" i="6"/>
  <c r="X54" i="6"/>
  <c r="A270" i="14"/>
  <c r="W7" i="6"/>
  <c r="A293" i="14"/>
  <c r="A179" i="14"/>
  <c r="X8" i="6"/>
  <c r="A28" i="14"/>
  <c r="A355" i="14"/>
  <c r="A284" i="14"/>
  <c r="A457" i="14"/>
  <c r="X85" i="6"/>
  <c r="X61" i="6"/>
  <c r="X21" i="6"/>
  <c r="W138" i="6"/>
  <c r="A285" i="14"/>
  <c r="A219" i="14"/>
  <c r="A426" i="14"/>
  <c r="A39" i="14"/>
  <c r="X122" i="6"/>
  <c r="X5" i="6"/>
  <c r="A54" i="14"/>
  <c r="X83" i="6"/>
  <c r="W77" i="6"/>
  <c r="X73" i="6"/>
  <c r="X97" i="6"/>
  <c r="X81" i="6"/>
  <c r="W29" i="6"/>
  <c r="W89" i="6"/>
  <c r="A56" i="14"/>
  <c r="X125" i="6"/>
  <c r="X88" i="6"/>
  <c r="W117" i="6"/>
  <c r="W136" i="6"/>
  <c r="X23" i="6"/>
  <c r="X47" i="6"/>
  <c r="W72" i="6"/>
  <c r="X62" i="6"/>
  <c r="X43" i="6"/>
  <c r="W140" i="6"/>
  <c r="A214" i="14"/>
  <c r="A41" i="14"/>
  <c r="A392" i="14"/>
  <c r="A400" i="14"/>
  <c r="A464" i="14"/>
  <c r="W137" i="6"/>
  <c r="X86" i="6"/>
  <c r="X98" i="6"/>
  <c r="A451" i="14"/>
  <c r="A35" i="14"/>
  <c r="X84" i="6"/>
  <c r="X107" i="6"/>
  <c r="W97" i="6"/>
  <c r="A447" i="14"/>
  <c r="W134" i="6"/>
  <c r="A203" i="14"/>
  <c r="W43" i="6"/>
  <c r="X124" i="6"/>
  <c r="A292" i="14"/>
  <c r="A52" i="14"/>
  <c r="W37" i="6"/>
  <c r="A195" i="14"/>
  <c r="X90" i="6"/>
  <c r="A42" i="14"/>
  <c r="A283" i="14"/>
  <c r="A51" i="14"/>
  <c r="A36" i="14"/>
  <c r="X80" i="6"/>
  <c r="A418" i="14"/>
  <c r="X132" i="6"/>
  <c r="A419" i="14"/>
  <c r="A43" i="14"/>
  <c r="A486" i="14"/>
  <c r="A204" i="14"/>
  <c r="A404" i="14"/>
  <c r="A170" i="14"/>
  <c r="X22" i="6"/>
  <c r="W36" i="6"/>
  <c r="W18" i="6"/>
  <c r="A37" i="14"/>
  <c r="A406" i="14"/>
  <c r="W49" i="6"/>
  <c r="A402" i="14"/>
  <c r="W46" i="6"/>
  <c r="W62" i="6"/>
  <c r="X89" i="6"/>
  <c r="W108" i="6"/>
  <c r="X27" i="6"/>
  <c r="W58" i="6"/>
  <c r="A387" i="14"/>
  <c r="W135" i="6"/>
  <c r="W126" i="6"/>
  <c r="A180" i="14"/>
  <c r="X76" i="6"/>
  <c r="W50" i="6"/>
  <c r="A348" i="14"/>
  <c r="W73" i="6"/>
  <c r="X135" i="6"/>
  <c r="W70" i="6"/>
  <c r="X110" i="6"/>
  <c r="A222" i="14"/>
  <c r="X26" i="6"/>
  <c r="W127" i="6"/>
  <c r="X12" i="6"/>
  <c r="A408" i="14"/>
  <c r="X130" i="6"/>
  <c r="A282" i="14"/>
  <c r="A271" i="14"/>
  <c r="X121" i="6"/>
  <c r="A407" i="14"/>
  <c r="X69" i="6"/>
  <c r="A414" i="14"/>
  <c r="A485" i="14"/>
  <c r="W56" i="6"/>
  <c r="W60" i="6"/>
  <c r="A213" i="14"/>
  <c r="A274" i="14"/>
  <c r="A226" i="14"/>
  <c r="A190" i="14"/>
  <c r="X70" i="6"/>
  <c r="W11" i="6"/>
  <c r="A160" i="14"/>
  <c r="W20" i="6"/>
  <c r="X111" i="6"/>
  <c r="W114" i="6"/>
  <c r="X115" i="6"/>
  <c r="A185" i="14"/>
  <c r="X120" i="6"/>
  <c r="W8" i="6"/>
  <c r="A479" i="14"/>
  <c r="A176" i="14"/>
  <c r="A379" i="14"/>
  <c r="A277" i="14"/>
  <c r="W87" i="6"/>
  <c r="A220" i="14"/>
  <c r="X139" i="6"/>
  <c r="A371" i="14"/>
  <c r="W24" i="6"/>
  <c r="A446" i="14"/>
  <c r="A388" i="14"/>
  <c r="W53" i="6"/>
  <c r="W34" i="6"/>
  <c r="X53" i="6"/>
  <c r="A372" i="14"/>
  <c r="X59" i="6"/>
  <c r="A373" i="14"/>
  <c r="A422" i="14"/>
  <c r="A391" i="14"/>
  <c r="W5" i="6"/>
  <c r="W80" i="6"/>
  <c r="A272" i="14"/>
  <c r="A380" i="14"/>
  <c r="A224" i="14"/>
  <c r="A357" i="14"/>
  <c r="A477" i="14"/>
  <c r="X72" i="6"/>
  <c r="W66" i="6"/>
  <c r="W79" i="6"/>
  <c r="X137" i="6"/>
  <c r="W96" i="6"/>
  <c r="A161" i="14"/>
  <c r="W82" i="6"/>
  <c r="X101" i="6"/>
  <c r="A211" i="14"/>
  <c r="X106" i="6"/>
  <c r="A424" i="14"/>
  <c r="A472" i="14"/>
  <c r="X77" i="6"/>
  <c r="A236" i="14"/>
  <c r="A199" i="14"/>
  <c r="A175" i="14"/>
  <c r="X48" i="6"/>
  <c r="A356" i="14"/>
  <c r="X136" i="6"/>
  <c r="A159" i="14"/>
  <c r="A405" i="14"/>
  <c r="X25" i="6"/>
  <c r="W102" i="6"/>
  <c r="A396" i="14"/>
  <c r="A168" i="14"/>
  <c r="X92" i="6"/>
  <c r="X102" i="6"/>
  <c r="X93" i="6"/>
  <c r="A172" i="14"/>
  <c r="X36" i="6"/>
  <c r="A471" i="14"/>
  <c r="X65" i="6"/>
  <c r="W112" i="6"/>
  <c r="A442" i="14"/>
  <c r="A24" i="14"/>
  <c r="W47" i="6"/>
  <c r="X74" i="6"/>
  <c r="A370" i="14"/>
  <c r="X29" i="6"/>
  <c r="W48" i="6"/>
  <c r="W71" i="6"/>
  <c r="A209" i="14"/>
  <c r="W129" i="6"/>
  <c r="A206" i="14"/>
  <c r="A167" i="14"/>
  <c r="X40" i="6"/>
  <c r="X100" i="6"/>
  <c r="X108" i="6"/>
  <c r="A417" i="14"/>
  <c r="A57" i="14"/>
  <c r="A85" i="14"/>
  <c r="A91" i="14"/>
  <c r="A131" i="14"/>
  <c r="A116" i="14"/>
  <c r="A124" i="14"/>
  <c r="A90" i="14"/>
  <c r="A89" i="14"/>
  <c r="A82" i="14"/>
  <c r="A104" i="14"/>
  <c r="A94" i="14"/>
  <c r="A114" i="14"/>
  <c r="A88" i="14"/>
  <c r="A99" i="14"/>
  <c r="A62" i="14"/>
  <c r="M30" i="14"/>
  <c r="A61" i="14"/>
  <c r="A145" i="14"/>
  <c r="A129" i="14"/>
  <c r="A137" i="14"/>
  <c r="A95" i="14"/>
  <c r="A142" i="14"/>
  <c r="A93" i="14"/>
  <c r="A63" i="14"/>
  <c r="A147" i="14"/>
  <c r="A136" i="14"/>
  <c r="A123" i="14"/>
  <c r="A110" i="14"/>
  <c r="A148" i="14"/>
  <c r="A59" i="14"/>
  <c r="A102" i="14"/>
  <c r="A120" i="14"/>
  <c r="A150" i="14"/>
  <c r="A66" i="14"/>
  <c r="A138" i="14"/>
  <c r="A81" i="14"/>
  <c r="A60" i="14"/>
  <c r="A67" i="14"/>
  <c r="A106" i="14"/>
  <c r="A96" i="14"/>
  <c r="A84" i="14"/>
  <c r="A105" i="14"/>
  <c r="A55" i="14"/>
  <c r="A119" i="14"/>
  <c r="A133" i="14"/>
  <c r="A122" i="14"/>
  <c r="A107" i="14"/>
  <c r="A64" i="14"/>
  <c r="A117" i="14"/>
  <c r="A109" i="14"/>
  <c r="A135" i="14"/>
  <c r="A121" i="14"/>
  <c r="A86" i="14"/>
  <c r="A149" i="14"/>
  <c r="A130" i="14"/>
  <c r="A151" i="14"/>
  <c r="A103" i="14"/>
  <c r="A87" i="14"/>
  <c r="A68" i="14"/>
  <c r="A97" i="14"/>
  <c r="A100" i="14"/>
  <c r="A139" i="14"/>
  <c r="A92" i="14"/>
  <c r="A127" i="14"/>
  <c r="A65" i="14"/>
  <c r="A126" i="14"/>
  <c r="A101" i="14"/>
  <c r="A113" i="14"/>
  <c r="A125" i="14"/>
  <c r="A132" i="14"/>
  <c r="A108" i="14"/>
  <c r="A143" i="14"/>
  <c r="A118" i="14"/>
  <c r="A144" i="14"/>
  <c r="A112" i="14"/>
  <c r="A140" i="14"/>
  <c r="A134" i="14"/>
  <c r="A115" i="14"/>
  <c r="A141" i="14"/>
  <c r="A128" i="14"/>
  <c r="A111" i="14"/>
  <c r="A98" i="14"/>
  <c r="A146" i="14"/>
  <c r="V431" i="14" l="1"/>
  <c r="V372" i="14"/>
  <c r="V479" i="14"/>
  <c r="V106" i="14"/>
  <c r="V384" i="14"/>
  <c r="V41" i="14"/>
  <c r="V149" i="14"/>
  <c r="X149" i="14"/>
  <c r="V97" i="14"/>
  <c r="X125" i="14"/>
  <c r="V125" i="14"/>
  <c r="V407" i="14"/>
  <c r="X55" i="14"/>
  <c r="V55" i="14"/>
  <c r="V383" i="14"/>
  <c r="V419" i="14"/>
  <c r="V444" i="14"/>
  <c r="V54" i="14"/>
  <c r="V118" i="14"/>
  <c r="X118" i="14"/>
  <c r="V35" i="14"/>
  <c r="V83" i="14"/>
  <c r="V31" i="14"/>
  <c r="X112" i="14"/>
  <c r="V112" i="14"/>
  <c r="V107" i="14"/>
  <c r="V382" i="14"/>
  <c r="V116" i="14"/>
  <c r="V458" i="14"/>
  <c r="O30" i="14"/>
  <c r="Q30" i="14" s="1"/>
  <c r="V38" i="14"/>
  <c r="X38" i="14"/>
  <c r="X143" i="14"/>
  <c r="V143" i="14"/>
  <c r="X67" i="14"/>
  <c r="V67" i="14"/>
  <c r="V85" i="14"/>
  <c r="V473" i="14"/>
  <c r="X60" i="14"/>
  <c r="V60" i="14"/>
  <c r="V51" i="14"/>
  <c r="V388" i="14"/>
  <c r="V62" i="14"/>
  <c r="V115" i="14"/>
  <c r="V95" i="14"/>
  <c r="V467" i="14"/>
  <c r="V381" i="14"/>
  <c r="X56" i="14"/>
  <c r="V56" i="14"/>
  <c r="V420" i="14"/>
  <c r="V86" i="14"/>
  <c r="X86" i="14"/>
  <c r="V114" i="14"/>
  <c r="V391" i="14"/>
  <c r="X101" i="14"/>
  <c r="V101" i="14"/>
  <c r="V398" i="14"/>
  <c r="V148" i="14"/>
  <c r="X148" i="14"/>
  <c r="X98" i="14"/>
  <c r="V98" i="14"/>
  <c r="V135" i="14"/>
  <c r="X135" i="14"/>
  <c r="V425" i="14"/>
  <c r="V94" i="14"/>
  <c r="X131" i="14"/>
  <c r="V131" i="14"/>
  <c r="V456" i="14"/>
  <c r="X110" i="14"/>
  <c r="V110" i="14"/>
  <c r="V436" i="14"/>
  <c r="V363" i="14"/>
  <c r="X126" i="14"/>
  <c r="V126" i="14"/>
  <c r="X28" i="14"/>
  <c r="V28" i="14"/>
  <c r="V63" i="14"/>
  <c r="V43" i="14"/>
  <c r="V370" i="14"/>
  <c r="V89" i="14"/>
  <c r="X89" i="14"/>
  <c r="V486" i="14"/>
  <c r="V100" i="14"/>
  <c r="X100" i="14"/>
  <c r="V386" i="14"/>
  <c r="V437" i="14"/>
  <c r="X99" i="14"/>
  <c r="V99" i="14"/>
  <c r="V392" i="14"/>
  <c r="V401" i="14"/>
  <c r="V411" i="14"/>
  <c r="V96" i="14"/>
  <c r="V400" i="14"/>
  <c r="V50" i="14"/>
  <c r="V42" i="14"/>
  <c r="V46" i="14"/>
  <c r="X140" i="14"/>
  <c r="V140" i="14"/>
  <c r="V441" i="14"/>
  <c r="V404" i="14"/>
  <c r="X120" i="14"/>
  <c r="V120" i="14"/>
  <c r="V127" i="14"/>
  <c r="X127" i="14"/>
  <c r="V435" i="14"/>
  <c r="V452" i="14"/>
  <c r="V138" i="14"/>
  <c r="X138" i="14"/>
  <c r="V109" i="14"/>
  <c r="X109" i="14"/>
  <c r="I10" i="3"/>
  <c r="M10" i="3" s="1"/>
  <c r="Q10" i="3" s="1"/>
  <c r="H12" i="3"/>
  <c r="X24" i="14"/>
  <c r="H16" i="3"/>
  <c r="V24" i="14"/>
  <c r="H13" i="3"/>
  <c r="H10" i="3"/>
  <c r="I13" i="3"/>
  <c r="M13" i="3" s="1"/>
  <c r="Q13" i="3" s="1"/>
  <c r="H9" i="3"/>
  <c r="I16" i="3"/>
  <c r="M16" i="3" s="1"/>
  <c r="Q16" i="3" s="1"/>
  <c r="H15" i="3"/>
  <c r="I15" i="3"/>
  <c r="M15" i="3" s="1"/>
  <c r="Q15" i="3" s="1"/>
  <c r="I9" i="3"/>
  <c r="M9" i="3" s="1"/>
  <c r="Q9" i="3" s="1"/>
  <c r="I12" i="3"/>
  <c r="M12" i="3" s="1"/>
  <c r="Q12" i="3" s="1"/>
  <c r="V410" i="14"/>
  <c r="V409" i="14"/>
  <c r="V394" i="14"/>
  <c r="X147" i="14"/>
  <c r="V147" i="14"/>
  <c r="V472" i="14"/>
  <c r="X47" i="14"/>
  <c r="V47" i="14"/>
  <c r="V39" i="14"/>
  <c r="X39" i="14"/>
  <c r="X57" i="14"/>
  <c r="V57" i="14"/>
  <c r="V49" i="14"/>
  <c r="V122" i="14"/>
  <c r="X122" i="14"/>
  <c r="V371" i="14"/>
  <c r="X137" i="14"/>
  <c r="V137" i="14"/>
  <c r="X124" i="14"/>
  <c r="V124" i="14"/>
  <c r="V442" i="14"/>
  <c r="X68" i="14"/>
  <c r="V68" i="14"/>
  <c r="X103" i="14"/>
  <c r="V103" i="14"/>
  <c r="X66" i="14"/>
  <c r="V66" i="14"/>
  <c r="V438" i="14"/>
  <c r="V426" i="14"/>
  <c r="V428" i="14"/>
  <c r="V53" i="14"/>
  <c r="V439" i="14"/>
  <c r="V460" i="14"/>
  <c r="V82" i="14"/>
  <c r="V111" i="14"/>
  <c r="X111" i="14"/>
  <c r="V395" i="14"/>
  <c r="V93" i="14"/>
  <c r="V65" i="14"/>
  <c r="X65" i="14"/>
  <c r="V457" i="14"/>
  <c r="V412" i="14"/>
  <c r="V30" i="14"/>
  <c r="V128" i="14"/>
  <c r="X128" i="14"/>
  <c r="V379" i="14"/>
  <c r="V466" i="14"/>
  <c r="X121" i="14"/>
  <c r="V121" i="14"/>
  <c r="X37" i="14"/>
  <c r="V37" i="14"/>
  <c r="V123" i="14"/>
  <c r="X123" i="14"/>
  <c r="V84" i="14"/>
  <c r="V87" i="14"/>
  <c r="X87" i="14"/>
  <c r="V33" i="14"/>
  <c r="V403" i="14"/>
  <c r="V451" i="14"/>
  <c r="V90" i="14"/>
  <c r="X90" i="14"/>
  <c r="V130" i="14"/>
  <c r="X130" i="14"/>
  <c r="V129" i="14"/>
  <c r="X129" i="14"/>
  <c r="X133" i="14"/>
  <c r="V133" i="14"/>
  <c r="V459" i="14"/>
  <c r="V406" i="14"/>
  <c r="V481" i="14"/>
  <c r="V396" i="14"/>
  <c r="V364" i="14"/>
  <c r="V48" i="14"/>
  <c r="X48" i="14"/>
  <c r="V455" i="14"/>
  <c r="V45" i="14"/>
  <c r="V408" i="14"/>
  <c r="V484" i="14"/>
  <c r="V44" i="14"/>
  <c r="X145" i="14"/>
  <c r="V145" i="14"/>
  <c r="V483" i="14"/>
  <c r="V36" i="14"/>
  <c r="X36" i="14"/>
  <c r="V440" i="14"/>
  <c r="V474" i="14"/>
  <c r="V432" i="14"/>
  <c r="V402" i="14"/>
  <c r="V92" i="14"/>
  <c r="V61" i="14"/>
  <c r="V446" i="14"/>
  <c r="V485" i="14"/>
  <c r="V465" i="14"/>
  <c r="X88" i="14"/>
  <c r="V88" i="14"/>
  <c r="V422" i="14"/>
  <c r="V393" i="14"/>
  <c r="V477" i="14"/>
  <c r="V480" i="14"/>
  <c r="X141" i="14"/>
  <c r="V141" i="14"/>
  <c r="V91" i="14"/>
  <c r="X91" i="14"/>
  <c r="V421" i="14"/>
  <c r="V415" i="14"/>
  <c r="V385" i="14"/>
  <c r="V418" i="14"/>
  <c r="X23" i="14"/>
  <c r="V23" i="14"/>
  <c r="V416" i="14"/>
  <c r="V427" i="14"/>
  <c r="V373" i="14"/>
  <c r="V380" i="14"/>
  <c r="V150" i="14"/>
  <c r="X150" i="14"/>
  <c r="V414" i="14"/>
  <c r="X58" i="14"/>
  <c r="V58" i="14"/>
  <c r="V450" i="14"/>
  <c r="V389" i="14"/>
  <c r="V464" i="14"/>
  <c r="V387" i="14"/>
  <c r="V487" i="14"/>
  <c r="V59" i="14"/>
  <c r="X59" i="14"/>
  <c r="X144" i="14"/>
  <c r="V144" i="14"/>
  <c r="V413" i="14"/>
  <c r="V482" i="14"/>
  <c r="V64" i="14"/>
  <c r="V390" i="14"/>
  <c r="V449" i="14"/>
  <c r="V136" i="14"/>
  <c r="X136" i="14"/>
  <c r="V117" i="14"/>
  <c r="V443" i="14"/>
  <c r="V52" i="14"/>
  <c r="X146" i="14"/>
  <c r="V146" i="14"/>
  <c r="V105" i="14"/>
  <c r="V40" i="14"/>
  <c r="X40" i="14"/>
  <c r="V365" i="14"/>
  <c r="V32" i="14"/>
  <c r="V445" i="14"/>
  <c r="V470" i="14"/>
  <c r="V139" i="14"/>
  <c r="X139" i="14"/>
  <c r="V102" i="14"/>
  <c r="X102" i="14"/>
  <c r="V430" i="14"/>
  <c r="V429" i="14"/>
  <c r="V424" i="14"/>
  <c r="V108" i="14"/>
  <c r="X108" i="14"/>
  <c r="V399" i="14"/>
  <c r="V405" i="14"/>
  <c r="X113" i="14"/>
  <c r="V113" i="14"/>
  <c r="V434" i="14"/>
  <c r="V397" i="14"/>
  <c r="V417" i="14"/>
  <c r="X134" i="14"/>
  <c r="V134" i="14"/>
  <c r="V463" i="14"/>
  <c r="V469" i="14"/>
  <c r="V471" i="14"/>
  <c r="V142" i="14"/>
  <c r="X142" i="14"/>
  <c r="X119" i="14"/>
  <c r="V119" i="14"/>
  <c r="V462" i="14"/>
  <c r="X81" i="14"/>
  <c r="V81" i="14"/>
  <c r="X132" i="14"/>
  <c r="V132" i="14"/>
  <c r="V104" i="14"/>
  <c r="V447" i="14"/>
  <c r="R30" i="14"/>
  <c r="O10" i="13" l="1"/>
  <c r="O6" i="13"/>
  <c r="E139" i="14"/>
  <c r="H139" i="14" s="1"/>
  <c r="I139" i="14" s="1"/>
  <c r="I10" i="13"/>
  <c r="F6" i="13"/>
  <c r="J14" i="13"/>
  <c r="S14" i="13"/>
  <c r="E81" i="14"/>
  <c r="G81" i="14" s="1"/>
  <c r="E142" i="14"/>
  <c r="G142" i="14" s="1"/>
  <c r="R18" i="13"/>
  <c r="J18" i="13"/>
  <c r="H14" i="13"/>
  <c r="M18" i="13"/>
  <c r="K18" i="13"/>
  <c r="S30" i="14"/>
  <c r="L18" i="13"/>
  <c r="E10" i="13"/>
  <c r="M14" i="13"/>
  <c r="K10" i="13"/>
  <c r="H10" i="13"/>
  <c r="P10" i="13"/>
  <c r="H8" i="3"/>
  <c r="E99" i="14"/>
  <c r="E28" i="14"/>
  <c r="E135" i="14"/>
  <c r="E148" i="14"/>
  <c r="E101" i="14"/>
  <c r="E60" i="14"/>
  <c r="E67" i="14"/>
  <c r="E112" i="14"/>
  <c r="E118" i="14"/>
  <c r="E149" i="14"/>
  <c r="E141" i="14"/>
  <c r="E145" i="14"/>
  <c r="E87" i="14"/>
  <c r="E111" i="14"/>
  <c r="E103" i="14"/>
  <c r="E147" i="14"/>
  <c r="E132" i="14"/>
  <c r="E134" i="14"/>
  <c r="E108" i="14"/>
  <c r="E150" i="14"/>
  <c r="E91" i="14"/>
  <c r="E7" i="14"/>
  <c r="E130" i="14"/>
  <c r="E124" i="14"/>
  <c r="E122" i="14"/>
  <c r="E57" i="14"/>
  <c r="E47" i="14"/>
  <c r="N18" i="13"/>
  <c r="F10" i="13"/>
  <c r="O14" i="13"/>
  <c r="L10" i="13"/>
  <c r="R10" i="13"/>
  <c r="E14" i="13"/>
  <c r="I14" i="13"/>
  <c r="J10" i="13"/>
  <c r="R14" i="13"/>
  <c r="E109" i="14"/>
  <c r="E131" i="14"/>
  <c r="E23" i="14"/>
  <c r="E36" i="14"/>
  <c r="E121" i="14"/>
  <c r="E65" i="14"/>
  <c r="E83" i="14"/>
  <c r="K14" i="13"/>
  <c r="K6" i="13"/>
  <c r="F18" i="13"/>
  <c r="E119" i="14"/>
  <c r="E113" i="14"/>
  <c r="E102" i="14"/>
  <c r="E40" i="14"/>
  <c r="E146" i="14"/>
  <c r="E136" i="14"/>
  <c r="E144" i="14"/>
  <c r="J8" i="14"/>
  <c r="E88" i="14"/>
  <c r="E48" i="14"/>
  <c r="E133" i="14"/>
  <c r="E37" i="14"/>
  <c r="E66" i="14"/>
  <c r="E68" i="14"/>
  <c r="E39" i="14"/>
  <c r="H18" i="13"/>
  <c r="O18" i="13"/>
  <c r="N14" i="13"/>
  <c r="N10" i="13"/>
  <c r="E24" i="14"/>
  <c r="S18" i="13"/>
  <c r="H14" i="3"/>
  <c r="P18" i="13"/>
  <c r="Q14" i="13"/>
  <c r="I11" i="3"/>
  <c r="M11" i="3" s="1"/>
  <c r="Q11" i="3" s="1"/>
  <c r="E18" i="13"/>
  <c r="L14" i="13"/>
  <c r="S10" i="13"/>
  <c r="E120" i="14"/>
  <c r="E140" i="14"/>
  <c r="E89" i="14"/>
  <c r="E126" i="14"/>
  <c r="E110" i="14"/>
  <c r="E143" i="14"/>
  <c r="E125" i="14"/>
  <c r="E59" i="14"/>
  <c r="E58" i="14"/>
  <c r="L17" i="14"/>
  <c r="N13" i="14"/>
  <c r="K15" i="14"/>
  <c r="H9" i="14"/>
  <c r="P13" i="14"/>
  <c r="K3" i="14"/>
  <c r="J15" i="14"/>
  <c r="H11" i="14"/>
  <c r="H16" i="14"/>
  <c r="E16" i="14"/>
  <c r="K8" i="14"/>
  <c r="T16" i="14"/>
  <c r="H13" i="14"/>
  <c r="L9" i="14"/>
  <c r="M16" i="14"/>
  <c r="O13" i="14"/>
  <c r="J13" i="14"/>
  <c r="E15" i="14"/>
  <c r="J16" i="14"/>
  <c r="M15" i="14"/>
  <c r="N17" i="14"/>
  <c r="T12" i="14"/>
  <c r="H8" i="14"/>
  <c r="O11" i="14"/>
  <c r="E9" i="14"/>
  <c r="M7" i="14"/>
  <c r="I8" i="14"/>
  <c r="M17" i="14"/>
  <c r="P4" i="14"/>
  <c r="K11" i="14"/>
  <c r="E13" i="14"/>
  <c r="I15" i="14"/>
  <c r="N9" i="14"/>
  <c r="T17" i="14"/>
  <c r="P9" i="14"/>
  <c r="P16" i="14"/>
  <c r="M9" i="14"/>
  <c r="E8" i="14"/>
  <c r="K5" i="14"/>
  <c r="K9" i="14"/>
  <c r="T11" i="14"/>
  <c r="J12" i="14"/>
  <c r="M11" i="14"/>
  <c r="I13" i="14"/>
  <c r="K13" i="14"/>
  <c r="P3" i="14"/>
  <c r="O8" i="14"/>
  <c r="L13" i="14"/>
  <c r="N11" i="14"/>
  <c r="I7" i="14"/>
  <c r="N16" i="14"/>
  <c r="K12" i="14"/>
  <c r="I17" i="14"/>
  <c r="M13" i="14"/>
  <c r="J9" i="14"/>
  <c r="M8" i="14"/>
  <c r="E11" i="14"/>
  <c r="P12" i="14"/>
  <c r="P11" i="14"/>
  <c r="J11" i="14"/>
  <c r="P15" i="14"/>
  <c r="L11" i="14"/>
  <c r="T8" i="14"/>
  <c r="H15" i="14"/>
  <c r="L16" i="14"/>
  <c r="J7" i="14"/>
  <c r="L12" i="14"/>
  <c r="K16" i="14"/>
  <c r="E17" i="14"/>
  <c r="K17" i="14"/>
  <c r="P5" i="14"/>
  <c r="P8" i="14"/>
  <c r="P7" i="14"/>
  <c r="I11" i="14"/>
  <c r="O9" i="14"/>
  <c r="E12" i="14"/>
  <c r="T13" i="14"/>
  <c r="M12" i="14"/>
  <c r="K7" i="14"/>
  <c r="K4" i="14"/>
  <c r="H12" i="14"/>
  <c r="P17" i="14"/>
  <c r="T9" i="14"/>
  <c r="I9" i="14"/>
  <c r="J17" i="14"/>
  <c r="H17" i="14"/>
  <c r="R12" i="14"/>
  <c r="R13" i="14"/>
  <c r="Q13" i="14"/>
  <c r="R8" i="14"/>
  <c r="Q11" i="14"/>
  <c r="R9" i="14"/>
  <c r="Q17" i="14"/>
  <c r="O7" i="14"/>
  <c r="O15" i="14"/>
  <c r="O12" i="14"/>
  <c r="Q8" i="14"/>
  <c r="O17" i="14"/>
  <c r="H7" i="14"/>
  <c r="R7" i="14"/>
  <c r="R17" i="14"/>
  <c r="R11" i="14"/>
  <c r="L8" i="14"/>
  <c r="S7" i="14"/>
  <c r="L7" i="14"/>
  <c r="R16" i="14"/>
  <c r="S12" i="14"/>
  <c r="S11" i="14"/>
  <c r="L15" i="14"/>
  <c r="Q7" i="14"/>
  <c r="R15" i="14"/>
  <c r="S17" i="14"/>
  <c r="S8" i="14"/>
  <c r="Q12" i="14"/>
  <c r="S16" i="14"/>
  <c r="Q16" i="14"/>
  <c r="Q15" i="14"/>
  <c r="Q9" i="14"/>
  <c r="E129" i="14"/>
  <c r="E90" i="14"/>
  <c r="E123" i="14"/>
  <c r="E128" i="14"/>
  <c r="E137" i="14"/>
  <c r="Q10" i="13"/>
  <c r="I8" i="3"/>
  <c r="M8" i="3" s="1"/>
  <c r="Q8" i="3" s="1"/>
  <c r="I14" i="3"/>
  <c r="M14" i="3" s="1"/>
  <c r="Q14" i="3" s="1"/>
  <c r="Q18" i="13"/>
  <c r="H11" i="3"/>
  <c r="P14" i="13"/>
  <c r="M10" i="13"/>
  <c r="F14" i="13"/>
  <c r="I18" i="13"/>
  <c r="E138" i="14"/>
  <c r="E127" i="14"/>
  <c r="E100" i="14"/>
  <c r="E107" i="14"/>
  <c r="E78" i="14"/>
  <c r="E54" i="14"/>
  <c r="E70" i="14"/>
  <c r="E72" i="14"/>
  <c r="E117" i="14"/>
  <c r="E69" i="14"/>
  <c r="E85" i="14"/>
  <c r="E115" i="14"/>
  <c r="E96" i="14"/>
  <c r="E64" i="14"/>
  <c r="E44" i="14"/>
  <c r="E77" i="14"/>
  <c r="E97" i="14"/>
  <c r="E74" i="14"/>
  <c r="E45" i="14"/>
  <c r="E84" i="14"/>
  <c r="E75" i="14"/>
  <c r="E49" i="14"/>
  <c r="E25" i="14"/>
  <c r="E43" i="14"/>
  <c r="E95" i="14"/>
  <c r="E33" i="14"/>
  <c r="E35" i="14"/>
  <c r="E50" i="14"/>
  <c r="E62" i="14"/>
  <c r="E105" i="14"/>
  <c r="E29" i="14"/>
  <c r="E114" i="14"/>
  <c r="E52" i="14"/>
  <c r="E92" i="14"/>
  <c r="E34" i="14"/>
  <c r="E116" i="14"/>
  <c r="E106" i="14"/>
  <c r="E71" i="14"/>
  <c r="E93" i="14"/>
  <c r="E63" i="14"/>
  <c r="E51" i="14"/>
  <c r="E46" i="14"/>
  <c r="E42" i="14"/>
  <c r="E82" i="14"/>
  <c r="E73" i="14"/>
  <c r="E53" i="14"/>
  <c r="E61" i="14"/>
  <c r="E80" i="14"/>
  <c r="E104" i="14"/>
  <c r="E79" i="14"/>
  <c r="E94" i="14"/>
  <c r="E41" i="14"/>
  <c r="E26" i="14"/>
  <c r="E32" i="14"/>
  <c r="E76" i="14"/>
  <c r="E31" i="14"/>
  <c r="E27" i="14"/>
  <c r="E98" i="14"/>
  <c r="E86" i="14"/>
  <c r="E56" i="14"/>
  <c r="E38" i="14"/>
  <c r="E55" i="14"/>
  <c r="G139" i="14" l="1"/>
  <c r="N139" i="14" s="1"/>
  <c r="E3" i="14"/>
  <c r="E5" i="14"/>
  <c r="J139" i="14"/>
  <c r="J81" i="14"/>
  <c r="H81" i="14"/>
  <c r="I81" i="14" s="1"/>
  <c r="J142" i="14"/>
  <c r="H142" i="14"/>
  <c r="I142" i="14" s="1"/>
  <c r="L18" i="14"/>
  <c r="F19" i="13"/>
  <c r="H10" i="14"/>
  <c r="K10" i="14"/>
  <c r="O19" i="13"/>
  <c r="N14" i="14"/>
  <c r="Q10" i="14"/>
  <c r="K19" i="13"/>
  <c r="Q14" i="14"/>
  <c r="R14" i="14"/>
  <c r="O10" i="14"/>
  <c r="K18" i="14"/>
  <c r="J10" i="14"/>
  <c r="L14" i="14"/>
  <c r="Q18" i="14"/>
  <c r="L10" i="14"/>
  <c r="P10" i="14"/>
  <c r="J14" i="14"/>
  <c r="M10" i="14"/>
  <c r="R18" i="14"/>
  <c r="H79" i="14"/>
  <c r="I79" i="14" s="1"/>
  <c r="I12" i="14" s="1"/>
  <c r="I14" i="14" s="1"/>
  <c r="G79" i="14"/>
  <c r="J79" i="14"/>
  <c r="G53" i="14"/>
  <c r="H53" i="14"/>
  <c r="I53" i="14" s="1"/>
  <c r="J53" i="14"/>
  <c r="J46" i="14"/>
  <c r="G46" i="14"/>
  <c r="H46" i="14"/>
  <c r="I46" i="14" s="1"/>
  <c r="G71" i="14"/>
  <c r="J71" i="14"/>
  <c r="H71" i="14"/>
  <c r="I71" i="14" s="1"/>
  <c r="J92" i="14"/>
  <c r="G92" i="14"/>
  <c r="H92" i="14"/>
  <c r="I92" i="14" s="1"/>
  <c r="G105" i="14"/>
  <c r="J105" i="14"/>
  <c r="H105" i="14"/>
  <c r="I105" i="14" s="1"/>
  <c r="H33" i="14"/>
  <c r="I33" i="14" s="1"/>
  <c r="J33" i="14"/>
  <c r="G33" i="14"/>
  <c r="H49" i="14"/>
  <c r="I49" i="14" s="1"/>
  <c r="G49" i="14"/>
  <c r="J49" i="14"/>
  <c r="G74" i="14"/>
  <c r="H74" i="14"/>
  <c r="I74" i="14" s="1"/>
  <c r="J74" i="14"/>
  <c r="G64" i="14"/>
  <c r="J64" i="14"/>
  <c r="H64" i="14"/>
  <c r="I64" i="14" s="1"/>
  <c r="H69" i="14"/>
  <c r="I69" i="14" s="1"/>
  <c r="G69" i="14"/>
  <c r="J69" i="14"/>
  <c r="G54" i="14"/>
  <c r="H54" i="14"/>
  <c r="I54" i="14" s="1"/>
  <c r="J54" i="14"/>
  <c r="H127" i="14"/>
  <c r="I127" i="14" s="1"/>
  <c r="J127" i="14"/>
  <c r="G127" i="14"/>
  <c r="G128" i="14"/>
  <c r="H128" i="14"/>
  <c r="I128" i="14" s="1"/>
  <c r="J128" i="14"/>
  <c r="P18" i="14"/>
  <c r="E14" i="14"/>
  <c r="T14" i="14"/>
  <c r="G110" i="14"/>
  <c r="J110" i="14"/>
  <c r="H110" i="14"/>
  <c r="I110" i="14" s="1"/>
  <c r="H120" i="14"/>
  <c r="I120" i="14" s="1"/>
  <c r="J120" i="14"/>
  <c r="G120" i="14"/>
  <c r="J68" i="14"/>
  <c r="G68" i="14"/>
  <c r="H68" i="14"/>
  <c r="I68" i="14" s="1"/>
  <c r="H48" i="14"/>
  <c r="I48" i="14" s="1"/>
  <c r="G48" i="14"/>
  <c r="J48" i="14"/>
  <c r="J136" i="14"/>
  <c r="H136" i="14"/>
  <c r="I136" i="14" s="1"/>
  <c r="G136" i="14"/>
  <c r="G113" i="14"/>
  <c r="J113" i="14"/>
  <c r="H113" i="14"/>
  <c r="I113" i="14" s="1"/>
  <c r="G121" i="14"/>
  <c r="H121" i="14"/>
  <c r="I121" i="14" s="1"/>
  <c r="J121" i="14"/>
  <c r="T81" i="14"/>
  <c r="L81" i="14"/>
  <c r="N81" i="14"/>
  <c r="G122" i="14"/>
  <c r="J122" i="14"/>
  <c r="H122" i="14"/>
  <c r="I122" i="14" s="1"/>
  <c r="H91" i="14"/>
  <c r="I91" i="14" s="1"/>
  <c r="J91" i="14"/>
  <c r="G91" i="14"/>
  <c r="J132" i="14"/>
  <c r="G132" i="14"/>
  <c r="H132" i="14"/>
  <c r="I132" i="14" s="1"/>
  <c r="H87" i="14"/>
  <c r="I87" i="14" s="1"/>
  <c r="J87" i="14"/>
  <c r="G87" i="14"/>
  <c r="H112" i="14"/>
  <c r="I112" i="14" s="1"/>
  <c r="G112" i="14"/>
  <c r="J112" i="14"/>
  <c r="J148" i="14"/>
  <c r="G148" i="14"/>
  <c r="H148" i="14"/>
  <c r="I148" i="14" s="1"/>
  <c r="J98" i="14"/>
  <c r="G98" i="14"/>
  <c r="H98" i="14"/>
  <c r="I98" i="14" s="1"/>
  <c r="J38" i="14"/>
  <c r="H38" i="14"/>
  <c r="I38" i="14" s="1"/>
  <c r="G38" i="14"/>
  <c r="H104" i="14"/>
  <c r="I104" i="14" s="1"/>
  <c r="J104" i="14"/>
  <c r="G104" i="14"/>
  <c r="G73" i="14"/>
  <c r="H73" i="14"/>
  <c r="I73" i="14" s="1"/>
  <c r="J73" i="14"/>
  <c r="H51" i="14"/>
  <c r="I51" i="14" s="1"/>
  <c r="G51" i="14"/>
  <c r="J51" i="14"/>
  <c r="G106" i="14"/>
  <c r="J106" i="14"/>
  <c r="H106" i="14"/>
  <c r="I106" i="14" s="1"/>
  <c r="J52" i="14"/>
  <c r="H52" i="14"/>
  <c r="I52" i="14" s="1"/>
  <c r="G52" i="14"/>
  <c r="H62" i="14"/>
  <c r="I62" i="14" s="1"/>
  <c r="J62" i="14"/>
  <c r="G62" i="14"/>
  <c r="J95" i="14"/>
  <c r="H95" i="14"/>
  <c r="I95" i="14" s="1"/>
  <c r="G95" i="14"/>
  <c r="H75" i="14"/>
  <c r="I75" i="14" s="1"/>
  <c r="J75" i="14"/>
  <c r="G75" i="14"/>
  <c r="J97" i="14"/>
  <c r="G97" i="14"/>
  <c r="H97" i="14"/>
  <c r="I97" i="14" s="1"/>
  <c r="J96" i="14"/>
  <c r="H96" i="14"/>
  <c r="I96" i="14" s="1"/>
  <c r="G96" i="14"/>
  <c r="G117" i="14"/>
  <c r="J117" i="14"/>
  <c r="H117" i="14"/>
  <c r="I117" i="14" s="1"/>
  <c r="J78" i="14"/>
  <c r="G78" i="14"/>
  <c r="H78" i="14"/>
  <c r="I78" i="14" s="1"/>
  <c r="G138" i="14"/>
  <c r="J138" i="14"/>
  <c r="H138" i="14"/>
  <c r="I138" i="14" s="1"/>
  <c r="J123" i="14"/>
  <c r="H123" i="14"/>
  <c r="I123" i="14" s="1"/>
  <c r="G123" i="14"/>
  <c r="R10" i="14"/>
  <c r="H18" i="14"/>
  <c r="K14" i="14"/>
  <c r="O14" i="14"/>
  <c r="H14" i="14"/>
  <c r="J58" i="14"/>
  <c r="H58" i="14"/>
  <c r="I58" i="14" s="1"/>
  <c r="G58" i="14"/>
  <c r="T142" i="14"/>
  <c r="N142" i="14"/>
  <c r="L142" i="14"/>
  <c r="J126" i="14"/>
  <c r="G126" i="14"/>
  <c r="H126" i="14"/>
  <c r="I126" i="14" s="1"/>
  <c r="G24" i="14"/>
  <c r="H24" i="14"/>
  <c r="J24" i="14"/>
  <c r="G66" i="14"/>
  <c r="H66" i="14"/>
  <c r="I66" i="14" s="1"/>
  <c r="J66" i="14"/>
  <c r="J88" i="14"/>
  <c r="H88" i="14"/>
  <c r="I88" i="14" s="1"/>
  <c r="G88" i="14"/>
  <c r="J146" i="14"/>
  <c r="G146" i="14"/>
  <c r="H146" i="14"/>
  <c r="I146" i="14" s="1"/>
  <c r="J119" i="14"/>
  <c r="H119" i="14"/>
  <c r="I119" i="14" s="1"/>
  <c r="G119" i="14"/>
  <c r="H36" i="14"/>
  <c r="I36" i="14" s="1"/>
  <c r="J36" i="14"/>
  <c r="G36" i="14"/>
  <c r="H124" i="14"/>
  <c r="I124" i="14" s="1"/>
  <c r="J124" i="14"/>
  <c r="G124" i="14"/>
  <c r="G150" i="14"/>
  <c r="H150" i="14"/>
  <c r="I150" i="14" s="1"/>
  <c r="J150" i="14"/>
  <c r="H147" i="14"/>
  <c r="I147" i="14" s="1"/>
  <c r="G147" i="14"/>
  <c r="J147" i="14"/>
  <c r="H145" i="14"/>
  <c r="I145" i="14" s="1"/>
  <c r="J145" i="14"/>
  <c r="G145" i="14"/>
  <c r="G67" i="14"/>
  <c r="J67" i="14"/>
  <c r="H67" i="14"/>
  <c r="I67" i="14" s="1"/>
  <c r="H135" i="14"/>
  <c r="I135" i="14" s="1"/>
  <c r="G135" i="14"/>
  <c r="J135" i="14"/>
  <c r="J55" i="14"/>
  <c r="H55" i="14"/>
  <c r="I55" i="14" s="1"/>
  <c r="G55" i="14"/>
  <c r="G32" i="14"/>
  <c r="H32" i="14"/>
  <c r="J32" i="14"/>
  <c r="G27" i="14"/>
  <c r="H27" i="14"/>
  <c r="I27" i="14" s="1"/>
  <c r="J27" i="14"/>
  <c r="J26" i="14"/>
  <c r="H26" i="14"/>
  <c r="I26" i="14" s="1"/>
  <c r="G26" i="14"/>
  <c r="J80" i="14"/>
  <c r="H80" i="14"/>
  <c r="I80" i="14" s="1"/>
  <c r="G80" i="14"/>
  <c r="G82" i="14"/>
  <c r="H82" i="14"/>
  <c r="I82" i="14" s="1"/>
  <c r="J82" i="14"/>
  <c r="G63" i="14"/>
  <c r="J63" i="14"/>
  <c r="H63" i="14"/>
  <c r="I63" i="14" s="1"/>
  <c r="H116" i="14"/>
  <c r="I116" i="14" s="1"/>
  <c r="G116" i="14"/>
  <c r="J116" i="14"/>
  <c r="G114" i="14"/>
  <c r="H114" i="14"/>
  <c r="I114" i="14" s="1"/>
  <c r="J114" i="14"/>
  <c r="J50" i="14"/>
  <c r="G50" i="14"/>
  <c r="H50" i="14"/>
  <c r="I50" i="14" s="1"/>
  <c r="H43" i="14"/>
  <c r="I43" i="14" s="1"/>
  <c r="J43" i="14"/>
  <c r="G43" i="14"/>
  <c r="H84" i="14"/>
  <c r="I84" i="14" s="1"/>
  <c r="J84" i="14"/>
  <c r="G84" i="14"/>
  <c r="J77" i="14"/>
  <c r="G77" i="14"/>
  <c r="H77" i="14"/>
  <c r="I77" i="14" s="1"/>
  <c r="J115" i="14"/>
  <c r="H115" i="14"/>
  <c r="I115" i="14" s="1"/>
  <c r="G115" i="14"/>
  <c r="J72" i="14"/>
  <c r="H72" i="14"/>
  <c r="I72" i="14" s="1"/>
  <c r="G72" i="14"/>
  <c r="G107" i="14"/>
  <c r="J107" i="14"/>
  <c r="H107" i="14"/>
  <c r="I107" i="14" s="1"/>
  <c r="H90" i="14"/>
  <c r="I90" i="14" s="1"/>
  <c r="G90" i="14"/>
  <c r="J90" i="14"/>
  <c r="P14" i="14"/>
  <c r="M18" i="14"/>
  <c r="J18" i="14"/>
  <c r="H59" i="14"/>
  <c r="I59" i="14" s="1"/>
  <c r="G59" i="14"/>
  <c r="J59" i="14"/>
  <c r="H125" i="14"/>
  <c r="I125" i="14" s="1"/>
  <c r="G125" i="14"/>
  <c r="J125" i="14"/>
  <c r="H89" i="14"/>
  <c r="I89" i="14" s="1"/>
  <c r="J89" i="14"/>
  <c r="G89" i="14"/>
  <c r="G37" i="14"/>
  <c r="H37" i="14"/>
  <c r="I37" i="14" s="1"/>
  <c r="J37" i="14"/>
  <c r="H40" i="14"/>
  <c r="I40" i="14" s="1"/>
  <c r="J40" i="14"/>
  <c r="G40" i="14"/>
  <c r="H83" i="14"/>
  <c r="I83" i="14" s="1"/>
  <c r="G83" i="14"/>
  <c r="J83" i="14"/>
  <c r="J23" i="14"/>
  <c r="G23" i="14"/>
  <c r="H23" i="14"/>
  <c r="I23" i="14" s="1"/>
  <c r="J131" i="14"/>
  <c r="H131" i="14"/>
  <c r="I131" i="14" s="1"/>
  <c r="G131" i="14"/>
  <c r="H47" i="14"/>
  <c r="I47" i="14" s="1"/>
  <c r="G47" i="14"/>
  <c r="J47" i="14"/>
  <c r="J130" i="14"/>
  <c r="H130" i="14"/>
  <c r="I130" i="14" s="1"/>
  <c r="G130" i="14"/>
  <c r="H108" i="14"/>
  <c r="I108" i="14" s="1"/>
  <c r="J108" i="14"/>
  <c r="G108" i="14"/>
  <c r="J103" i="14"/>
  <c r="G103" i="14"/>
  <c r="H103" i="14"/>
  <c r="I103" i="14" s="1"/>
  <c r="H141" i="14"/>
  <c r="I141" i="14" s="1"/>
  <c r="J141" i="14"/>
  <c r="G141" i="14"/>
  <c r="H149" i="14"/>
  <c r="I149" i="14" s="1"/>
  <c r="J149" i="14"/>
  <c r="G149" i="14"/>
  <c r="J60" i="14"/>
  <c r="G60" i="14"/>
  <c r="H60" i="14"/>
  <c r="I60" i="14" s="1"/>
  <c r="H28" i="14"/>
  <c r="I28" i="14" s="1"/>
  <c r="J28" i="14"/>
  <c r="G28" i="14"/>
  <c r="J56" i="14"/>
  <c r="H56" i="14"/>
  <c r="I56" i="14" s="1"/>
  <c r="G56" i="14"/>
  <c r="J31" i="14"/>
  <c r="H31" i="14"/>
  <c r="I31" i="14" s="1"/>
  <c r="G31" i="14"/>
  <c r="H41" i="14"/>
  <c r="G41" i="14"/>
  <c r="J41" i="14"/>
  <c r="G86" i="14"/>
  <c r="H86" i="14"/>
  <c r="I86" i="14" s="1"/>
  <c r="J86" i="14"/>
  <c r="H76" i="14"/>
  <c r="I76" i="14" s="1"/>
  <c r="G76" i="14"/>
  <c r="J76" i="14"/>
  <c r="J94" i="14"/>
  <c r="G94" i="14"/>
  <c r="H94" i="14"/>
  <c r="I94" i="14" s="1"/>
  <c r="H61" i="14"/>
  <c r="I61" i="14" s="1"/>
  <c r="G61" i="14"/>
  <c r="J61" i="14"/>
  <c r="G42" i="14"/>
  <c r="J42" i="14"/>
  <c r="H42" i="14"/>
  <c r="I42" i="14" s="1"/>
  <c r="J93" i="14"/>
  <c r="G93" i="14"/>
  <c r="H93" i="14"/>
  <c r="I93" i="14" s="1"/>
  <c r="G34" i="14"/>
  <c r="J34" i="14"/>
  <c r="H34" i="14"/>
  <c r="G29" i="14"/>
  <c r="J29" i="14"/>
  <c r="H29" i="14"/>
  <c r="I29" i="14" s="1"/>
  <c r="H35" i="14"/>
  <c r="I35" i="14" s="1"/>
  <c r="G35" i="14"/>
  <c r="J35" i="14"/>
  <c r="H25" i="14"/>
  <c r="I25" i="14" s="1"/>
  <c r="J25" i="14"/>
  <c r="G25" i="14"/>
  <c r="H45" i="14"/>
  <c r="J45" i="14"/>
  <c r="G45" i="14"/>
  <c r="G44" i="14"/>
  <c r="H44" i="14"/>
  <c r="I44" i="14" s="1"/>
  <c r="J44" i="14"/>
  <c r="J85" i="14"/>
  <c r="H85" i="14"/>
  <c r="I85" i="14" s="1"/>
  <c r="G85" i="14"/>
  <c r="H70" i="14"/>
  <c r="I70" i="14" s="1"/>
  <c r="J70" i="14"/>
  <c r="G70" i="14"/>
  <c r="G100" i="14"/>
  <c r="J100" i="14"/>
  <c r="H100" i="14"/>
  <c r="I100" i="14" s="1"/>
  <c r="G137" i="14"/>
  <c r="H137" i="14"/>
  <c r="I137" i="14" s="1"/>
  <c r="J137" i="14"/>
  <c r="G129" i="14"/>
  <c r="J129" i="14"/>
  <c r="H129" i="14"/>
  <c r="I129" i="14" s="1"/>
  <c r="E4" i="14"/>
  <c r="M14" i="14"/>
  <c r="I10" i="14"/>
  <c r="P6" i="14"/>
  <c r="E18" i="14"/>
  <c r="K6" i="14"/>
  <c r="G143" i="14"/>
  <c r="J143" i="14"/>
  <c r="H143" i="14"/>
  <c r="I143" i="14" s="1"/>
  <c r="H140" i="14"/>
  <c r="I140" i="14" s="1"/>
  <c r="J140" i="14"/>
  <c r="G140" i="14"/>
  <c r="H39" i="14"/>
  <c r="I39" i="14" s="1"/>
  <c r="G39" i="14"/>
  <c r="J39" i="14"/>
  <c r="G133" i="14"/>
  <c r="J133" i="14"/>
  <c r="H133" i="14"/>
  <c r="I133" i="14" s="1"/>
  <c r="G144" i="14"/>
  <c r="H144" i="14"/>
  <c r="I144" i="14" s="1"/>
  <c r="J144" i="14"/>
  <c r="H102" i="14"/>
  <c r="I102" i="14" s="1"/>
  <c r="G102" i="14"/>
  <c r="J102" i="14"/>
  <c r="J65" i="14"/>
  <c r="H65" i="14"/>
  <c r="I65" i="14" s="1"/>
  <c r="G65" i="14"/>
  <c r="J109" i="14"/>
  <c r="G109" i="14"/>
  <c r="H109" i="14"/>
  <c r="I109" i="14" s="1"/>
  <c r="J57" i="14"/>
  <c r="G57" i="14"/>
  <c r="H57" i="14"/>
  <c r="I57" i="14" s="1"/>
  <c r="E10" i="14"/>
  <c r="J134" i="14"/>
  <c r="G134" i="14"/>
  <c r="H134" i="14"/>
  <c r="I134" i="14" s="1"/>
  <c r="G111" i="14"/>
  <c r="J111" i="14"/>
  <c r="H111" i="14"/>
  <c r="I111" i="14" s="1"/>
  <c r="I16" i="14" s="1"/>
  <c r="I18" i="14" s="1"/>
  <c r="H118" i="14"/>
  <c r="I118" i="14" s="1"/>
  <c r="G118" i="14"/>
  <c r="J118" i="14"/>
  <c r="H101" i="14"/>
  <c r="I101" i="14" s="1"/>
  <c r="J101" i="14"/>
  <c r="G101" i="14"/>
  <c r="H99" i="14"/>
  <c r="I99" i="14" s="1"/>
  <c r="G99" i="14"/>
  <c r="J99" i="14"/>
  <c r="L139" i="14" l="1"/>
  <c r="T139" i="14"/>
  <c r="E6" i="14"/>
  <c r="E19" i="14" s="1"/>
  <c r="K19" i="14"/>
  <c r="P19" i="14"/>
  <c r="T65" i="14"/>
  <c r="L65" i="14"/>
  <c r="N65" i="14"/>
  <c r="N102" i="14"/>
  <c r="L102" i="14"/>
  <c r="T102" i="14"/>
  <c r="T144" i="14"/>
  <c r="L144" i="14"/>
  <c r="N144" i="14"/>
  <c r="J5" i="14"/>
  <c r="I34" i="14"/>
  <c r="T93" i="14"/>
  <c r="N93" i="14"/>
  <c r="L93" i="14"/>
  <c r="T42" i="14"/>
  <c r="L42" i="14"/>
  <c r="N42" i="14"/>
  <c r="T76" i="14"/>
  <c r="N76" i="14"/>
  <c r="L76" i="14"/>
  <c r="N31" i="14"/>
  <c r="T31" i="14"/>
  <c r="L31" i="14"/>
  <c r="N47" i="14"/>
  <c r="N8" i="14" s="1"/>
  <c r="L47" i="14"/>
  <c r="T47" i="14"/>
  <c r="T99" i="14"/>
  <c r="N99" i="14"/>
  <c r="L99" i="14"/>
  <c r="N111" i="14"/>
  <c r="L111" i="14"/>
  <c r="T111" i="14"/>
  <c r="T39" i="14"/>
  <c r="N39" i="14"/>
  <c r="L39" i="14"/>
  <c r="L137" i="14"/>
  <c r="N137" i="14"/>
  <c r="T137" i="14"/>
  <c r="N70" i="14"/>
  <c r="T70" i="14"/>
  <c r="L70" i="14"/>
  <c r="T44" i="14"/>
  <c r="N44" i="14"/>
  <c r="L44" i="14"/>
  <c r="I45" i="14"/>
  <c r="H5" i="14"/>
  <c r="L94" i="14"/>
  <c r="T94" i="14"/>
  <c r="N94" i="14"/>
  <c r="J4" i="14"/>
  <c r="L108" i="14"/>
  <c r="N108" i="14"/>
  <c r="T108" i="14"/>
  <c r="N83" i="14"/>
  <c r="L83" i="14"/>
  <c r="T83" i="14"/>
  <c r="N89" i="14"/>
  <c r="T89" i="14"/>
  <c r="L89" i="14"/>
  <c r="T125" i="14"/>
  <c r="L125" i="14"/>
  <c r="N125" i="14"/>
  <c r="L116" i="14"/>
  <c r="N116" i="14"/>
  <c r="T116" i="14"/>
  <c r="N63" i="14"/>
  <c r="T63" i="14"/>
  <c r="L63" i="14"/>
  <c r="T80" i="14"/>
  <c r="N80" i="14"/>
  <c r="L80" i="14"/>
  <c r="L27" i="14"/>
  <c r="N27" i="14"/>
  <c r="T27" i="14"/>
  <c r="T55" i="14"/>
  <c r="N55" i="14"/>
  <c r="L55" i="14"/>
  <c r="L135" i="14"/>
  <c r="N135" i="14"/>
  <c r="T135" i="14"/>
  <c r="N67" i="14"/>
  <c r="T67" i="14"/>
  <c r="L67" i="14"/>
  <c r="T145" i="14"/>
  <c r="N145" i="14"/>
  <c r="L145" i="14"/>
  <c r="N147" i="14"/>
  <c r="L147" i="14"/>
  <c r="T147" i="14"/>
  <c r="L150" i="14"/>
  <c r="N150" i="14"/>
  <c r="T150" i="14"/>
  <c r="T66" i="14"/>
  <c r="L66" i="14"/>
  <c r="N66" i="14"/>
  <c r="N24" i="14"/>
  <c r="T24" i="14"/>
  <c r="L24" i="14"/>
  <c r="L123" i="14"/>
  <c r="T123" i="14"/>
  <c r="N123" i="14"/>
  <c r="N96" i="14"/>
  <c r="N15" i="14" s="1"/>
  <c r="N18" i="14" s="1"/>
  <c r="L96" i="14"/>
  <c r="T96" i="14"/>
  <c r="T15" i="14" s="1"/>
  <c r="T18" i="14" s="1"/>
  <c r="T97" i="14"/>
  <c r="N97" i="14"/>
  <c r="L97" i="14"/>
  <c r="T62" i="14"/>
  <c r="L62" i="14"/>
  <c r="N62" i="14"/>
  <c r="N106" i="14"/>
  <c r="L106" i="14"/>
  <c r="T106" i="14"/>
  <c r="T112" i="14"/>
  <c r="L112" i="14"/>
  <c r="N112" i="14"/>
  <c r="N91" i="14"/>
  <c r="L91" i="14"/>
  <c r="T91" i="14"/>
  <c r="L120" i="14"/>
  <c r="N120" i="14"/>
  <c r="T120" i="14"/>
  <c r="T127" i="14"/>
  <c r="N127" i="14"/>
  <c r="L127" i="14"/>
  <c r="N49" i="14"/>
  <c r="T49" i="14"/>
  <c r="L49" i="14"/>
  <c r="T109" i="14"/>
  <c r="N109" i="14"/>
  <c r="L109" i="14"/>
  <c r="T129" i="14"/>
  <c r="N129" i="14"/>
  <c r="L129" i="14"/>
  <c r="N25" i="14"/>
  <c r="T25" i="14"/>
  <c r="L25" i="14"/>
  <c r="N35" i="14"/>
  <c r="T35" i="14"/>
  <c r="L35" i="14"/>
  <c r="L29" i="14"/>
  <c r="N29" i="14"/>
  <c r="T29" i="14"/>
  <c r="T34" i="14"/>
  <c r="L34" i="14"/>
  <c r="N34" i="14"/>
  <c r="N61" i="14"/>
  <c r="L61" i="14"/>
  <c r="T61" i="14"/>
  <c r="T41" i="14"/>
  <c r="N41" i="14"/>
  <c r="L41" i="14"/>
  <c r="T28" i="14"/>
  <c r="N28" i="14"/>
  <c r="L28" i="14"/>
  <c r="L60" i="14"/>
  <c r="N60" i="14"/>
  <c r="T60" i="14"/>
  <c r="N131" i="14"/>
  <c r="T131" i="14"/>
  <c r="L131" i="14"/>
  <c r="L23" i="14"/>
  <c r="N23" i="14"/>
  <c r="T23" i="14"/>
  <c r="N90" i="14"/>
  <c r="T90" i="14"/>
  <c r="L90" i="14"/>
  <c r="L107" i="14"/>
  <c r="T107" i="14"/>
  <c r="N107" i="14"/>
  <c r="T115" i="14"/>
  <c r="L115" i="14"/>
  <c r="N115" i="14"/>
  <c r="T77" i="14"/>
  <c r="L77" i="14"/>
  <c r="N77" i="14"/>
  <c r="J3" i="14"/>
  <c r="N124" i="14"/>
  <c r="T124" i="14"/>
  <c r="L124" i="14"/>
  <c r="N119" i="14"/>
  <c r="L119" i="14"/>
  <c r="T119" i="14"/>
  <c r="L146" i="14"/>
  <c r="N146" i="14"/>
  <c r="T146" i="14"/>
  <c r="E6" i="13"/>
  <c r="E19" i="13" s="1"/>
  <c r="L138" i="14"/>
  <c r="N138" i="14"/>
  <c r="T138" i="14"/>
  <c r="N95" i="14"/>
  <c r="L95" i="14"/>
  <c r="T95" i="14"/>
  <c r="N148" i="14"/>
  <c r="T148" i="14"/>
  <c r="L148" i="14"/>
  <c r="N122" i="14"/>
  <c r="T122" i="14"/>
  <c r="L122" i="14"/>
  <c r="N110" i="14"/>
  <c r="T110" i="14"/>
  <c r="L110" i="14"/>
  <c r="L54" i="14"/>
  <c r="N54" i="14"/>
  <c r="T54" i="14"/>
  <c r="T92" i="14"/>
  <c r="L92" i="14"/>
  <c r="N92" i="14"/>
  <c r="L71" i="14"/>
  <c r="N71" i="14"/>
  <c r="T71" i="14"/>
  <c r="N79" i="14"/>
  <c r="T79" i="14"/>
  <c r="L79" i="14"/>
  <c r="L134" i="14"/>
  <c r="T134" i="14"/>
  <c r="N134" i="14"/>
  <c r="T57" i="14"/>
  <c r="N57" i="14"/>
  <c r="L57" i="14"/>
  <c r="T45" i="14"/>
  <c r="L45" i="14"/>
  <c r="N45" i="14"/>
  <c r="I41" i="14"/>
  <c r="I4" i="14" s="1"/>
  <c r="H4" i="14"/>
  <c r="T56" i="14"/>
  <c r="L56" i="14"/>
  <c r="N56" i="14"/>
  <c r="L141" i="14"/>
  <c r="N141" i="14"/>
  <c r="T141" i="14"/>
  <c r="T103" i="14"/>
  <c r="N103" i="14"/>
  <c r="L103" i="14"/>
  <c r="T40" i="14"/>
  <c r="N40" i="14"/>
  <c r="L40" i="14"/>
  <c r="L72" i="14"/>
  <c r="N72" i="14"/>
  <c r="T72" i="14"/>
  <c r="L43" i="14"/>
  <c r="T43" i="14"/>
  <c r="T7" i="14" s="1"/>
  <c r="T10" i="14" s="1"/>
  <c r="N43" i="14"/>
  <c r="N7" i="14" s="1"/>
  <c r="L50" i="14"/>
  <c r="N50" i="14"/>
  <c r="T50" i="14"/>
  <c r="T114" i="14"/>
  <c r="L114" i="14"/>
  <c r="N114" i="14"/>
  <c r="I32" i="14"/>
  <c r="H3" i="14"/>
  <c r="N36" i="14"/>
  <c r="L36" i="14"/>
  <c r="T36" i="14"/>
  <c r="L126" i="14"/>
  <c r="T126" i="14"/>
  <c r="N126" i="14"/>
  <c r="L75" i="14"/>
  <c r="T75" i="14"/>
  <c r="N75" i="14"/>
  <c r="N51" i="14"/>
  <c r="L51" i="14"/>
  <c r="T51" i="14"/>
  <c r="L73" i="14"/>
  <c r="T73" i="14"/>
  <c r="N73" i="14"/>
  <c r="N38" i="14"/>
  <c r="T38" i="14"/>
  <c r="L38" i="14"/>
  <c r="T98" i="14"/>
  <c r="L98" i="14"/>
  <c r="N98" i="14"/>
  <c r="N87" i="14"/>
  <c r="L87" i="14"/>
  <c r="T87" i="14"/>
  <c r="N132" i="14"/>
  <c r="T132" i="14"/>
  <c r="L132" i="14"/>
  <c r="N113" i="14"/>
  <c r="T113" i="14"/>
  <c r="L113" i="14"/>
  <c r="N68" i="14"/>
  <c r="T68" i="14"/>
  <c r="L68" i="14"/>
  <c r="L74" i="14"/>
  <c r="T74" i="14"/>
  <c r="N74" i="14"/>
  <c r="T33" i="14"/>
  <c r="N33" i="14"/>
  <c r="L33" i="14"/>
  <c r="N101" i="14"/>
  <c r="L101" i="14"/>
  <c r="T101" i="14"/>
  <c r="N118" i="14"/>
  <c r="L118" i="14"/>
  <c r="T118" i="14"/>
  <c r="N133" i="14"/>
  <c r="T133" i="14"/>
  <c r="L133" i="14"/>
  <c r="N140" i="14"/>
  <c r="T140" i="14"/>
  <c r="L140" i="14"/>
  <c r="N143" i="14"/>
  <c r="T143" i="14"/>
  <c r="L143" i="14"/>
  <c r="T100" i="14"/>
  <c r="N100" i="14"/>
  <c r="L100" i="14"/>
  <c r="N85" i="14"/>
  <c r="L85" i="14"/>
  <c r="T85" i="14"/>
  <c r="N86" i="14"/>
  <c r="L86" i="14"/>
  <c r="T86" i="14"/>
  <c r="T149" i="14"/>
  <c r="L149" i="14"/>
  <c r="N149" i="14"/>
  <c r="N130" i="14"/>
  <c r="T130" i="14"/>
  <c r="L130" i="14"/>
  <c r="L37" i="14"/>
  <c r="N37" i="14"/>
  <c r="T37" i="14"/>
  <c r="N59" i="14"/>
  <c r="T59" i="14"/>
  <c r="L59" i="14"/>
  <c r="N84" i="14"/>
  <c r="T84" i="14"/>
  <c r="L84" i="14"/>
  <c r="T82" i="14"/>
  <c r="L82" i="14"/>
  <c r="N82" i="14"/>
  <c r="T26" i="14"/>
  <c r="N26" i="14"/>
  <c r="L26" i="14"/>
  <c r="N32" i="14"/>
  <c r="L32" i="14"/>
  <c r="T32" i="14"/>
  <c r="L88" i="14"/>
  <c r="N88" i="14"/>
  <c r="T88" i="14"/>
  <c r="I24" i="14"/>
  <c r="L58" i="14"/>
  <c r="N58" i="14"/>
  <c r="T58" i="14"/>
  <c r="T78" i="14"/>
  <c r="N78" i="14"/>
  <c r="L78" i="14"/>
  <c r="L117" i="14"/>
  <c r="T117" i="14"/>
  <c r="N117" i="14"/>
  <c r="L52" i="14"/>
  <c r="T52" i="14"/>
  <c r="N52" i="14"/>
  <c r="L104" i="14"/>
  <c r="N104" i="14"/>
  <c r="T104" i="14"/>
  <c r="L121" i="14"/>
  <c r="T121" i="14"/>
  <c r="N121" i="14"/>
  <c r="L136" i="14"/>
  <c r="T136" i="14"/>
  <c r="N136" i="14"/>
  <c r="T48" i="14"/>
  <c r="L48" i="14"/>
  <c r="N48" i="14"/>
  <c r="T128" i="14"/>
  <c r="L128" i="14"/>
  <c r="N128" i="14"/>
  <c r="L69" i="14"/>
  <c r="T69" i="14"/>
  <c r="N69" i="14"/>
  <c r="T64" i="14"/>
  <c r="L64" i="14"/>
  <c r="N64" i="14"/>
  <c r="N105" i="14"/>
  <c r="L105" i="14"/>
  <c r="T105" i="14"/>
  <c r="L46" i="14"/>
  <c r="N46" i="14"/>
  <c r="T46" i="14"/>
  <c r="N53" i="14"/>
  <c r="T53" i="14"/>
  <c r="L53" i="14"/>
  <c r="M57" i="14"/>
  <c r="M97" i="14"/>
  <c r="M150" i="14"/>
  <c r="M60" i="14"/>
  <c r="M76" i="14"/>
  <c r="M103" i="14"/>
  <c r="M135" i="14"/>
  <c r="M144" i="14"/>
  <c r="M83" i="14"/>
  <c r="M118" i="14"/>
  <c r="M137" i="14"/>
  <c r="M31" i="14"/>
  <c r="M111" i="14"/>
  <c r="M59" i="14"/>
  <c r="M96" i="14"/>
  <c r="M141" i="14"/>
  <c r="M75" i="14"/>
  <c r="M73" i="14"/>
  <c r="M123" i="14"/>
  <c r="M88" i="14"/>
  <c r="M66" i="14"/>
  <c r="M37" i="14"/>
  <c r="M80" i="14"/>
  <c r="M148" i="14"/>
  <c r="M89" i="14"/>
  <c r="M94" i="14"/>
  <c r="M136" i="14"/>
  <c r="M108" i="14"/>
  <c r="M74" i="14"/>
  <c r="M84" i="14"/>
  <c r="M55" i="14"/>
  <c r="M139" i="14"/>
  <c r="M40" i="14"/>
  <c r="M95" i="14"/>
  <c r="M65" i="14"/>
  <c r="M25" i="14"/>
  <c r="M85" i="14"/>
  <c r="M132" i="14"/>
  <c r="M36" i="14"/>
  <c r="M33" i="14"/>
  <c r="M24" i="14"/>
  <c r="M129" i="14"/>
  <c r="M102" i="14"/>
  <c r="M126" i="14"/>
  <c r="M124" i="14"/>
  <c r="M77" i="14"/>
  <c r="M138" i="14"/>
  <c r="M127" i="14"/>
  <c r="M145" i="14"/>
  <c r="M90" i="14"/>
  <c r="M34" i="14"/>
  <c r="M72" i="14"/>
  <c r="M44" i="14"/>
  <c r="M71" i="14"/>
  <c r="M62" i="14"/>
  <c r="M79" i="14"/>
  <c r="M110" i="14"/>
  <c r="M98" i="14"/>
  <c r="M131" i="14"/>
  <c r="M54" i="14"/>
  <c r="M69" i="14"/>
  <c r="M105" i="14"/>
  <c r="M67" i="14"/>
  <c r="M147" i="14"/>
  <c r="M99" i="14"/>
  <c r="M49" i="14"/>
  <c r="M63" i="14"/>
  <c r="M39" i="14"/>
  <c r="M48" i="14"/>
  <c r="M91" i="14"/>
  <c r="M93" i="14"/>
  <c r="M23" i="14"/>
  <c r="M101" i="14"/>
  <c r="M109" i="14"/>
  <c r="M47" i="14"/>
  <c r="M56" i="14"/>
  <c r="M38" i="14"/>
  <c r="M142" i="14"/>
  <c r="M115" i="14"/>
  <c r="M120" i="14"/>
  <c r="M42" i="14"/>
  <c r="M87" i="14"/>
  <c r="M68" i="14"/>
  <c r="M70" i="14"/>
  <c r="M28" i="14"/>
  <c r="M52" i="14"/>
  <c r="M134" i="14"/>
  <c r="M122" i="14"/>
  <c r="M121" i="14"/>
  <c r="M116" i="14"/>
  <c r="M78" i="14"/>
  <c r="M107" i="14"/>
  <c r="M106" i="14"/>
  <c r="M27" i="14"/>
  <c r="M125" i="14"/>
  <c r="M29" i="14"/>
  <c r="M81" i="14"/>
  <c r="M146" i="14"/>
  <c r="M114" i="14"/>
  <c r="M35" i="14"/>
  <c r="M128" i="14"/>
  <c r="M43" i="14"/>
  <c r="M64" i="14"/>
  <c r="M112" i="14"/>
  <c r="M92" i="14"/>
  <c r="M50" i="14"/>
  <c r="M119" i="14"/>
  <c r="M61" i="14"/>
  <c r="M58" i="14"/>
  <c r="O81" i="14" l="1"/>
  <c r="Q81" i="14" s="1"/>
  <c r="O142" i="14"/>
  <c r="Q142" i="14" s="1"/>
  <c r="O139" i="14"/>
  <c r="Q139" i="14" s="1"/>
  <c r="H6" i="13"/>
  <c r="H19" i="13" s="1"/>
  <c r="L3" i="14"/>
  <c r="I3" i="14"/>
  <c r="H6" i="14"/>
  <c r="H19" i="14" s="1"/>
  <c r="N3" i="14"/>
  <c r="J6" i="13"/>
  <c r="J19" i="13" s="1"/>
  <c r="N10" i="14"/>
  <c r="L4" i="14"/>
  <c r="O49" i="14"/>
  <c r="Q49" i="14" s="1"/>
  <c r="O71" i="14"/>
  <c r="Q71" i="14" s="1"/>
  <c r="Q112" i="14"/>
  <c r="O106" i="14"/>
  <c r="O16" i="14" s="1"/>
  <c r="O18" i="14" s="1"/>
  <c r="O126" i="14"/>
  <c r="Q126" i="14" s="1"/>
  <c r="O132" i="14"/>
  <c r="Q132" i="14" s="1"/>
  <c r="O95" i="14"/>
  <c r="Q95" i="14" s="1"/>
  <c r="O78" i="14"/>
  <c r="Q78" i="14" s="1"/>
  <c r="O135" i="14"/>
  <c r="Q135" i="14" s="1"/>
  <c r="O98" i="14"/>
  <c r="Q98" i="14" s="1"/>
  <c r="O148" i="14"/>
  <c r="Q148" i="14" s="1"/>
  <c r="O43" i="14"/>
  <c r="Q43" i="14" s="1"/>
  <c r="O83" i="14"/>
  <c r="Q83" i="14" s="1"/>
  <c r="Q102" i="14"/>
  <c r="O105" i="14"/>
  <c r="Q105" i="14" s="1"/>
  <c r="O64" i="14"/>
  <c r="Q64" i="14" s="1"/>
  <c r="O70" i="14"/>
  <c r="Q70" i="14" s="1"/>
  <c r="Q68" i="14"/>
  <c r="O36" i="14"/>
  <c r="Q36" i="14" s="1"/>
  <c r="O63" i="14"/>
  <c r="Q63" i="14" s="1"/>
  <c r="Q59" i="14"/>
  <c r="O137" i="14"/>
  <c r="Q137" i="14" s="1"/>
  <c r="Q101" i="14"/>
  <c r="Q79" i="14"/>
  <c r="O145" i="14"/>
  <c r="Q145" i="14" s="1"/>
  <c r="O108" i="14"/>
  <c r="Q108" i="14" s="1"/>
  <c r="Q28" i="14"/>
  <c r="O144" i="14"/>
  <c r="Q144" i="14" s="1"/>
  <c r="O33" i="14"/>
  <c r="Q33" i="14" s="1"/>
  <c r="O87" i="14"/>
  <c r="Q87" i="14" s="1"/>
  <c r="O116" i="14"/>
  <c r="Q116" i="14" s="1"/>
  <c r="O115" i="14"/>
  <c r="Q115" i="14" s="1"/>
  <c r="O150" i="14"/>
  <c r="Q150" i="14" s="1"/>
  <c r="Q80" i="14"/>
  <c r="O141" i="14"/>
  <c r="Q141" i="14" s="1"/>
  <c r="O120" i="14"/>
  <c r="Q120" i="14" s="1"/>
  <c r="O94" i="14"/>
  <c r="Q94" i="14" s="1"/>
  <c r="O147" i="14"/>
  <c r="Q147" i="14" s="1"/>
  <c r="O31" i="14"/>
  <c r="Q31" i="14" s="1"/>
  <c r="Q89" i="14"/>
  <c r="O125" i="14"/>
  <c r="Q125" i="14" s="1"/>
  <c r="O131" i="14"/>
  <c r="Q131" i="14" s="1"/>
  <c r="Q40" i="14"/>
  <c r="O44" i="14"/>
  <c r="Q44" i="14" s="1"/>
  <c r="O127" i="14"/>
  <c r="Q127" i="14" s="1"/>
  <c r="O119" i="14"/>
  <c r="Q119" i="14" s="1"/>
  <c r="O65" i="14"/>
  <c r="Q65" i="14" s="1"/>
  <c r="O97" i="14"/>
  <c r="Q97" i="14" s="1"/>
  <c r="O96" i="14"/>
  <c r="Q96" i="14" s="1"/>
  <c r="O67" i="14"/>
  <c r="Q67" i="14" s="1"/>
  <c r="O93" i="14"/>
  <c r="Q93" i="14" s="1"/>
  <c r="O24" i="14"/>
  <c r="O27" i="14"/>
  <c r="Q27" i="14" s="1"/>
  <c r="O47" i="14"/>
  <c r="Q47" i="14" s="1"/>
  <c r="O91" i="14"/>
  <c r="Q91" i="14" s="1"/>
  <c r="O25" i="14"/>
  <c r="Q25" i="14" s="1"/>
  <c r="O66" i="14"/>
  <c r="Q66" i="14" s="1"/>
  <c r="O136" i="14"/>
  <c r="Q136" i="14" s="1"/>
  <c r="O88" i="14"/>
  <c r="Q88" i="14" s="1"/>
  <c r="Q69" i="14"/>
  <c r="O128" i="14"/>
  <c r="Q128" i="14" s="1"/>
  <c r="O52" i="14"/>
  <c r="Q52" i="14" s="1"/>
  <c r="O114" i="14"/>
  <c r="Q114" i="14" s="1"/>
  <c r="O57" i="14"/>
  <c r="Q57" i="14" s="1"/>
  <c r="O107" i="14"/>
  <c r="Q107" i="14" s="1"/>
  <c r="Q60" i="14"/>
  <c r="O61" i="14"/>
  <c r="Q61" i="14" s="1"/>
  <c r="O56" i="14"/>
  <c r="Q56" i="14" s="1"/>
  <c r="O54" i="14"/>
  <c r="Q54" i="14" s="1"/>
  <c r="O122" i="14"/>
  <c r="Q122" i="14" s="1"/>
  <c r="O77" i="14"/>
  <c r="Q77" i="14" s="1"/>
  <c r="Q90" i="14"/>
  <c r="O109" i="14"/>
  <c r="Q109" i="14" s="1"/>
  <c r="O99" i="14"/>
  <c r="Q99" i="14" s="1"/>
  <c r="O42" i="14"/>
  <c r="Q42" i="14" s="1"/>
  <c r="O123" i="14"/>
  <c r="Q123" i="14" s="1"/>
  <c r="O35" i="14"/>
  <c r="Q35" i="14" s="1"/>
  <c r="I5" i="14"/>
  <c r="O103" i="14"/>
  <c r="Q103" i="14" s="1"/>
  <c r="Q39" i="14"/>
  <c r="T5" i="14"/>
  <c r="O23" i="14"/>
  <c r="Q23" i="14" s="1"/>
  <c r="O48" i="14"/>
  <c r="Q48" i="14" s="1"/>
  <c r="O146" i="14"/>
  <c r="Q146" i="14" s="1"/>
  <c r="O76" i="14"/>
  <c r="Q76" i="14" s="1"/>
  <c r="O121" i="14"/>
  <c r="Q121" i="14" s="1"/>
  <c r="O62" i="14"/>
  <c r="Q62" i="14" s="1"/>
  <c r="O37" i="14"/>
  <c r="Q37" i="14" s="1"/>
  <c r="N4" i="14"/>
  <c r="O74" i="14"/>
  <c r="Q74" i="14" s="1"/>
  <c r="O84" i="14"/>
  <c r="Q84" i="14" s="1"/>
  <c r="O34" i="14"/>
  <c r="Q34" i="14" s="1"/>
  <c r="Q111" i="14"/>
  <c r="O134" i="14"/>
  <c r="Q134" i="14" s="1"/>
  <c r="O92" i="14"/>
  <c r="Q92" i="14" s="1"/>
  <c r="O75" i="14"/>
  <c r="Q75" i="14" s="1"/>
  <c r="O124" i="14"/>
  <c r="Q124" i="14" s="1"/>
  <c r="O55" i="14"/>
  <c r="Q55" i="14" s="1"/>
  <c r="O50" i="14"/>
  <c r="Q50" i="14" s="1"/>
  <c r="O72" i="14"/>
  <c r="Q72" i="14" s="1"/>
  <c r="N5" i="14"/>
  <c r="O58" i="14"/>
  <c r="Q58" i="14" s="1"/>
  <c r="T4" i="14"/>
  <c r="O85" i="14"/>
  <c r="Q85" i="14" s="1"/>
  <c r="O118" i="14"/>
  <c r="Q118" i="14" s="1"/>
  <c r="O110" i="14"/>
  <c r="Q110" i="14" s="1"/>
  <c r="O73" i="14"/>
  <c r="Q73" i="14" s="1"/>
  <c r="O138" i="14"/>
  <c r="Q138" i="14" s="1"/>
  <c r="O129" i="14"/>
  <c r="Q129" i="14" s="1"/>
  <c r="T3" i="14"/>
  <c r="L5" i="14"/>
  <c r="O38" i="14"/>
  <c r="Q38" i="14" s="1"/>
  <c r="Q29" i="14"/>
  <c r="J6" i="14"/>
  <c r="J19" i="14" s="1"/>
  <c r="R128" i="14"/>
  <c r="R105" i="14"/>
  <c r="R112" i="14"/>
  <c r="R50" i="14"/>
  <c r="R93" i="14"/>
  <c r="R84" i="14"/>
  <c r="R34" i="14"/>
  <c r="R131" i="14"/>
  <c r="R119" i="14"/>
  <c r="R114" i="14"/>
  <c r="R107" i="14"/>
  <c r="R94" i="14"/>
  <c r="R71" i="14"/>
  <c r="R132" i="14"/>
  <c r="R102" i="14"/>
  <c r="R89" i="14"/>
  <c r="R127" i="14"/>
  <c r="M26" i="14"/>
  <c r="R37" i="14"/>
  <c r="R29" i="14"/>
  <c r="R78" i="14"/>
  <c r="R129" i="14"/>
  <c r="R68" i="14"/>
  <c r="R115" i="14"/>
  <c r="R123" i="14"/>
  <c r="M32" i="14"/>
  <c r="R108" i="14"/>
  <c r="R91" i="14"/>
  <c r="R40" i="14"/>
  <c r="M46" i="14"/>
  <c r="R109" i="14"/>
  <c r="M113" i="14"/>
  <c r="R138" i="14"/>
  <c r="R43" i="14"/>
  <c r="R83" i="14"/>
  <c r="M143" i="14"/>
  <c r="M41" i="14"/>
  <c r="R58" i="14"/>
  <c r="R67" i="14"/>
  <c r="R92" i="14"/>
  <c r="R47" i="14"/>
  <c r="R25" i="14"/>
  <c r="R42" i="14"/>
  <c r="R80" i="14"/>
  <c r="R52" i="14"/>
  <c r="R150" i="14"/>
  <c r="R54" i="14"/>
  <c r="R69" i="14"/>
  <c r="R120" i="14"/>
  <c r="R118" i="14"/>
  <c r="M149" i="14"/>
  <c r="R134" i="14"/>
  <c r="R103" i="14"/>
  <c r="R122" i="14"/>
  <c r="R62" i="14"/>
  <c r="R64" i="14"/>
  <c r="R90" i="14"/>
  <c r="R79" i="14"/>
  <c r="M117" i="14"/>
  <c r="M133" i="14"/>
  <c r="R38" i="14"/>
  <c r="R57" i="14"/>
  <c r="R126" i="14"/>
  <c r="R39" i="14"/>
  <c r="R87" i="14"/>
  <c r="R125" i="14"/>
  <c r="R101" i="14"/>
  <c r="R135" i="14"/>
  <c r="R85" i="14"/>
  <c r="R136" i="14"/>
  <c r="R145" i="14"/>
  <c r="R77" i="14"/>
  <c r="R33" i="14"/>
  <c r="R61" i="14"/>
  <c r="M86" i="14"/>
  <c r="R65" i="14"/>
  <c r="R48" i="14"/>
  <c r="R148" i="14"/>
  <c r="R110" i="14"/>
  <c r="M51" i="14"/>
  <c r="R56" i="14"/>
  <c r="R66" i="14"/>
  <c r="R36" i="14"/>
  <c r="R23" i="14"/>
  <c r="R95" i="14"/>
  <c r="R96" i="14"/>
  <c r="R144" i="14"/>
  <c r="M45" i="14"/>
  <c r="R98" i="14"/>
  <c r="R60" i="14"/>
  <c r="R146" i="14"/>
  <c r="R81" i="14"/>
  <c r="R28" i="14"/>
  <c r="R97" i="14"/>
  <c r="M100" i="14"/>
  <c r="M104" i="14"/>
  <c r="R141" i="14"/>
  <c r="M130" i="14"/>
  <c r="R70" i="14"/>
  <c r="R31" i="14"/>
  <c r="R121" i="14"/>
  <c r="M53" i="14"/>
  <c r="R142" i="14"/>
  <c r="R137" i="14"/>
  <c r="R44" i="14"/>
  <c r="R49" i="14"/>
  <c r="M140" i="14"/>
  <c r="R63" i="14"/>
  <c r="R124" i="14"/>
  <c r="R139" i="14"/>
  <c r="M82" i="14"/>
  <c r="R116" i="14"/>
  <c r="R76" i="14"/>
  <c r="R99" i="14"/>
  <c r="R88" i="14"/>
  <c r="R55" i="14"/>
  <c r="R111" i="14"/>
  <c r="R27" i="14"/>
  <c r="R35" i="14"/>
  <c r="R147" i="14"/>
  <c r="R59" i="14"/>
  <c r="S81" i="14" l="1"/>
  <c r="S142" i="14"/>
  <c r="S139" i="14"/>
  <c r="I6" i="14"/>
  <c r="I19" i="14" s="1"/>
  <c r="L6" i="14"/>
  <c r="L19" i="14" s="1"/>
  <c r="N6" i="13"/>
  <c r="N19" i="13" s="1"/>
  <c r="I6" i="13"/>
  <c r="I19" i="13" s="1"/>
  <c r="N6" i="14"/>
  <c r="N19" i="14" s="1"/>
  <c r="N265" i="14" s="1"/>
  <c r="T6" i="14"/>
  <c r="T19" i="14" s="1"/>
  <c r="T265" i="14" s="1"/>
  <c r="Q106" i="14"/>
  <c r="O149" i="14"/>
  <c r="Q149" i="14" s="1"/>
  <c r="O143" i="14"/>
  <c r="Q143" i="14" s="1"/>
  <c r="O26" i="14"/>
  <c r="Q26" i="14" s="1"/>
  <c r="O113" i="14"/>
  <c r="Q113" i="14" s="1"/>
  <c r="O100" i="14"/>
  <c r="Q100" i="14" s="1"/>
  <c r="O51" i="14"/>
  <c r="Q51" i="14" s="1"/>
  <c r="O46" i="14"/>
  <c r="Q46" i="14" s="1"/>
  <c r="M4" i="14"/>
  <c r="O41" i="14"/>
  <c r="O117" i="14"/>
  <c r="Q117" i="14" s="1"/>
  <c r="O133" i="14"/>
  <c r="Q133" i="14" s="1"/>
  <c r="O140" i="14"/>
  <c r="Q140" i="14" s="1"/>
  <c r="O130" i="14"/>
  <c r="Q130" i="14" s="1"/>
  <c r="O86" i="14"/>
  <c r="Q86" i="14" s="1"/>
  <c r="O82" i="14"/>
  <c r="Q82" i="14" s="1"/>
  <c r="M5" i="14"/>
  <c r="O45" i="14"/>
  <c r="Q45" i="14" s="1"/>
  <c r="M3" i="14"/>
  <c r="O32" i="14"/>
  <c r="O104" i="14"/>
  <c r="Q104" i="14" s="1"/>
  <c r="O53" i="14"/>
  <c r="Q53" i="14" s="1"/>
  <c r="S38" i="14"/>
  <c r="S85" i="14"/>
  <c r="S58" i="14"/>
  <c r="S50" i="14"/>
  <c r="S123" i="14"/>
  <c r="S60" i="14"/>
  <c r="S91" i="14"/>
  <c r="S125" i="14"/>
  <c r="S92" i="14"/>
  <c r="S62" i="14"/>
  <c r="S42" i="14"/>
  <c r="S99" i="14"/>
  <c r="S122" i="14"/>
  <c r="S107" i="14"/>
  <c r="S52" i="14"/>
  <c r="S69" i="14"/>
  <c r="S47" i="14"/>
  <c r="S97" i="14"/>
  <c r="S44" i="14"/>
  <c r="S89" i="14"/>
  <c r="S120" i="14"/>
  <c r="S115" i="14"/>
  <c r="S144" i="14"/>
  <c r="S79" i="14"/>
  <c r="S63" i="14"/>
  <c r="S64" i="14"/>
  <c r="S43" i="14"/>
  <c r="S78" i="14"/>
  <c r="S138" i="14"/>
  <c r="S146" i="14"/>
  <c r="S124" i="14"/>
  <c r="S134" i="14"/>
  <c r="S109" i="14"/>
  <c r="S57" i="14"/>
  <c r="S66" i="14"/>
  <c r="S27" i="14"/>
  <c r="S93" i="14"/>
  <c r="S65" i="14"/>
  <c r="S40" i="14"/>
  <c r="S31" i="14"/>
  <c r="S141" i="14"/>
  <c r="S116" i="14"/>
  <c r="S28" i="14"/>
  <c r="S101" i="14"/>
  <c r="S36" i="14"/>
  <c r="S105" i="14"/>
  <c r="S148" i="14"/>
  <c r="S95" i="14"/>
  <c r="S71" i="14"/>
  <c r="S111" i="14"/>
  <c r="S74" i="14"/>
  <c r="S23" i="14"/>
  <c r="S103" i="14"/>
  <c r="S77" i="14"/>
  <c r="S128" i="14"/>
  <c r="S88" i="14"/>
  <c r="S96" i="14"/>
  <c r="S15" i="14" s="1"/>
  <c r="S18" i="14" s="1"/>
  <c r="S127" i="14"/>
  <c r="S94" i="14"/>
  <c r="S150" i="14"/>
  <c r="S33" i="14"/>
  <c r="S145" i="14"/>
  <c r="S59" i="14"/>
  <c r="S70" i="14"/>
  <c r="S83" i="14"/>
  <c r="S135" i="14"/>
  <c r="S126" i="14"/>
  <c r="S34" i="14"/>
  <c r="S29" i="14"/>
  <c r="S55" i="14"/>
  <c r="S129" i="14"/>
  <c r="S110" i="14"/>
  <c r="S121" i="14"/>
  <c r="S48" i="14"/>
  <c r="S54" i="14"/>
  <c r="L6" i="13"/>
  <c r="L19" i="13" s="1"/>
  <c r="S118" i="14"/>
  <c r="S72" i="14"/>
  <c r="S84" i="14"/>
  <c r="S13" i="14" s="1"/>
  <c r="S14" i="14" s="1"/>
  <c r="S37" i="14"/>
  <c r="S76" i="14"/>
  <c r="S6" i="13"/>
  <c r="S19" i="13" s="1"/>
  <c r="S39" i="14"/>
  <c r="S35" i="14"/>
  <c r="S90" i="14"/>
  <c r="S56" i="14"/>
  <c r="S61" i="14"/>
  <c r="S114" i="14"/>
  <c r="S136" i="14"/>
  <c r="S25" i="14"/>
  <c r="Q24" i="14"/>
  <c r="S67" i="14"/>
  <c r="S119" i="14"/>
  <c r="S131" i="14"/>
  <c r="S147" i="14"/>
  <c r="S80" i="14"/>
  <c r="S87" i="14"/>
  <c r="S108" i="14"/>
  <c r="S137" i="14"/>
  <c r="S68" i="14"/>
  <c r="S102" i="14"/>
  <c r="S98" i="14"/>
  <c r="S132" i="14"/>
  <c r="S112" i="14"/>
  <c r="S49" i="14"/>
  <c r="R24" i="14"/>
  <c r="R53" i="14"/>
  <c r="R73" i="14"/>
  <c r="R86" i="14"/>
  <c r="R100" i="14"/>
  <c r="R133" i="14"/>
  <c r="R45" i="14"/>
  <c r="R130" i="14"/>
  <c r="R46" i="14"/>
  <c r="R143" i="14"/>
  <c r="R113" i="14"/>
  <c r="R75" i="14"/>
  <c r="R117" i="14"/>
  <c r="R140" i="14"/>
  <c r="R82" i="14"/>
  <c r="R51" i="14"/>
  <c r="R106" i="14"/>
  <c r="R104" i="14"/>
  <c r="R26" i="14"/>
  <c r="R149" i="14"/>
  <c r="S106" i="14" l="1"/>
  <c r="M6" i="13"/>
  <c r="M19" i="13" s="1"/>
  <c r="I7" i="3"/>
  <c r="M7" i="3" s="1"/>
  <c r="Q7" i="3" s="1"/>
  <c r="R5" i="14"/>
  <c r="S73" i="14"/>
  <c r="S75" i="14"/>
  <c r="Q5" i="14"/>
  <c r="S45" i="14"/>
  <c r="H7" i="3"/>
  <c r="S130" i="14"/>
  <c r="S46" i="14"/>
  <c r="S51" i="14"/>
  <c r="S26" i="14"/>
  <c r="S24" i="14"/>
  <c r="Q32" i="14"/>
  <c r="Q3" i="14" s="1"/>
  <c r="O3" i="14"/>
  <c r="S117" i="14"/>
  <c r="M6" i="14"/>
  <c r="M19" i="14" s="1"/>
  <c r="M265" i="14" s="1"/>
  <c r="S53" i="14"/>
  <c r="S9" i="14" s="1"/>
  <c r="S10" i="14" s="1"/>
  <c r="S82" i="14"/>
  <c r="S140" i="14"/>
  <c r="Q41" i="14"/>
  <c r="O4" i="14"/>
  <c r="S100" i="14"/>
  <c r="S143" i="14"/>
  <c r="S104" i="14"/>
  <c r="O5" i="14"/>
  <c r="S86" i="14"/>
  <c r="S133" i="14"/>
  <c r="S113" i="14"/>
  <c r="S149" i="14"/>
  <c r="R41" i="14"/>
  <c r="R32" i="14"/>
  <c r="O6" i="14" l="1"/>
  <c r="O19" i="14" s="1"/>
  <c r="R3" i="14"/>
  <c r="R4" i="14"/>
  <c r="I6" i="3"/>
  <c r="M6" i="3" s="1"/>
  <c r="Q6" i="3" s="1"/>
  <c r="S5" i="14"/>
  <c r="S32" i="14"/>
  <c r="S3" i="14" s="1"/>
  <c r="S41" i="14"/>
  <c r="Q4" i="14"/>
  <c r="Q6" i="14" s="1"/>
  <c r="H6" i="3"/>
  <c r="R6" i="14" l="1"/>
  <c r="R19" i="14" s="1"/>
  <c r="S4" i="14"/>
  <c r="S6" i="14" s="1"/>
  <c r="S19" i="14" s="1"/>
  <c r="S265" i="14" s="1"/>
  <c r="J265" i="14" s="1"/>
  <c r="P6" i="13"/>
  <c r="P19" i="13" s="1"/>
  <c r="H5" i="3"/>
  <c r="H17" i="3" s="1"/>
  <c r="Q19" i="14"/>
  <c r="I5" i="3"/>
  <c r="Q6" i="13"/>
  <c r="Q19" i="13" s="1"/>
  <c r="R6" i="13" l="1"/>
  <c r="R19" i="13" s="1"/>
  <c r="M5" i="3"/>
  <c r="I17" i="3"/>
  <c r="M17" i="3" l="1"/>
  <c r="Q5" i="3"/>
</calcChain>
</file>

<file path=xl/comments1.xml><?xml version="1.0" encoding="utf-8"?>
<comments xmlns="http://schemas.openxmlformats.org/spreadsheetml/2006/main">
  <authors>
    <author>Michael McRae</author>
  </authors>
  <commentList>
    <comment ref="Q18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NetOrigin renew Magma Computing domain</t>
        </r>
      </text>
    </comment>
    <comment ref="M19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Broker Fee</t>
        </r>
      </text>
    </comment>
    <comment ref="O19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Stamp Duty</t>
        </r>
      </text>
    </comment>
    <comment ref="AQ121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Remission of general interest charge 27-Oct</t>
        </r>
      </text>
    </comment>
    <comment ref="AS291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paid to George, Taggle travel expenses</t>
        </r>
      </text>
    </comment>
  </commentList>
</comments>
</file>

<file path=xl/comments2.xml><?xml version="1.0" encoding="utf-8"?>
<comments xmlns="http://schemas.openxmlformats.org/spreadsheetml/2006/main">
  <authors>
    <author>Michael McRae</author>
  </authors>
  <commentList>
    <comment ref="E383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Underpaid</t>
        </r>
      </text>
    </comment>
    <comment ref="E392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overpaid</t>
        </r>
      </text>
    </comment>
  </commentList>
</comments>
</file>

<file path=xl/sharedStrings.xml><?xml version="1.0" encoding="utf-8"?>
<sst xmlns="http://schemas.openxmlformats.org/spreadsheetml/2006/main" count="3800" uniqueCount="951">
  <si>
    <t xml:space="preserve">Receipts Journal </t>
  </si>
  <si>
    <t>G.S.T.</t>
  </si>
  <si>
    <t>Dy</t>
  </si>
  <si>
    <t>Invoice</t>
  </si>
  <si>
    <t>Customer</t>
  </si>
  <si>
    <t>Project</t>
  </si>
  <si>
    <t>Services</t>
  </si>
  <si>
    <t>Expenses</t>
  </si>
  <si>
    <t>Receipts</t>
  </si>
  <si>
    <t>Free</t>
  </si>
  <si>
    <t>Banked</t>
  </si>
  <si>
    <t>Jul</t>
  </si>
  <si>
    <t>Aug</t>
  </si>
  <si>
    <t>Sep</t>
  </si>
  <si>
    <t>Quarter 1</t>
  </si>
  <si>
    <t>Oct</t>
  </si>
  <si>
    <t>Nov</t>
  </si>
  <si>
    <t>Dec</t>
  </si>
  <si>
    <t>Quarter 2</t>
  </si>
  <si>
    <t>Jan</t>
  </si>
  <si>
    <t>Feb</t>
  </si>
  <si>
    <t>Mar</t>
  </si>
  <si>
    <t>Quarter 3</t>
  </si>
  <si>
    <t>Apr</t>
  </si>
  <si>
    <t>May</t>
  </si>
  <si>
    <t>Jun</t>
  </si>
  <si>
    <t>Quarter 4</t>
  </si>
  <si>
    <t>YTD Totals</t>
  </si>
  <si>
    <t>Payments Journal</t>
  </si>
  <si>
    <t>GST</t>
  </si>
  <si>
    <t>Phone</t>
  </si>
  <si>
    <t>Pay</t>
  </si>
  <si>
    <t>Subcontract</t>
  </si>
  <si>
    <t xml:space="preserve">Super </t>
  </si>
  <si>
    <t>Admin</t>
  </si>
  <si>
    <t>Tax</t>
  </si>
  <si>
    <t>Training</t>
  </si>
  <si>
    <t>Travel</t>
  </si>
  <si>
    <t>Balance</t>
  </si>
  <si>
    <t>Total Paid</t>
  </si>
  <si>
    <t>Day</t>
  </si>
  <si>
    <t>To Whom</t>
  </si>
  <si>
    <t>Description</t>
  </si>
  <si>
    <t>Capital</t>
  </si>
  <si>
    <t>Non-Cap</t>
  </si>
  <si>
    <t>Reimburse</t>
  </si>
  <si>
    <t>Accom</t>
  </si>
  <si>
    <t>Airfare</t>
  </si>
  <si>
    <t>Car</t>
  </si>
  <si>
    <t>Company</t>
  </si>
  <si>
    <t>Equip</t>
  </si>
  <si>
    <t>Fees</t>
  </si>
  <si>
    <t>Insurances</t>
  </si>
  <si>
    <t>Internet</t>
  </si>
  <si>
    <t>Loan</t>
  </si>
  <si>
    <t>MAM</t>
  </si>
  <si>
    <t>JEC</t>
  </si>
  <si>
    <t>CRP</t>
  </si>
  <si>
    <t>SM</t>
  </si>
  <si>
    <t>RPG</t>
  </si>
  <si>
    <t>Allowance</t>
  </si>
  <si>
    <t>Sacrifice</t>
  </si>
  <si>
    <t>Contract</t>
  </si>
  <si>
    <t>PAYG</t>
  </si>
  <si>
    <t>MCS</t>
  </si>
  <si>
    <t>Income</t>
  </si>
  <si>
    <t>Opening Balance</t>
  </si>
  <si>
    <t>Commonwealth Bank</t>
  </si>
  <si>
    <t>Michael McRae</t>
  </si>
  <si>
    <t>Giselle</t>
  </si>
  <si>
    <t>Taggle</t>
  </si>
  <si>
    <t>Total for July</t>
  </si>
  <si>
    <t>Total for August</t>
  </si>
  <si>
    <t>Total for September</t>
  </si>
  <si>
    <t xml:space="preserve">   Quarter 1</t>
  </si>
  <si>
    <t>Total for October</t>
  </si>
  <si>
    <t>Total for November</t>
  </si>
  <si>
    <t>Total for December</t>
  </si>
  <si>
    <t xml:space="preserve">   Quarter 2</t>
  </si>
  <si>
    <t>Total for January</t>
  </si>
  <si>
    <t>Total for February</t>
  </si>
  <si>
    <t>Total for March</t>
  </si>
  <si>
    <t xml:space="preserve">   Quarter 3</t>
  </si>
  <si>
    <t>Total for April</t>
  </si>
  <si>
    <t>Total for May</t>
  </si>
  <si>
    <t>Total for June</t>
  </si>
  <si>
    <t xml:space="preserve">   Quarter 4</t>
  </si>
  <si>
    <t>Closing Balance</t>
  </si>
  <si>
    <t>.</t>
  </si>
  <si>
    <t>Input</t>
  </si>
  <si>
    <t>Total</t>
  </si>
  <si>
    <t>Payg</t>
  </si>
  <si>
    <t>Earn-</t>
  </si>
  <si>
    <t>@</t>
  </si>
  <si>
    <t>=</t>
  </si>
  <si>
    <t>Date</t>
  </si>
  <si>
    <t>(inc GST)</t>
  </si>
  <si>
    <t>Payable</t>
  </si>
  <si>
    <t>Purch</t>
  </si>
  <si>
    <t>Credits</t>
  </si>
  <si>
    <t>Net</t>
  </si>
  <si>
    <t>Salary</t>
  </si>
  <si>
    <t>W'Held</t>
  </si>
  <si>
    <t>ings</t>
  </si>
  <si>
    <t>%</t>
  </si>
  <si>
    <t>Due</t>
  </si>
  <si>
    <t>Paid</t>
  </si>
  <si>
    <t>M1</t>
  </si>
  <si>
    <t>M2</t>
  </si>
  <si>
    <t>Q1</t>
  </si>
  <si>
    <t>M4</t>
  </si>
  <si>
    <t>M5</t>
  </si>
  <si>
    <t>Q2</t>
  </si>
  <si>
    <t>M7</t>
  </si>
  <si>
    <t>M8</t>
  </si>
  <si>
    <t>Q3</t>
  </si>
  <si>
    <t>M10</t>
  </si>
  <si>
    <t>M11</t>
  </si>
  <si>
    <t>Q4</t>
  </si>
  <si>
    <t>YTD</t>
  </si>
  <si>
    <t>Invoices</t>
  </si>
  <si>
    <t>Totals</t>
  </si>
  <si>
    <t>Column1</t>
  </si>
  <si>
    <t>Column2</t>
  </si>
  <si>
    <t>Column3</t>
  </si>
  <si>
    <t>Who</t>
  </si>
  <si>
    <t>Units</t>
  </si>
  <si>
    <t>Invc'd</t>
  </si>
  <si>
    <t>Rate</t>
  </si>
  <si>
    <t>Amt</t>
  </si>
  <si>
    <t>Extras</t>
  </si>
  <si>
    <t>GST Free</t>
  </si>
  <si>
    <t>UnPaid</t>
  </si>
  <si>
    <t>Sub</t>
  </si>
  <si>
    <t>Worker</t>
  </si>
  <si>
    <t>GST2</t>
  </si>
  <si>
    <t>SubInv'd</t>
  </si>
  <si>
    <t>Profit</t>
  </si>
  <si>
    <t>Agent</t>
  </si>
  <si>
    <t>Inv Period</t>
  </si>
  <si>
    <t>Paid Period</t>
  </si>
  <si>
    <t>75</t>
  </si>
  <si>
    <t>23</t>
  </si>
  <si>
    <t>76</t>
  </si>
  <si>
    <t>24</t>
  </si>
  <si>
    <t>10</t>
  </si>
  <si>
    <t>JOC</t>
  </si>
  <si>
    <t>55</t>
  </si>
  <si>
    <t>52</t>
  </si>
  <si>
    <t>57</t>
  </si>
  <si>
    <t>78</t>
  </si>
  <si>
    <t>25</t>
  </si>
  <si>
    <t>53</t>
  </si>
  <si>
    <t>79</t>
  </si>
  <si>
    <t>54</t>
  </si>
  <si>
    <t>26</t>
  </si>
  <si>
    <t>56</t>
  </si>
  <si>
    <t>20</t>
  </si>
  <si>
    <t>27</t>
  </si>
  <si>
    <t>58</t>
  </si>
  <si>
    <t>21</t>
  </si>
  <si>
    <t>22</t>
  </si>
  <si>
    <t>28</t>
  </si>
  <si>
    <t>60</t>
  </si>
  <si>
    <t>61</t>
  </si>
  <si>
    <t>29</t>
  </si>
  <si>
    <t>62</t>
  </si>
  <si>
    <t>77</t>
  </si>
  <si>
    <t>63</t>
  </si>
  <si>
    <t>30</t>
  </si>
  <si>
    <t>31</t>
  </si>
  <si>
    <t>Id</t>
  </si>
  <si>
    <t>Customer Name</t>
  </si>
  <si>
    <t>Billing Address</t>
  </si>
  <si>
    <t>Contact</t>
  </si>
  <si>
    <t xml:space="preserve"> </t>
  </si>
  <si>
    <t>0</t>
  </si>
  <si>
    <t>Taggle Systems</t>
  </si>
  <si>
    <t>Suite 201 National Innovation Centre, ATP,4 Cornwallis Street,Eveleigh NSW 2015</t>
  </si>
  <si>
    <t>John Quinn</t>
  </si>
  <si>
    <t>MLC</t>
  </si>
  <si>
    <t>Stephen Davey</t>
  </si>
  <si>
    <t>Adaps</t>
  </si>
  <si>
    <t>DWS</t>
  </si>
  <si>
    <t>QBE</t>
  </si>
  <si>
    <t>Level 9, 82 Pitt Street, 2000</t>
  </si>
  <si>
    <t>Ray Cooksley</t>
  </si>
  <si>
    <t>Utelco</t>
  </si>
  <si>
    <t>Interpro</t>
  </si>
  <si>
    <t>Radius Solutions Group</t>
  </si>
  <si>
    <t>Marie Roudenko</t>
  </si>
  <si>
    <t>PMWorks</t>
  </si>
  <si>
    <t>Suite 101, Level 1 22-24 Atchison Street, St Leonards</t>
  </si>
  <si>
    <t>Steven Gill</t>
  </si>
  <si>
    <t>Cornerstone</t>
  </si>
  <si>
    <t>Avantis</t>
  </si>
  <si>
    <t>Alice Lumkin</t>
  </si>
  <si>
    <t>CCA</t>
  </si>
  <si>
    <t>David Frizzell</t>
  </si>
  <si>
    <t>40</t>
  </si>
  <si>
    <t>Level 1, 85 Harrington Street, The Rocks</t>
  </si>
  <si>
    <t>Maurice Leung</t>
  </si>
  <si>
    <t>42</t>
  </si>
  <si>
    <t>DataStage Training</t>
  </si>
  <si>
    <t>43</t>
  </si>
  <si>
    <t>Data Agility</t>
  </si>
  <si>
    <t>Level 17, 60 Albert Road, South Melbourne</t>
  </si>
  <si>
    <t>Mal Collins</t>
  </si>
  <si>
    <t>44</t>
  </si>
  <si>
    <t>Sapphire</t>
  </si>
  <si>
    <t>Caroline Casey</t>
  </si>
  <si>
    <t>45</t>
  </si>
  <si>
    <t>Satyam</t>
  </si>
  <si>
    <t>46</t>
  </si>
  <si>
    <t>InfoPeople</t>
  </si>
  <si>
    <t>Betty Mouawad</t>
  </si>
  <si>
    <t>50</t>
  </si>
  <si>
    <t>Adaptra</t>
  </si>
  <si>
    <t>Steve Rapley</t>
  </si>
  <si>
    <t>51</t>
  </si>
  <si>
    <t>Nova IT</t>
  </si>
  <si>
    <t>Experis</t>
  </si>
  <si>
    <t>RXP Services</t>
  </si>
  <si>
    <t>Stephen Wayne</t>
  </si>
  <si>
    <t>Certus</t>
  </si>
  <si>
    <t>Jacqui Woods</t>
  </si>
  <si>
    <t>M&amp;T Resources</t>
  </si>
  <si>
    <t>Finite</t>
  </si>
  <si>
    <t>Talent International</t>
  </si>
  <si>
    <t>HP</t>
  </si>
  <si>
    <t>Matt Dowling</t>
  </si>
  <si>
    <t>HCL</t>
  </si>
  <si>
    <t>Suparna Mallick</t>
  </si>
  <si>
    <t>CIT Professionals</t>
  </si>
  <si>
    <t>DB Group</t>
  </si>
  <si>
    <t>Ian Hillman</t>
  </si>
  <si>
    <t>70</t>
  </si>
  <si>
    <t>Capgemini</t>
  </si>
  <si>
    <t>71</t>
  </si>
  <si>
    <t>SuperChoice</t>
  </si>
  <si>
    <t>Ian Gibson</t>
  </si>
  <si>
    <t>72</t>
  </si>
  <si>
    <t>73</t>
  </si>
  <si>
    <t>MyGym Health and Fitness</t>
  </si>
  <si>
    <t>74</t>
  </si>
  <si>
    <t>Centennial Health Club</t>
  </si>
  <si>
    <t>Sydney Cricket and Sports Ground</t>
  </si>
  <si>
    <t>Norths</t>
  </si>
  <si>
    <t>All Sorts Fitness</t>
  </si>
  <si>
    <t>Dave Crossley</t>
  </si>
  <si>
    <t>Virgin Active</t>
  </si>
  <si>
    <t>North Shore Gym</t>
  </si>
  <si>
    <t>80</t>
  </si>
  <si>
    <t>University of Tasmania</t>
  </si>
  <si>
    <t>Brent Fieke</t>
  </si>
  <si>
    <t>90</t>
  </si>
  <si>
    <t>Miscellaneous</t>
  </si>
  <si>
    <t>99</t>
  </si>
  <si>
    <t>Magma Super</t>
  </si>
  <si>
    <t>Next</t>
  </si>
  <si>
    <t>Purchase Order</t>
  </si>
  <si>
    <t>1001</t>
  </si>
  <si>
    <t>Product Support / Documentation</t>
  </si>
  <si>
    <t>2001</t>
  </si>
  <si>
    <t>Encompass</t>
  </si>
  <si>
    <t>ETL Architect</t>
  </si>
  <si>
    <t>2101</t>
  </si>
  <si>
    <t>2201</t>
  </si>
  <si>
    <t>Trade-Up</t>
  </si>
  <si>
    <t>2301</t>
  </si>
  <si>
    <t>CTP Phase I</t>
  </si>
  <si>
    <t>scripting</t>
  </si>
  <si>
    <t>2302</t>
  </si>
  <si>
    <t>CTP Phase II</t>
  </si>
  <si>
    <t>programming</t>
  </si>
  <si>
    <t>2303</t>
  </si>
  <si>
    <t>CTP Phase III</t>
  </si>
  <si>
    <t>2304</t>
  </si>
  <si>
    <t>Bodily Injury</t>
  </si>
  <si>
    <t>2305</t>
  </si>
  <si>
    <t>Support</t>
  </si>
  <si>
    <t>Phani</t>
  </si>
  <si>
    <t>2306</t>
  </si>
  <si>
    <t>GIO support</t>
  </si>
  <si>
    <t>2310</t>
  </si>
  <si>
    <t>Sub-Contract</t>
  </si>
  <si>
    <t>Architect</t>
  </si>
  <si>
    <t>2401</t>
  </si>
  <si>
    <t>Telstra Wholesale</t>
  </si>
  <si>
    <t>DataStage Developer</t>
  </si>
  <si>
    <t>2501</t>
  </si>
  <si>
    <t>Bearing Point</t>
  </si>
  <si>
    <t>2502</t>
  </si>
  <si>
    <t>DataStage Technical Lead</t>
  </si>
  <si>
    <t>2601</t>
  </si>
  <si>
    <t>Lion Nathan</t>
  </si>
  <si>
    <t>2701</t>
  </si>
  <si>
    <t>2702</t>
  </si>
  <si>
    <t>2801</t>
  </si>
  <si>
    <t>DataStage Support</t>
  </si>
  <si>
    <t>2901</t>
  </si>
  <si>
    <t>3001</t>
  </si>
  <si>
    <t>SPCA</t>
  </si>
  <si>
    <t>Shyam</t>
  </si>
  <si>
    <t>3101</t>
  </si>
  <si>
    <t>SPCA Ardmona</t>
  </si>
  <si>
    <t>4001</t>
  </si>
  <si>
    <t>DataStage Architect</t>
  </si>
  <si>
    <t>4002</t>
  </si>
  <si>
    <t>4003</t>
  </si>
  <si>
    <t>TMF Assist</t>
  </si>
  <si>
    <t>4004</t>
  </si>
  <si>
    <t>Rehab Assist</t>
  </si>
  <si>
    <t>4101</t>
  </si>
  <si>
    <t>4102</t>
  </si>
  <si>
    <t>BCB Bank</t>
  </si>
  <si>
    <t>4201</t>
  </si>
  <si>
    <t>DataStage Enterprise Edition</t>
  </si>
  <si>
    <t>4301</t>
  </si>
  <si>
    <t>News Limited</t>
  </si>
  <si>
    <t>4401</t>
  </si>
  <si>
    <t>4501</t>
  </si>
  <si>
    <t>Telstra</t>
  </si>
  <si>
    <t>4502</t>
  </si>
  <si>
    <t>4503</t>
  </si>
  <si>
    <t>Telstra TR1</t>
  </si>
  <si>
    <t>4504</t>
  </si>
  <si>
    <t>Unilever</t>
  </si>
  <si>
    <t>4505</t>
  </si>
  <si>
    <t>4506</t>
  </si>
  <si>
    <t>Unilever Eswar</t>
  </si>
  <si>
    <t>4507</t>
  </si>
  <si>
    <t>Unilever Soma</t>
  </si>
  <si>
    <t>4508</t>
  </si>
  <si>
    <t>Standard Bank</t>
  </si>
  <si>
    <t>4509</t>
  </si>
  <si>
    <t>Telstra Trainees</t>
  </si>
  <si>
    <t>4510</t>
  </si>
  <si>
    <t>Suncorp</t>
  </si>
  <si>
    <t>DataStage Server Edition</t>
  </si>
  <si>
    <t>4601</t>
  </si>
  <si>
    <t>5001</t>
  </si>
  <si>
    <t>Genworth Financial</t>
  </si>
  <si>
    <t>Migration Architect</t>
  </si>
  <si>
    <t>5002</t>
  </si>
  <si>
    <t>ETL Developer</t>
  </si>
  <si>
    <t>5003</t>
  </si>
  <si>
    <t>NSW Law Society</t>
  </si>
  <si>
    <t>Migration Analysis</t>
  </si>
  <si>
    <t>5004</t>
  </si>
  <si>
    <t>IAG</t>
  </si>
  <si>
    <t>ClaimCenter BulkLoading</t>
  </si>
  <si>
    <t>5010</t>
  </si>
  <si>
    <t>5101</t>
  </si>
  <si>
    <t>5102</t>
  </si>
  <si>
    <t>5201</t>
  </si>
  <si>
    <t>IBM</t>
  </si>
  <si>
    <t>5301</t>
  </si>
  <si>
    <t>InfoSphere Information Server</t>
  </si>
  <si>
    <t>5401</t>
  </si>
  <si>
    <t>QSuper</t>
  </si>
  <si>
    <t>InfoSphere Information Server Developer</t>
  </si>
  <si>
    <t>5402</t>
  </si>
  <si>
    <t>5501</t>
  </si>
  <si>
    <t>Sparq</t>
  </si>
  <si>
    <t>5502</t>
  </si>
  <si>
    <t>Chandra incentive InfoSphere Information Server Developer</t>
  </si>
  <si>
    <t>5503</t>
  </si>
  <si>
    <t>Rajendra InfoSphere Information Server Developer</t>
  </si>
  <si>
    <t>5504</t>
  </si>
  <si>
    <t>NBN</t>
  </si>
  <si>
    <t>McRae ETL Tech Lead</t>
  </si>
  <si>
    <t>5505</t>
  </si>
  <si>
    <t>5506</t>
  </si>
  <si>
    <t>McRae InfoSphere Information Server Developer</t>
  </si>
  <si>
    <t>5507</t>
  </si>
  <si>
    <t>5601</t>
  </si>
  <si>
    <t>AMP</t>
  </si>
  <si>
    <t>Data Modeller (Giselle)</t>
  </si>
  <si>
    <t>5701</t>
  </si>
  <si>
    <t>6001</t>
  </si>
  <si>
    <t>6101</t>
  </si>
  <si>
    <t>6102</t>
  </si>
  <si>
    <t>6201</t>
  </si>
  <si>
    <t>EB Services</t>
  </si>
  <si>
    <t>DataWarehouse Consultant</t>
  </si>
  <si>
    <t>6301</t>
  </si>
  <si>
    <t>6302</t>
  </si>
  <si>
    <t>DB Results</t>
  </si>
  <si>
    <t>Special Project</t>
  </si>
  <si>
    <t>6303</t>
  </si>
  <si>
    <t>Transurban</t>
  </si>
  <si>
    <t>Oracle, DataStage</t>
  </si>
  <si>
    <t>7001</t>
  </si>
  <si>
    <t>SP-Ausnet</t>
  </si>
  <si>
    <t>DataStage</t>
  </si>
  <si>
    <t>7101</t>
  </si>
  <si>
    <t>ANZ</t>
  </si>
  <si>
    <t>Talend, SOW 3</t>
  </si>
  <si>
    <t>7201</t>
  </si>
  <si>
    <t>7301</t>
  </si>
  <si>
    <t>Fitness Instructor</t>
  </si>
  <si>
    <t>7401</t>
  </si>
  <si>
    <t>7501</t>
  </si>
  <si>
    <t>SCGT</t>
  </si>
  <si>
    <t>7601</t>
  </si>
  <si>
    <t>7701</t>
  </si>
  <si>
    <t>AllSorts</t>
  </si>
  <si>
    <t>7702</t>
  </si>
  <si>
    <t>Your Fitness</t>
  </si>
  <si>
    <t>7703</t>
  </si>
  <si>
    <t>7801</t>
  </si>
  <si>
    <t>Virgin Active - Moore Park</t>
  </si>
  <si>
    <t>7802</t>
  </si>
  <si>
    <t>Virgin Active - Pitt Street</t>
  </si>
  <si>
    <t>7901</t>
  </si>
  <si>
    <t>7902</t>
  </si>
  <si>
    <t>FitBodz</t>
  </si>
  <si>
    <t>7903</t>
  </si>
  <si>
    <t>8001</t>
  </si>
  <si>
    <t>UniVerse upgrade</t>
  </si>
  <si>
    <t>9000</t>
  </si>
  <si>
    <t>AlphaWest</t>
  </si>
  <si>
    <t>9900</t>
  </si>
  <si>
    <t>Account Balances</t>
  </si>
  <si>
    <t>Type</t>
  </si>
  <si>
    <t>Avail</t>
  </si>
  <si>
    <t>BSB</t>
  </si>
  <si>
    <t>A/C</t>
  </si>
  <si>
    <t>Commonwealth</t>
  </si>
  <si>
    <t>062-243</t>
  </si>
  <si>
    <t>1004 1652</t>
  </si>
  <si>
    <t xml:space="preserve">            Magma Total</t>
  </si>
  <si>
    <t>TFN</t>
  </si>
  <si>
    <t>92 461 338</t>
  </si>
  <si>
    <t>ABN</t>
  </si>
  <si>
    <t>54 072 965 256</t>
  </si>
  <si>
    <t>ACN</t>
  </si>
  <si>
    <t>072 965 256</t>
  </si>
  <si>
    <t>Debit</t>
  </si>
  <si>
    <t>Notes</t>
  </si>
  <si>
    <t>Amount</t>
  </si>
  <si>
    <t>Narrative</t>
  </si>
  <si>
    <t>Company Totals</t>
  </si>
  <si>
    <t>Mon</t>
  </si>
  <si>
    <t>Period</t>
  </si>
  <si>
    <t>Client</t>
  </si>
  <si>
    <t>Otime</t>
  </si>
  <si>
    <t>Invoiced</t>
  </si>
  <si>
    <t>-MgmtFee</t>
  </si>
  <si>
    <t>=Gross</t>
  </si>
  <si>
    <t>-Allowance</t>
  </si>
  <si>
    <t>-Sacrifice</t>
  </si>
  <si>
    <t>-Super</t>
  </si>
  <si>
    <t>-TopUp</t>
  </si>
  <si>
    <t>-Insurance</t>
  </si>
  <si>
    <t>-PayRollTax</t>
  </si>
  <si>
    <t>=Salary</t>
  </si>
  <si>
    <t>-Tax</t>
  </si>
  <si>
    <t>=Nett</t>
  </si>
  <si>
    <t>+Expenses</t>
  </si>
  <si>
    <t xml:space="preserve">  </t>
  </si>
  <si>
    <t>Emp ID:</t>
  </si>
  <si>
    <t>Pay Totals</t>
  </si>
  <si>
    <t>Employee</t>
  </si>
  <si>
    <t>Join</t>
  </si>
  <si>
    <t>EmpID</t>
  </si>
  <si>
    <t>Full Name</t>
  </si>
  <si>
    <t>PayDay</t>
  </si>
  <si>
    <t>*</t>
  </si>
  <si>
    <t>All Employees</t>
  </si>
  <si>
    <t>Chandra Raja Pandian</t>
  </si>
  <si>
    <t>KAI</t>
  </si>
  <si>
    <t>Sathya Mohan</t>
  </si>
  <si>
    <t>YU</t>
  </si>
  <si>
    <t>Pay Details</t>
  </si>
  <si>
    <t>Pay Table Lookup</t>
  </si>
  <si>
    <t>Emp</t>
  </si>
  <si>
    <t>Casual</t>
  </si>
  <si>
    <t>Gross</t>
  </si>
  <si>
    <t>Super</t>
  </si>
  <si>
    <t>TopUp</t>
  </si>
  <si>
    <t>Insurance</t>
  </si>
  <si>
    <t>PayRollTax</t>
  </si>
  <si>
    <t>Nett</t>
  </si>
  <si>
    <t>Summary</t>
  </si>
  <si>
    <t>Allow</t>
  </si>
  <si>
    <t>NonMonth</t>
  </si>
  <si>
    <t>Unit</t>
  </si>
  <si>
    <t>O'Time</t>
  </si>
  <si>
    <t>State</t>
  </si>
  <si>
    <t>Offset</t>
  </si>
  <si>
    <t>Comment</t>
  </si>
  <si>
    <t>SPARQ70</t>
  </si>
  <si>
    <t>SPARQ30</t>
  </si>
  <si>
    <t>MAGMA</t>
  </si>
  <si>
    <t>IAG40</t>
  </si>
  <si>
    <t>IAG50</t>
  </si>
  <si>
    <t>IAG10</t>
  </si>
  <si>
    <t>TAGGLE</t>
  </si>
  <si>
    <t>NBN2</t>
  </si>
  <si>
    <t>IAG51</t>
  </si>
  <si>
    <t>IAG09</t>
  </si>
  <si>
    <t>NEWS</t>
  </si>
  <si>
    <t>NAB</t>
  </si>
  <si>
    <t>IAG45</t>
  </si>
  <si>
    <t>IAG55</t>
  </si>
  <si>
    <t>Payments</t>
  </si>
  <si>
    <t>Detail</t>
  </si>
  <si>
    <t>Totals Due</t>
  </si>
  <si>
    <t>Allowances &amp; Expenses</t>
  </si>
  <si>
    <t>Earned?</t>
  </si>
  <si>
    <t>+LAFHA</t>
  </si>
  <si>
    <t>Special</t>
  </si>
  <si>
    <t>-NoReimburse</t>
  </si>
  <si>
    <t>-Reimburse</t>
  </si>
  <si>
    <t>(GST)</t>
  </si>
  <si>
    <t>(Cost)</t>
  </si>
  <si>
    <t>Non-Monthly Payers</t>
  </si>
  <si>
    <t>paid</t>
  </si>
  <si>
    <t>email</t>
  </si>
  <si>
    <t>Ending</t>
  </si>
  <si>
    <t>Other</t>
  </si>
  <si>
    <t>LAFHA</t>
  </si>
  <si>
    <t>(cab / rail)</t>
  </si>
  <si>
    <t>Food/Meals</t>
  </si>
  <si>
    <t>Mgmt</t>
  </si>
  <si>
    <t>Nobody</t>
  </si>
  <si>
    <t>M</t>
  </si>
  <si>
    <t>Daily</t>
  </si>
  <si>
    <t>N</t>
  </si>
  <si>
    <t>ARH</t>
  </si>
  <si>
    <t>AVANTIS</t>
  </si>
  <si>
    <t>SMB</t>
  </si>
  <si>
    <t>O</t>
  </si>
  <si>
    <t>BCB</t>
  </si>
  <si>
    <t>SRP</t>
  </si>
  <si>
    <t>Greythorn</t>
  </si>
  <si>
    <t>W</t>
  </si>
  <si>
    <t>Hourly</t>
  </si>
  <si>
    <t>C3</t>
  </si>
  <si>
    <t>RR</t>
  </si>
  <si>
    <t>Total Resource</t>
  </si>
  <si>
    <t>CBA</t>
  </si>
  <si>
    <t>CBA1</t>
  </si>
  <si>
    <t>Unknown</t>
  </si>
  <si>
    <t>CIS</t>
  </si>
  <si>
    <t>EB</t>
  </si>
  <si>
    <t>CIT</t>
  </si>
  <si>
    <t>COAL</t>
  </si>
  <si>
    <t>Auscoal</t>
  </si>
  <si>
    <t>Partner Sacrifice for CRP/SM</t>
  </si>
  <si>
    <t>CRP1</t>
  </si>
  <si>
    <t>CRP2</t>
  </si>
  <si>
    <t>SKR</t>
  </si>
  <si>
    <t>Partner Sacrifice for SRP/SKR</t>
  </si>
  <si>
    <t>CRP3</t>
  </si>
  <si>
    <t>CWB</t>
  </si>
  <si>
    <t>DUMMY</t>
  </si>
  <si>
    <t>Magma</t>
  </si>
  <si>
    <t>KMP</t>
  </si>
  <si>
    <t>SS</t>
  </si>
  <si>
    <t>EB1</t>
  </si>
  <si>
    <t>EXPERIS</t>
  </si>
  <si>
    <t>AP</t>
  </si>
  <si>
    <t>HCL2</t>
  </si>
  <si>
    <t>TMB</t>
  </si>
  <si>
    <t>PM Works</t>
  </si>
  <si>
    <t>A</t>
  </si>
  <si>
    <t>DataAgility</t>
  </si>
  <si>
    <t>F</t>
  </si>
  <si>
    <t>MTR</t>
  </si>
  <si>
    <t>QSUPER</t>
  </si>
  <si>
    <t>Q</t>
  </si>
  <si>
    <t>SATYAM</t>
  </si>
  <si>
    <t>EP</t>
  </si>
  <si>
    <t>V</t>
  </si>
  <si>
    <t>MK</t>
  </si>
  <si>
    <t>NK</t>
  </si>
  <si>
    <t>PK</t>
  </si>
  <si>
    <t>SATYAM_OS</t>
  </si>
  <si>
    <t>SATYAM1</t>
  </si>
  <si>
    <t>SATYAM2</t>
  </si>
  <si>
    <t>SATYAM3</t>
  </si>
  <si>
    <t>SATYAM4</t>
  </si>
  <si>
    <t>SATYAMtr</t>
  </si>
  <si>
    <t>SATYAMtr2</t>
  </si>
  <si>
    <t>SPA</t>
  </si>
  <si>
    <t>SPA1</t>
  </si>
  <si>
    <t>SPARQ100</t>
  </si>
  <si>
    <t>SPARQa70</t>
  </si>
  <si>
    <t>Bonus 1% for Rajendra</t>
  </si>
  <si>
    <t>SPARQa30</t>
  </si>
  <si>
    <t>Partner Sacrifice for SRP</t>
  </si>
  <si>
    <t>STANDARD</t>
  </si>
  <si>
    <t>SUNCORP</t>
  </si>
  <si>
    <t>ABD</t>
  </si>
  <si>
    <t>NovaIT</t>
  </si>
  <si>
    <t>TASUNI</t>
  </si>
  <si>
    <t>T</t>
  </si>
  <si>
    <t>TELSTRA</t>
  </si>
  <si>
    <t>TRAIN</t>
  </si>
  <si>
    <t>UNILEVER</t>
  </si>
  <si>
    <t>UNILEVER1</t>
  </si>
  <si>
    <t>SK</t>
  </si>
  <si>
    <t>URBAN</t>
  </si>
  <si>
    <t>HVO</t>
  </si>
  <si>
    <t>SPARQ</t>
  </si>
  <si>
    <t>AMP55</t>
  </si>
  <si>
    <t>AMP50</t>
  </si>
  <si>
    <t>AMP45</t>
  </si>
  <si>
    <t>AMP40</t>
  </si>
  <si>
    <t>M+</t>
  </si>
  <si>
    <t>AMP35</t>
  </si>
  <si>
    <t>AMP15</t>
  </si>
  <si>
    <t>AMP10</t>
  </si>
  <si>
    <t>AMP05</t>
  </si>
  <si>
    <t>IAG05</t>
  </si>
  <si>
    <t>Director</t>
  </si>
  <si>
    <t>One-off</t>
  </si>
  <si>
    <t>NoAdmin</t>
  </si>
  <si>
    <t>Fee</t>
  </si>
  <si>
    <t>GEO</t>
  </si>
  <si>
    <t>Hanieh Akhlaghi</t>
  </si>
  <si>
    <t>5801</t>
  </si>
  <si>
    <t>1002</t>
  </si>
  <si>
    <t>Technical Support</t>
  </si>
  <si>
    <t>IAG70</t>
  </si>
  <si>
    <t>IAG30</t>
  </si>
  <si>
    <t>George Zisis</t>
  </si>
  <si>
    <t>Life Changing Experience</t>
  </si>
  <si>
    <t>IAG100</t>
  </si>
  <si>
    <t>Sum of Amt</t>
  </si>
  <si>
    <t>Grand Total</t>
  </si>
  <si>
    <t>Month</t>
  </si>
  <si>
    <t>QJZ</t>
  </si>
  <si>
    <t>ANZ65</t>
  </si>
  <si>
    <t>ANZ25</t>
  </si>
  <si>
    <t>ANZ10</t>
  </si>
  <si>
    <t>ANZ75</t>
  </si>
  <si>
    <t>ANZ20</t>
  </si>
  <si>
    <t>ANZ05</t>
  </si>
  <si>
    <t>timesheeted</t>
  </si>
  <si>
    <t>SPARQ50</t>
  </si>
  <si>
    <t>5508</t>
  </si>
  <si>
    <t>Queensland Urban Utilities</t>
  </si>
  <si>
    <t>QUU</t>
  </si>
  <si>
    <t>QUU50</t>
  </si>
  <si>
    <t>weekEnd</t>
  </si>
  <si>
    <t>GZ</t>
  </si>
  <si>
    <t>32</t>
  </si>
  <si>
    <t>Mine Super</t>
  </si>
  <si>
    <t>3201</t>
  </si>
  <si>
    <t>QUU75</t>
  </si>
  <si>
    <t>QUU25</t>
  </si>
  <si>
    <t>Narasimha Vaka</t>
  </si>
  <si>
    <t>Aswini Vaka</t>
  </si>
  <si>
    <t>VAK</t>
  </si>
  <si>
    <t>ASW</t>
  </si>
  <si>
    <t>MINE</t>
  </si>
  <si>
    <t>Paxus</t>
  </si>
  <si>
    <t>Fund</t>
  </si>
  <si>
    <t>QUU80</t>
  </si>
  <si>
    <t>QUU20</t>
  </si>
  <si>
    <t>59</t>
  </si>
  <si>
    <t>5901</t>
  </si>
  <si>
    <t>Energy Queensland</t>
  </si>
  <si>
    <t>Narasimha</t>
  </si>
  <si>
    <t>EQLD50</t>
  </si>
  <si>
    <t>DP</t>
  </si>
  <si>
    <t>Deepak Prakash</t>
  </si>
  <si>
    <t>QUU80a</t>
  </si>
  <si>
    <t>QUU20a</t>
  </si>
  <si>
    <t>EQLD38</t>
  </si>
  <si>
    <t>EQLD62</t>
  </si>
  <si>
    <t>Bonus 1% for Vaka</t>
  </si>
  <si>
    <t>DPK</t>
  </si>
  <si>
    <t>DataStage, Prakash</t>
  </si>
  <si>
    <t>ANK</t>
  </si>
  <si>
    <t>Adikeshavalu Naidu Krishnaveni</t>
  </si>
  <si>
    <t>5509</t>
  </si>
  <si>
    <t>Property</t>
  </si>
  <si>
    <t>QUU50a</t>
  </si>
  <si>
    <t>Chandra</t>
  </si>
  <si>
    <t>Deepak</t>
  </si>
  <si>
    <t>Revision</t>
  </si>
  <si>
    <t>5510</t>
  </si>
  <si>
    <t>5511</t>
  </si>
  <si>
    <t>Business Activity Statement - Magma Computing Solutions</t>
  </si>
  <si>
    <t>fm last fin-year</t>
  </si>
  <si>
    <t>half-Sat, half-Sun</t>
  </si>
  <si>
    <t>01</t>
  </si>
  <si>
    <t>-Thu</t>
  </si>
  <si>
    <t>-Fri</t>
  </si>
  <si>
    <t>13</t>
  </si>
  <si>
    <t>11</t>
  </si>
  <si>
    <t>-Mon</t>
  </si>
  <si>
    <t>Direct Credit 143439 HAYSPERS 719098</t>
  </si>
  <si>
    <t>Direct Credit 421520 TAGGLE SYSTEMS P Taggle Systems</t>
  </si>
  <si>
    <t>Direct Credit 450996 PAXUS AUSTRALIA 100314508-170719</t>
  </si>
  <si>
    <t>Direct Credit 498507 Mine Services PL Mine Super</t>
  </si>
  <si>
    <t>Transfer to CBA A/c NetBank Michael Muriel Wed</t>
  </si>
  <si>
    <t>Direct Debit 342190 AARON WOON 162243887</t>
  </si>
  <si>
    <t>Transfer from DAVID BEECHEY NetBank shoiw</t>
  </si>
  <si>
    <t>Wdl ATM CBA ATM  EDGECLIFF A    NSW 216201   AUS</t>
  </si>
  <si>
    <t>Transfer to other Bank NetBank 1a 3 Darling Pt Rd</t>
  </si>
  <si>
    <t>Direct Debit 000115 COLONIAL MUTUAL 9910928678060199</t>
  </si>
  <si>
    <t>Cash Dep Branch North Syd</t>
  </si>
  <si>
    <t>Transaction Fee</t>
  </si>
  <si>
    <t>Account Fee</t>
  </si>
  <si>
    <t>Debit Interest</t>
  </si>
  <si>
    <t>Direct Credit 450996 PAXUS AUSTRALIA 100314508-010719</t>
  </si>
  <si>
    <t>return of Pay Advance</t>
  </si>
  <si>
    <t>Colonial Mutual</t>
  </si>
  <si>
    <t>Work Insurance</t>
  </si>
  <si>
    <t>Auscal Pty Ltd</t>
  </si>
  <si>
    <t>Rent</t>
  </si>
  <si>
    <t>Pay Advance</t>
  </si>
  <si>
    <t>David Beechey</t>
  </si>
  <si>
    <t>Muriel</t>
  </si>
  <si>
    <t>FF Aaron</t>
  </si>
  <si>
    <t>Gym</t>
  </si>
  <si>
    <t>Nicole</t>
  </si>
  <si>
    <t>320123</t>
  </si>
  <si>
    <t>590144</t>
  </si>
  <si>
    <t>590145</t>
  </si>
  <si>
    <t>02</t>
  </si>
  <si>
    <t>.5Mon, -Tue,-Wed</t>
  </si>
  <si>
    <t>33</t>
  </si>
  <si>
    <t>Hays</t>
  </si>
  <si>
    <t>2703</t>
  </si>
  <si>
    <t>03</t>
  </si>
  <si>
    <t>270301</t>
  </si>
  <si>
    <t>100254</t>
  </si>
  <si>
    <t>Direct Credit 480116 M AND T RESOURCE 12604 - ASG GROUP</t>
  </si>
  <si>
    <t>Direct Credit 480116 M AND T RESOURCE 12605 - ASG GROUP</t>
  </si>
  <si>
    <t>551013</t>
  </si>
  <si>
    <t>551113</t>
  </si>
  <si>
    <t>Pay Deepak</t>
  </si>
  <si>
    <t>Payroll</t>
  </si>
  <si>
    <t>Pay Krishnaveni</t>
  </si>
  <si>
    <t>American Express</t>
  </si>
  <si>
    <t>Various</t>
  </si>
  <si>
    <t>Uber</t>
  </si>
  <si>
    <t>Ingogo</t>
  </si>
  <si>
    <t>Reckon</t>
  </si>
  <si>
    <t>Account</t>
  </si>
  <si>
    <t>2020-M01</t>
  </si>
  <si>
    <t>Transfer to xx2366 NetBank McRae</t>
  </si>
  <si>
    <t>Cardless Cash for collection NZ</t>
  </si>
  <si>
    <t>Transfer to other Bank NetBank Magma Fort Pay</t>
  </si>
  <si>
    <t>CBA MasterCard</t>
  </si>
  <si>
    <t>270302</t>
  </si>
  <si>
    <t>Printer, Cable</t>
  </si>
  <si>
    <t>Finsura Broker</t>
  </si>
  <si>
    <t>IT Insurances</t>
  </si>
  <si>
    <t>Pay George</t>
  </si>
  <si>
    <t>Pay Vaka</t>
  </si>
  <si>
    <t>Pay Aswini</t>
  </si>
  <si>
    <t>Pay Chandra</t>
  </si>
  <si>
    <t>Pay Sathya</t>
  </si>
  <si>
    <t>secure DocBox</t>
  </si>
  <si>
    <t>LaserJet Printer</t>
  </si>
  <si>
    <t>Stationary</t>
  </si>
  <si>
    <t>Tue: crook knee</t>
  </si>
  <si>
    <t>Direct Debit 122794 IINET TECHNOLOGI 1920005e6190575</t>
  </si>
  <si>
    <t>Direct Credit 450996 PAXUS AUSTRALIA 100314508-220719</t>
  </si>
  <si>
    <t>Direct Debit 342190 AARON WOON 164593986</t>
  </si>
  <si>
    <t>Direct Debit 000517 AMERICAN EXPRESS 376039174011001</t>
  </si>
  <si>
    <t>Direct Credit 450996 PAXUS AUSTRALIA 100314508-180719</t>
  </si>
  <si>
    <t>Multiple Transfer NetBank Magma Pay 201907</t>
  </si>
  <si>
    <t>finsura insurance    NetBank BPAY 95471 324609329880 IT Insurance</t>
  </si>
  <si>
    <t>590146</t>
  </si>
  <si>
    <t>iiNet</t>
  </si>
  <si>
    <t>phone/internet</t>
  </si>
  <si>
    <t>47</t>
  </si>
  <si>
    <t>5902</t>
  </si>
  <si>
    <t>EQLD62a</t>
  </si>
  <si>
    <t>EQLD38a</t>
  </si>
  <si>
    <t>590247</t>
  </si>
  <si>
    <t>+Sun</t>
  </si>
  <si>
    <t>14</t>
  </si>
  <si>
    <t>Direct Credit 480116 M AND T RESOURCE 12972 - ASG GROUP</t>
  </si>
  <si>
    <t>Direct Credit 480116 M AND T RESOURCE 12973 - ASG GROUP</t>
  </si>
  <si>
    <t>100255</t>
  </si>
  <si>
    <t>320124</t>
  </si>
  <si>
    <t>551014</t>
  </si>
  <si>
    <t>551114</t>
  </si>
  <si>
    <t>48</t>
  </si>
  <si>
    <t>Australian Taxation Office</t>
  </si>
  <si>
    <t>Transfer to other Bank NetBank Magma FN Pay 21Jul</t>
  </si>
  <si>
    <t>270303</t>
  </si>
  <si>
    <t>Magma SuperFund Q4</t>
  </si>
  <si>
    <t>Direct Debit 000115 COLONIAL MUTUAL 9910928678306009</t>
  </si>
  <si>
    <t>Direct Credit 450996 PAXUS AUSTRALIA 100314508-290719</t>
  </si>
  <si>
    <t>TAX OFFICE PAYMENTS  NetBank BPAY 75556 135413966424860 SuperFund Q4</t>
  </si>
  <si>
    <t>590248</t>
  </si>
  <si>
    <t>Direct Credit 480116 M AND T RESOURCE 13563 - ASG GROUP</t>
  </si>
  <si>
    <t>Direct Credit 480116 M AND T RESOURCE 13562 - ASG GROUP</t>
  </si>
  <si>
    <t>Direct Credit 450996 PAXUS AUSTRALIA 100314508-050819</t>
  </si>
  <si>
    <t>Direct Debit 342190 AARON WOON 166967361</t>
  </si>
  <si>
    <t>320125</t>
  </si>
  <si>
    <t>49</t>
  </si>
  <si>
    <t>04</t>
  </si>
  <si>
    <t>270304</t>
  </si>
  <si>
    <t>590249</t>
  </si>
  <si>
    <t>551015</t>
  </si>
  <si>
    <t>551115</t>
  </si>
  <si>
    <t>Wireless Keyboard / Mouse</t>
  </si>
  <si>
    <t>MS Office subscription</t>
  </si>
  <si>
    <t>half-Sun</t>
  </si>
  <si>
    <t>half-Sat</t>
  </si>
  <si>
    <t>15</t>
  </si>
  <si>
    <t>NZ Ski</t>
  </si>
  <si>
    <t>Bank Mon</t>
  </si>
  <si>
    <t>Google Cloud</t>
  </si>
  <si>
    <t>RMS eToll</t>
  </si>
  <si>
    <t>Google</t>
  </si>
  <si>
    <t>GM Cabs</t>
  </si>
  <si>
    <t>AMERICAN EXPRESS     CommBank app BPAY 5082 376039174011001 various</t>
  </si>
  <si>
    <t>Transfer to other Bank NetBank Fort Payroll</t>
  </si>
  <si>
    <t>270305</t>
  </si>
  <si>
    <t>BAS-Q4</t>
  </si>
  <si>
    <t>Ipad</t>
  </si>
  <si>
    <t>--</t>
  </si>
  <si>
    <t>Transfer to xx2366 NetBank Loan</t>
  </si>
  <si>
    <t>Direct Credit 450996 PAXUS AUSTRALIA 100314508-120819</t>
  </si>
  <si>
    <t>TAX OFFICE PAYMENTS  NetBank BPAY 75556 540729652568060 BAS Q4</t>
  </si>
  <si>
    <t>590250</t>
  </si>
  <si>
    <t>100256</t>
  </si>
  <si>
    <t>Direct Credit 480116 M AND T RESOURCE 13944 - ASG GROUP</t>
  </si>
  <si>
    <t>Direct Credit 480116 M AND T RESOURCE 13945 - ASG GROUP</t>
  </si>
  <si>
    <t>Direct Debit 122794 IINET TECHNOLOGI 1923105f460fc04</t>
  </si>
  <si>
    <t>Direct Credit 450996 PAXUS AUSTRALIA 100314508-190819</t>
  </si>
  <si>
    <t>Direct Debit 342190 AARON WOON 169397233</t>
  </si>
  <si>
    <t>Multiple Transfer NetBank Aug Payroll</t>
  </si>
  <si>
    <t>05</t>
  </si>
  <si>
    <t>06</t>
  </si>
  <si>
    <t>16</t>
  </si>
  <si>
    <t>590251</t>
  </si>
  <si>
    <t>320126</t>
  </si>
  <si>
    <t>551016</t>
  </si>
  <si>
    <t>551116</t>
  </si>
  <si>
    <t>+SatSun-Tue</t>
  </si>
  <si>
    <t>Direct Debit 342190 AARON WOON 171865031</t>
  </si>
  <si>
    <t>Direct Debit 000115 COLONIAL MUTUAL 9910928678541604</t>
  </si>
  <si>
    <t>Direct Credit 450996 PAXUS AUSTRALIA 100314508-260819</t>
  </si>
  <si>
    <t>Transfer to other Bank NetBank Magma Super</t>
  </si>
  <si>
    <t>Transfer to other Bank NetBank Fort Payroll 18Aug</t>
  </si>
  <si>
    <t>270306</t>
  </si>
  <si>
    <t>BrentnallsNSW</t>
  </si>
  <si>
    <t>Magma SuperFund</t>
  </si>
  <si>
    <t>590252</t>
  </si>
  <si>
    <t>320127</t>
  </si>
  <si>
    <t>+SatSun</t>
  </si>
  <si>
    <t>+Sat,half-Sun</t>
  </si>
  <si>
    <t>17</t>
  </si>
  <si>
    <t>270307</t>
  </si>
  <si>
    <t>Direct Credit 480116 M AND T RESOURCE 14473 - ASG GROUP</t>
  </si>
  <si>
    <t>Direct Credit 480116 M AND T RESOURCE 14472 - ASG GROUP</t>
  </si>
  <si>
    <t>TAX OFFICE PAYMENTS  NetBank BPAY 75556 540729652568060 IAS M7</t>
  </si>
  <si>
    <t>Cardless Cash for collection chicken</t>
  </si>
  <si>
    <t>Direct Credit 450996 PAXUS AUSTRALIA 100314508-020919</t>
  </si>
  <si>
    <t>Overdraft Line Fee</t>
  </si>
  <si>
    <t>590253</t>
  </si>
  <si>
    <t>Pay Michael</t>
  </si>
  <si>
    <t>102057</t>
  </si>
  <si>
    <t>IAS M1</t>
  </si>
  <si>
    <t>551017</t>
  </si>
  <si>
    <t>551117</t>
  </si>
  <si>
    <t>sick leave</t>
  </si>
  <si>
    <t>07</t>
  </si>
  <si>
    <t>08</t>
  </si>
  <si>
    <t>2x weeks</t>
  </si>
  <si>
    <t>Apple Macbook Pro</t>
  </si>
  <si>
    <t>09</t>
  </si>
  <si>
    <t>Direct Debit 342190 AARON WOON 174387195</t>
  </si>
  <si>
    <t>Direct Credit 450996 PAXUS AUSTRALIA 100314508-090919</t>
  </si>
  <si>
    <t>Transfer to other Bank NetBank FW Payroll</t>
  </si>
  <si>
    <t>590254</t>
  </si>
  <si>
    <t>102058</t>
  </si>
  <si>
    <t>270308</t>
  </si>
  <si>
    <t>320128</t>
  </si>
  <si>
    <t>Stationery</t>
  </si>
  <si>
    <t>Premier Cabs</t>
  </si>
  <si>
    <t>+halfSun</t>
  </si>
  <si>
    <t>Transfer to CBA A/c CommBank app MichaelBillyElliot</t>
  </si>
  <si>
    <t>Direct Credit 480116 M AND T RESOURCE 14924 - ASG GROUP</t>
  </si>
  <si>
    <t>Direct Credit 480116 M AND T RESOURCE 14925 - ASG GROUP</t>
  </si>
  <si>
    <t>Direct Credit 450996 PAXUS AUSTRALIA 100314508-160919</t>
  </si>
  <si>
    <t>AMERICAN EXPRESS     NetBank BPAY 5082 376039174011001 Amex</t>
  </si>
  <si>
    <t>Multiple Transfer NetBank Magma Pay Sep2019</t>
  </si>
  <si>
    <t>590255</t>
  </si>
  <si>
    <t>270309</t>
  </si>
  <si>
    <t>18</t>
  </si>
  <si>
    <t>551119</t>
  </si>
  <si>
    <t>551018</t>
  </si>
  <si>
    <t>-Mon+halfSatSun</t>
  </si>
  <si>
    <t>Direct Debit 000115 COLONIAL MUTUAL 9910928678770015</t>
  </si>
  <si>
    <t>Transfer to other Bank CommBank app Inv 58003</t>
  </si>
  <si>
    <t>Transfer to CBA A/c NetBank SMSF Deed update</t>
  </si>
  <si>
    <t>CASH DEPOSIT CBA ATM  NORTH SYDNEY C NSW 221703   AUS</t>
  </si>
  <si>
    <t>Direct Credit 450996 PAXUS AUSTRALIA 100314508-300919</t>
  </si>
  <si>
    <t>WORKCOVER QUEENSLAND NetBank BPAY 182006 22180119067906011 Premium 2020</t>
  </si>
  <si>
    <t>Direct Debit 342190 AARON WOON 176920307</t>
  </si>
  <si>
    <t>Cardless Cash for collection chips</t>
  </si>
  <si>
    <t>Direct Debit 122794 IINET TECHNOLOGI 192620602b7ab14</t>
  </si>
  <si>
    <t>Direct Credit 450996 PAXUS AUSTRALIA 100314508-230919</t>
  </si>
  <si>
    <t>Direct Credit 013402 MAGMA SUPERANNUA TTR</t>
  </si>
  <si>
    <t>Transfer to other Bank NetBank FN Pay 15Sep</t>
  </si>
  <si>
    <t>Direct Credit 480116 M AND T RESOURCE 15353 - ASG GROUP</t>
  </si>
  <si>
    <t>Direct Credit 480116 M AND T RESOURCE 15352 - ASG GROUP</t>
  </si>
  <si>
    <t>270310</t>
  </si>
  <si>
    <t>TTR</t>
  </si>
  <si>
    <t>590256</t>
  </si>
  <si>
    <t>Phone/Internet</t>
  </si>
  <si>
    <t>Return of Pay Advance</t>
  </si>
  <si>
    <t>Billy Elliot</t>
  </si>
  <si>
    <t>Queensland WorkCover</t>
  </si>
  <si>
    <t>590257</t>
  </si>
  <si>
    <t>SMSF Deed update</t>
  </si>
  <si>
    <t>270311</t>
  </si>
  <si>
    <t>+Sat</t>
  </si>
  <si>
    <t>19</t>
  </si>
  <si>
    <t>551019</t>
  </si>
  <si>
    <t>IAS M2</t>
  </si>
  <si>
    <t>Labour Day</t>
  </si>
  <si>
    <t>12</t>
  </si>
  <si>
    <t>Direct Debit 342190 AARON WOON 179518367</t>
  </si>
  <si>
    <t>Direct Credit 450996 PAXUS AUSTRALIA 100314508-071019</t>
  </si>
  <si>
    <t>Transfer to other Bank NetBank FN Pay 29Sep</t>
  </si>
  <si>
    <t>TAX OFFICE PAYMENTS  CommBank app BPAY 75556 540729652568060 IAS M2</t>
  </si>
  <si>
    <t>270312</t>
  </si>
  <si>
    <t>590258</t>
  </si>
  <si>
    <t>102059</t>
  </si>
  <si>
    <t>270314</t>
  </si>
  <si>
    <t>270313</t>
  </si>
  <si>
    <t>new Xerox laser printer and Headphone</t>
  </si>
  <si>
    <t>laptop, accessories</t>
  </si>
  <si>
    <t>590259</t>
  </si>
  <si>
    <t>Thor Smart Power station PS10</t>
  </si>
  <si>
    <t>Printer cartridge</t>
  </si>
  <si>
    <t>TAX OFFICE PAYMENTS  NetBank BPAY 75556 002000924613381921</t>
  </si>
  <si>
    <t>TAX OFFICE PAYMENTS  NetBank BPAY 75556 540729652568060 IAS M1 M2</t>
  </si>
  <si>
    <t>Multiple Transfer NetBank Magma Pay CRP SM</t>
  </si>
  <si>
    <t>Multiple Transfer NetBank Magma Pay Oct</t>
  </si>
  <si>
    <t>Direct Credit 450996 PAXUS AUSTRALIA PAXUS PAYMENT 5</t>
  </si>
  <si>
    <t>ATO</t>
  </si>
  <si>
    <t>IAS M1, M2 adjust</t>
  </si>
  <si>
    <t>SuperClearing House</t>
  </si>
  <si>
    <t>Super Q1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</si>
</sst>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#,##0.00;[Red]\-#,##0.00;;@"/>
    <numFmt numFmtId="165" formatCode="#,##0.00_ ;[Red]\-#,##0.00\ "/>
    <numFmt numFmtId="166" formatCode="0.00_ ;[Red]\-0.00\ "/>
    <numFmt numFmtId="167" formatCode="dd\-mmm\-yy;@"/>
    <numFmt numFmtId="168" formatCode="#,##0;[Red]\-#,##0;;@"/>
    <numFmt numFmtId="169" formatCode="0_ ;[Red]\-0\ "/>
    <numFmt numFmtId="170" formatCode="dd/mmm/yy;@"/>
    <numFmt numFmtId="171" formatCode="0.000_ ;[Red]\-0.000\ "/>
    <numFmt numFmtId="172" formatCode="dd"/>
    <numFmt numFmtId="173" formatCode="#,##0.000000000000_ ;[Red]\-#,##0.000000000000\ "/>
    <numFmt numFmtId="174" formatCode="#,##0.0000;[Red]\-#,##0.0000"/>
    <numFmt numFmtId="175" formatCode="#,##0.000;[Red]\-#,##0.000"/>
    <numFmt numFmtId="176" formatCode="#,##0_ ;[Red]\-#,##0\ "/>
    <numFmt numFmtId="177" formatCode="dd\-mmm;@"/>
    <numFmt numFmtId="178" formatCode="###0;[Red]\-###0"/>
  </numFmts>
  <fonts count="50" x14ac:knownFonts="1">
    <font>
      <sz val="1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6"/>
      <color rgb="FFFFFFFF"/>
      <name val="Arial"/>
      <family val="2"/>
      <charset val="1"/>
    </font>
    <font>
      <b/>
      <i/>
      <sz val="11"/>
      <color rgb="FFFFFFFF"/>
      <name val="Arial"/>
      <family val="2"/>
      <charset val="1"/>
    </font>
    <font>
      <b/>
      <i/>
      <sz val="10"/>
      <color rgb="FFFFFFFF"/>
      <name val="Arial"/>
      <family val="2"/>
      <charset val="1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b/>
      <sz val="10"/>
      <color rgb="FF000000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808080"/>
      <name val="Arial"/>
      <family val="2"/>
      <charset val="1"/>
    </font>
    <font>
      <b/>
      <sz val="10"/>
      <color rgb="FF969696"/>
      <name val="Arial"/>
      <family val="2"/>
      <charset val="1"/>
    </font>
    <font>
      <b/>
      <sz val="10"/>
      <color rgb="FF666699"/>
      <name val="Arial"/>
      <family val="2"/>
      <charset val="1"/>
    </font>
    <font>
      <b/>
      <sz val="10"/>
      <color rgb="FF558ED5"/>
      <name val="Arial"/>
      <family val="2"/>
      <charset val="1"/>
    </font>
    <font>
      <b/>
      <i/>
      <sz val="22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u/>
      <sz val="10"/>
      <color rgb="FF0000FF"/>
      <name val="Arial"/>
      <family val="2"/>
      <charset val="1"/>
    </font>
    <font>
      <b/>
      <i/>
      <sz val="18"/>
      <color rgb="FFFFFFFF"/>
      <name val="Arial"/>
      <family val="2"/>
      <charset val="1"/>
    </font>
    <font>
      <i/>
      <sz val="18"/>
      <color rgb="FFCC9CCC"/>
      <name val="Arial"/>
      <family val="2"/>
      <charset val="1"/>
    </font>
    <font>
      <b/>
      <i/>
      <sz val="10"/>
      <color rgb="FF800000"/>
      <name val="Arial"/>
      <family val="2"/>
      <charset val="1"/>
    </font>
    <font>
      <sz val="10"/>
      <color rgb="FFFFFF00"/>
      <name val="Arial"/>
      <family val="2"/>
      <charset val="1"/>
    </font>
    <font>
      <sz val="11"/>
      <name val="Calibri"/>
      <family val="2"/>
      <charset val="1"/>
    </font>
    <font>
      <b/>
      <sz val="10"/>
      <color rgb="FF0070C0"/>
      <name val="Arial"/>
      <family val="2"/>
      <charset val="1"/>
    </font>
    <font>
      <b/>
      <sz val="10"/>
      <color rgb="FFC00000"/>
      <name val="Arial"/>
      <family val="2"/>
      <charset val="1"/>
    </font>
    <font>
      <sz val="10"/>
      <color rgb="FF222222"/>
      <name val="Arial"/>
      <family val="2"/>
      <charset val="1"/>
    </font>
    <font>
      <sz val="10"/>
      <name val="Arial"/>
      <family val="2"/>
    </font>
    <font>
      <sz val="10"/>
      <color rgb="FF222222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rgb="FF558ED5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800000"/>
        <bgColor rgb="FF800000"/>
      </patternFill>
    </fill>
    <fill>
      <patternFill patternType="solid">
        <fgColor rgb="FFFFFFBF"/>
        <bgColor rgb="FFFFFFFF"/>
      </patternFill>
    </fill>
    <fill>
      <patternFill patternType="solid">
        <fgColor rgb="FFFFFF5F"/>
        <bgColor rgb="FFFFFF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5">
    <xf numFmtId="0" fontId="0" fillId="0" borderId="0"/>
    <xf numFmtId="0" fontId="19" fillId="0" borderId="0" applyBorder="0" applyProtection="0"/>
    <xf numFmtId="0" fontId="5" fillId="0" borderId="0" applyBorder="0" applyProtection="0"/>
    <xf numFmtId="0" fontId="34" fillId="0" borderId="0" applyNumberFormat="0" applyFill="0" applyBorder="0" applyAlignment="0" applyProtection="0"/>
    <xf numFmtId="0" fontId="35" fillId="0" borderId="43" applyNumberFormat="0" applyFill="0" applyAlignment="0" applyProtection="0"/>
    <xf numFmtId="0" fontId="36" fillId="0" borderId="44" applyNumberFormat="0" applyFill="0" applyAlignment="0" applyProtection="0"/>
    <xf numFmtId="0" fontId="37" fillId="0" borderId="45" applyNumberFormat="0" applyFill="0" applyAlignment="0" applyProtection="0"/>
    <xf numFmtId="0" fontId="37" fillId="0" borderId="0" applyNumberFormat="0" applyFill="0" applyBorder="0" applyAlignment="0" applyProtection="0"/>
    <xf numFmtId="0" fontId="38" fillId="5" borderId="0" applyNumberFormat="0" applyBorder="0" applyAlignment="0" applyProtection="0"/>
    <xf numFmtId="0" fontId="39" fillId="6" borderId="0" applyNumberFormat="0" applyBorder="0" applyAlignment="0" applyProtection="0"/>
    <xf numFmtId="0" fontId="40" fillId="7" borderId="0" applyNumberFormat="0" applyBorder="0" applyAlignment="0" applyProtection="0"/>
    <xf numFmtId="0" fontId="41" fillId="8" borderId="46" applyNumberFormat="0" applyAlignment="0" applyProtection="0"/>
    <xf numFmtId="0" fontId="42" fillId="9" borderId="47" applyNumberFormat="0" applyAlignment="0" applyProtection="0"/>
    <xf numFmtId="0" fontId="43" fillId="9" borderId="46" applyNumberFormat="0" applyAlignment="0" applyProtection="0"/>
    <xf numFmtId="0" fontId="44" fillId="0" borderId="48" applyNumberFormat="0" applyFill="0" applyAlignment="0" applyProtection="0"/>
    <xf numFmtId="0" fontId="45" fillId="10" borderId="49" applyNumberFormat="0" applyAlignment="0" applyProtection="0"/>
    <xf numFmtId="0" fontId="46" fillId="0" borderId="0" applyNumberFormat="0" applyFill="0" applyBorder="0" applyAlignment="0" applyProtection="0"/>
    <xf numFmtId="0" fontId="47" fillId="0" borderId="51" applyNumberFormat="0" applyFill="0" applyAlignment="0" applyProtection="0"/>
    <xf numFmtId="0" fontId="48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8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8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8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8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8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0" borderId="0"/>
    <xf numFmtId="0" fontId="4" fillId="11" borderId="50" applyNumberFormat="0" applyFont="0" applyAlignment="0" applyProtection="0"/>
    <xf numFmtId="0" fontId="49" fillId="0" borderId="0" applyNumberFormat="0" applyFill="0" applyBorder="0" applyAlignment="0" applyProtection="0"/>
    <xf numFmtId="0" fontId="3" fillId="0" borderId="0"/>
    <xf numFmtId="0" fontId="3" fillId="11" borderId="50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2" fillId="0" borderId="0"/>
    <xf numFmtId="0" fontId="2" fillId="11" borderId="50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" fillId="0" borderId="0"/>
    <xf numFmtId="0" fontId="1" fillId="11" borderId="50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403">
    <xf numFmtId="0" fontId="0" fillId="0" borderId="0" xfId="0"/>
    <xf numFmtId="0" fontId="0" fillId="0" borderId="0" xfId="0" applyAlignment="1">
      <alignment horizontal="right"/>
    </xf>
    <xf numFmtId="49" fontId="0" fillId="0" borderId="0" xfId="0" applyNumberFormat="1"/>
    <xf numFmtId="164" fontId="0" fillId="0" borderId="0" xfId="0" applyNumberFormat="1"/>
    <xf numFmtId="16" fontId="6" fillId="2" borderId="0" xfId="0" applyNumberFormat="1" applyFont="1" applyFill="1" applyAlignment="1">
      <alignment horizontal="left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164" fontId="8" fillId="2" borderId="1" xfId="0" applyNumberFormat="1" applyFont="1" applyFill="1" applyBorder="1" applyAlignment="1">
      <alignment horizontal="center"/>
    </xf>
    <xf numFmtId="1" fontId="7" fillId="2" borderId="2" xfId="0" applyNumberFormat="1" applyFont="1" applyFill="1" applyBorder="1" applyAlignment="1">
      <alignment horizontal="right"/>
    </xf>
    <xf numFmtId="49" fontId="7" fillId="2" borderId="2" xfId="0" applyNumberFormat="1" applyFont="1" applyFill="1" applyBorder="1" applyAlignment="1">
      <alignment horizontal="left"/>
    </xf>
    <xf numFmtId="0" fontId="7" fillId="2" borderId="2" xfId="0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center"/>
    </xf>
    <xf numFmtId="164" fontId="7" fillId="2" borderId="3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right"/>
    </xf>
    <xf numFmtId="49" fontId="9" fillId="3" borderId="0" xfId="0" applyNumberFormat="1" applyFont="1" applyFill="1" applyAlignment="1">
      <alignment horizontal="left"/>
    </xf>
    <xf numFmtId="0" fontId="9" fillId="3" borderId="0" xfId="0" applyFont="1" applyFill="1" applyAlignment="1">
      <alignment horizontal="left"/>
    </xf>
    <xf numFmtId="164" fontId="9" fillId="3" borderId="4" xfId="0" applyNumberFormat="1" applyFont="1" applyFill="1" applyBorder="1"/>
    <xf numFmtId="164" fontId="9" fillId="3" borderId="0" xfId="0" applyNumberFormat="1" applyFont="1" applyFill="1"/>
    <xf numFmtId="164" fontId="9" fillId="3" borderId="5" xfId="0" applyNumberFormat="1" applyFont="1" applyFill="1" applyBorder="1"/>
    <xf numFmtId="164" fontId="9" fillId="3" borderId="6" xfId="0" applyNumberFormat="1" applyFont="1" applyFill="1" applyBorder="1"/>
    <xf numFmtId="164" fontId="9" fillId="3" borderId="1" xfId="0" applyNumberFormat="1" applyFont="1" applyFill="1" applyBorder="1"/>
    <xf numFmtId="0" fontId="10" fillId="0" borderId="0" xfId="0" applyFont="1"/>
    <xf numFmtId="0" fontId="9" fillId="3" borderId="7" xfId="0" applyFont="1" applyFill="1" applyBorder="1" applyAlignment="1">
      <alignment horizontal="right"/>
    </xf>
    <xf numFmtId="49" fontId="9" fillId="3" borderId="7" xfId="0" applyNumberFormat="1" applyFont="1" applyFill="1" applyBorder="1" applyAlignment="1">
      <alignment horizontal="left"/>
    </xf>
    <xf numFmtId="0" fontId="9" fillId="3" borderId="7" xfId="0" applyFont="1" applyFill="1" applyBorder="1" applyAlignment="1">
      <alignment horizontal="left"/>
    </xf>
    <xf numFmtId="164" fontId="9" fillId="3" borderId="7" xfId="0" applyNumberFormat="1" applyFont="1" applyFill="1" applyBorder="1"/>
    <xf numFmtId="164" fontId="9" fillId="3" borderId="8" xfId="0" applyNumberFormat="1" applyFont="1" applyFill="1" applyBorder="1"/>
    <xf numFmtId="164" fontId="9" fillId="3" borderId="9" xfId="0" applyNumberFormat="1" applyFont="1" applyFill="1" applyBorder="1"/>
    <xf numFmtId="16" fontId="11" fillId="3" borderId="0" xfId="0" applyNumberFormat="1" applyFont="1" applyFill="1" applyAlignment="1">
      <alignment horizontal="left"/>
    </xf>
    <xf numFmtId="49" fontId="11" fillId="3" borderId="0" xfId="0" applyNumberFormat="1" applyFont="1" applyFill="1" applyAlignment="1">
      <alignment horizontal="left"/>
    </xf>
    <xf numFmtId="0" fontId="11" fillId="3" borderId="0" xfId="0" applyFont="1" applyFill="1" applyAlignment="1">
      <alignment horizontal="left"/>
    </xf>
    <xf numFmtId="164" fontId="11" fillId="3" borderId="0" xfId="0" applyNumberFormat="1" applyFont="1" applyFill="1"/>
    <xf numFmtId="164" fontId="11" fillId="3" borderId="6" xfId="0" applyNumberFormat="1" applyFont="1" applyFill="1" applyBorder="1"/>
    <xf numFmtId="164" fontId="11" fillId="3" borderId="1" xfId="0" applyNumberFormat="1" applyFont="1" applyFill="1" applyBorder="1"/>
    <xf numFmtId="0" fontId="12" fillId="0" borderId="0" xfId="0" applyFont="1"/>
    <xf numFmtId="0" fontId="9" fillId="3" borderId="4" xfId="0" applyFont="1" applyFill="1" applyBorder="1" applyAlignment="1">
      <alignment horizontal="right"/>
    </xf>
    <xf numFmtId="49" fontId="9" fillId="3" borderId="4" xfId="0" applyNumberFormat="1" applyFont="1" applyFill="1" applyBorder="1" applyAlignment="1">
      <alignment horizontal="left"/>
    </xf>
    <xf numFmtId="0" fontId="9" fillId="3" borderId="4" xfId="0" applyFont="1" applyFill="1" applyBorder="1" applyAlignment="1">
      <alignment horizontal="left"/>
    </xf>
    <xf numFmtId="164" fontId="9" fillId="3" borderId="10" xfId="0" applyNumberFormat="1" applyFont="1" applyFill="1" applyBorder="1"/>
    <xf numFmtId="164" fontId="9" fillId="3" borderId="11" xfId="0" applyNumberFormat="1" applyFont="1" applyFill="1" applyBorder="1"/>
    <xf numFmtId="164" fontId="9" fillId="3" borderId="12" xfId="0" applyNumberFormat="1" applyFont="1" applyFill="1" applyBorder="1"/>
    <xf numFmtId="164" fontId="11" fillId="3" borderId="8" xfId="0" applyNumberFormat="1" applyFont="1" applyFill="1" applyBorder="1"/>
    <xf numFmtId="0" fontId="11" fillId="3" borderId="13" xfId="0" applyFont="1" applyFill="1" applyBorder="1" applyAlignment="1">
      <alignment horizontal="left"/>
    </xf>
    <xf numFmtId="164" fontId="9" fillId="3" borderId="13" xfId="0" applyNumberFormat="1" applyFont="1" applyFill="1" applyBorder="1"/>
    <xf numFmtId="164" fontId="9" fillId="3" borderId="14" xfId="0" applyNumberFormat="1" applyFont="1" applyFill="1" applyBorder="1"/>
    <xf numFmtId="164" fontId="9" fillId="3" borderId="15" xfId="0" applyNumberFormat="1" applyFont="1" applyFill="1" applyBorder="1"/>
    <xf numFmtId="164" fontId="9" fillId="3" borderId="16" xfId="0" applyNumberFormat="1" applyFont="1" applyFill="1" applyBorder="1"/>
    <xf numFmtId="164" fontId="11" fillId="3" borderId="10" xfId="0" applyNumberFormat="1" applyFont="1" applyFill="1" applyBorder="1"/>
    <xf numFmtId="164" fontId="11" fillId="3" borderId="11" xfId="0" applyNumberFormat="1" applyFont="1" applyFill="1" applyBorder="1"/>
    <xf numFmtId="40" fontId="0" fillId="3" borderId="0" xfId="0" applyNumberFormat="1" applyFill="1"/>
    <xf numFmtId="164" fontId="11" fillId="3" borderId="12" xfId="0" applyNumberFormat="1" applyFont="1" applyFill="1" applyBorder="1"/>
    <xf numFmtId="164" fontId="11" fillId="3" borderId="9" xfId="0" applyNumberFormat="1" applyFont="1" applyFill="1" applyBorder="1"/>
    <xf numFmtId="164" fontId="9" fillId="3" borderId="17" xfId="0" applyNumberFormat="1" applyFont="1" applyFill="1" applyBorder="1"/>
    <xf numFmtId="0" fontId="10" fillId="0" borderId="7" xfId="0" applyFont="1" applyBorder="1"/>
    <xf numFmtId="0" fontId="11" fillId="3" borderId="7" xfId="0" applyFont="1" applyFill="1" applyBorder="1" applyAlignment="1">
      <alignment horizontal="left"/>
    </xf>
    <xf numFmtId="49" fontId="11" fillId="3" borderId="7" xfId="0" applyNumberFormat="1" applyFont="1" applyFill="1" applyBorder="1" applyAlignment="1">
      <alignment horizontal="left"/>
    </xf>
    <xf numFmtId="164" fontId="11" fillId="3" borderId="7" xfId="0" applyNumberFormat="1" applyFont="1" applyFill="1" applyBorder="1"/>
    <xf numFmtId="0" fontId="13" fillId="3" borderId="18" xfId="0" applyFont="1" applyFill="1" applyBorder="1" applyAlignment="1">
      <alignment horizontal="left"/>
    </xf>
    <xf numFmtId="49" fontId="13" fillId="3" borderId="18" xfId="0" applyNumberFormat="1" applyFont="1" applyFill="1" applyBorder="1" applyAlignment="1">
      <alignment horizontal="left"/>
    </xf>
    <xf numFmtId="164" fontId="11" fillId="3" borderId="18" xfId="0" applyNumberFormat="1" applyFont="1" applyFill="1" applyBorder="1"/>
    <xf numFmtId="40" fontId="12" fillId="0" borderId="0" xfId="0" applyNumberFormat="1" applyFont="1"/>
    <xf numFmtId="40" fontId="0" fillId="0" borderId="0" xfId="0" applyNumberFormat="1"/>
    <xf numFmtId="40" fontId="8" fillId="2" borderId="0" xfId="0" applyNumberFormat="1" applyFont="1" applyFill="1" applyAlignment="1">
      <alignment horizontal="right"/>
    </xf>
    <xf numFmtId="1" fontId="6" fillId="2" borderId="0" xfId="0" applyNumberFormat="1" applyFont="1" applyFill="1" applyAlignment="1">
      <alignment horizontal="left"/>
    </xf>
    <xf numFmtId="0" fontId="8" fillId="2" borderId="0" xfId="0" applyFont="1" applyFill="1" applyAlignment="1">
      <alignment horizontal="right"/>
    </xf>
    <xf numFmtId="40" fontId="8" fillId="2" borderId="0" xfId="0" applyNumberFormat="1" applyFont="1" applyFill="1" applyAlignment="1">
      <alignment horizontal="center"/>
    </xf>
    <xf numFmtId="40" fontId="8" fillId="2" borderId="2" xfId="0" applyNumberFormat="1" applyFont="1" applyFill="1" applyBorder="1" applyAlignment="1">
      <alignment horizontal="center"/>
    </xf>
    <xf numFmtId="1" fontId="8" fillId="2" borderId="2" xfId="0" applyNumberFormat="1" applyFont="1" applyFill="1" applyBorder="1" applyAlignment="1">
      <alignment horizontal="center"/>
    </xf>
    <xf numFmtId="0" fontId="8" fillId="2" borderId="2" xfId="0" applyFont="1" applyFill="1" applyBorder="1" applyAlignment="1">
      <alignment horizontal="left"/>
    </xf>
    <xf numFmtId="40" fontId="11" fillId="3" borderId="18" xfId="0" applyNumberFormat="1" applyFont="1" applyFill="1" applyBorder="1"/>
    <xf numFmtId="0" fontId="11" fillId="3" borderId="18" xfId="0" applyFont="1" applyFill="1" applyBorder="1"/>
    <xf numFmtId="40" fontId="11" fillId="3" borderId="0" xfId="0" applyNumberFormat="1" applyFont="1" applyFill="1"/>
    <xf numFmtId="0" fontId="11" fillId="3" borderId="0" xfId="0" applyFont="1" applyFill="1"/>
    <xf numFmtId="40" fontId="9" fillId="3" borderId="4" xfId="0" applyNumberFormat="1" applyFont="1" applyFill="1" applyBorder="1"/>
    <xf numFmtId="0" fontId="9" fillId="3" borderId="4" xfId="0" applyFont="1" applyFill="1" applyBorder="1"/>
    <xf numFmtId="40" fontId="9" fillId="3" borderId="0" xfId="0" applyNumberFormat="1" applyFont="1" applyFill="1"/>
    <xf numFmtId="0" fontId="9" fillId="3" borderId="0" xfId="0" applyFont="1" applyFill="1"/>
    <xf numFmtId="40" fontId="9" fillId="3" borderId="7" xfId="0" applyNumberFormat="1" applyFont="1" applyFill="1" applyBorder="1"/>
    <xf numFmtId="0" fontId="9" fillId="3" borderId="7" xfId="0" applyFont="1" applyFill="1" applyBorder="1"/>
    <xf numFmtId="40" fontId="14" fillId="3" borderId="13" xfId="0" applyNumberFormat="1" applyFont="1" applyFill="1" applyBorder="1"/>
    <xf numFmtId="0" fontId="15" fillId="3" borderId="13" xfId="0" applyFont="1" applyFill="1" applyBorder="1"/>
    <xf numFmtId="0" fontId="14" fillId="3" borderId="13" xfId="0" applyFont="1" applyFill="1" applyBorder="1"/>
    <xf numFmtId="0" fontId="14" fillId="0" borderId="0" xfId="0" applyFont="1"/>
    <xf numFmtId="165" fontId="9" fillId="3" borderId="0" xfId="0" applyNumberFormat="1" applyFont="1" applyFill="1" applyAlignment="1">
      <alignment horizontal="right"/>
    </xf>
    <xf numFmtId="40" fontId="11" fillId="3" borderId="19" xfId="0" applyNumberFormat="1" applyFont="1" applyFill="1" applyBorder="1"/>
    <xf numFmtId="40" fontId="11" fillId="3" borderId="2" xfId="0" applyNumberFormat="1" applyFont="1" applyFill="1" applyBorder="1"/>
    <xf numFmtId="0" fontId="11" fillId="3" borderId="2" xfId="0" applyFont="1" applyFill="1" applyBorder="1"/>
    <xf numFmtId="38" fontId="0" fillId="0" borderId="0" xfId="0" applyNumberFormat="1"/>
    <xf numFmtId="166" fontId="0" fillId="0" borderId="0" xfId="0" applyNumberFormat="1"/>
    <xf numFmtId="167" fontId="0" fillId="0" borderId="0" xfId="0" applyNumberFormat="1"/>
    <xf numFmtId="49" fontId="7" fillId="2" borderId="0" xfId="0" applyNumberFormat="1" applyFont="1" applyFill="1" applyAlignment="1">
      <alignment horizontal="center"/>
    </xf>
    <xf numFmtId="165" fontId="8" fillId="2" borderId="0" xfId="0" applyNumberFormat="1" applyFont="1" applyFill="1" applyAlignment="1">
      <alignment horizontal="center"/>
    </xf>
    <xf numFmtId="40" fontId="7" fillId="2" borderId="0" xfId="0" applyNumberFormat="1" applyFont="1" applyFill="1" applyAlignment="1">
      <alignment horizontal="center"/>
    </xf>
    <xf numFmtId="167" fontId="8" fillId="2" borderId="16" xfId="0" applyNumberFormat="1" applyFont="1" applyFill="1" applyBorder="1" applyAlignment="1">
      <alignment horizontal="center"/>
    </xf>
    <xf numFmtId="167" fontId="8" fillId="2" borderId="0" xfId="0" applyNumberFormat="1" applyFont="1" applyFill="1" applyAlignment="1">
      <alignment horizontal="center"/>
    </xf>
    <xf numFmtId="1" fontId="7" fillId="2" borderId="0" xfId="0" applyNumberFormat="1" applyFont="1" applyFill="1" applyAlignment="1">
      <alignment horizontal="center"/>
    </xf>
    <xf numFmtId="165" fontId="7" fillId="2" borderId="0" xfId="0" applyNumberFormat="1" applyFont="1" applyFill="1" applyAlignment="1">
      <alignment horizontal="center"/>
    </xf>
    <xf numFmtId="49" fontId="7" fillId="2" borderId="20" xfId="0" applyNumberFormat="1" applyFont="1" applyFill="1" applyBorder="1" applyAlignment="1">
      <alignment horizontal="center"/>
    </xf>
    <xf numFmtId="165" fontId="7" fillId="2" borderId="21" xfId="0" applyNumberFormat="1" applyFont="1" applyFill="1" applyBorder="1" applyAlignment="1">
      <alignment horizontal="center"/>
    </xf>
    <xf numFmtId="167" fontId="7" fillId="2" borderId="16" xfId="0" applyNumberFormat="1" applyFont="1" applyFill="1" applyBorder="1" applyAlignment="1">
      <alignment horizontal="center"/>
    </xf>
    <xf numFmtId="167" fontId="7" fillId="2" borderId="0" xfId="0" applyNumberFormat="1" applyFont="1" applyFill="1" applyAlignment="1">
      <alignment horizontal="center"/>
    </xf>
    <xf numFmtId="38" fontId="0" fillId="0" borderId="0" xfId="0" applyNumberFormat="1" applyAlignment="1">
      <alignment horizontal="center"/>
    </xf>
    <xf numFmtId="1" fontId="7" fillId="2" borderId="2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49" fontId="7" fillId="2" borderId="2" xfId="0" applyNumberFormat="1" applyFont="1" applyFill="1" applyBorder="1" applyAlignment="1">
      <alignment horizontal="center"/>
    </xf>
    <xf numFmtId="165" fontId="7" fillId="2" borderId="2" xfId="0" applyNumberFormat="1" applyFont="1" applyFill="1" applyBorder="1" applyAlignment="1">
      <alignment horizontal="center"/>
    </xf>
    <xf numFmtId="49" fontId="7" fillId="2" borderId="19" xfId="0" applyNumberFormat="1" applyFont="1" applyFill="1" applyBorder="1" applyAlignment="1">
      <alignment horizontal="center"/>
    </xf>
    <xf numFmtId="165" fontId="7" fillId="2" borderId="22" xfId="0" applyNumberFormat="1" applyFont="1" applyFill="1" applyBorder="1" applyAlignment="1">
      <alignment horizontal="center"/>
    </xf>
    <xf numFmtId="40" fontId="7" fillId="2" borderId="2" xfId="0" applyNumberFormat="1" applyFont="1" applyFill="1" applyBorder="1" applyAlignment="1">
      <alignment horizontal="center"/>
    </xf>
    <xf numFmtId="167" fontId="7" fillId="2" borderId="23" xfId="0" applyNumberFormat="1" applyFont="1" applyFill="1" applyBorder="1" applyAlignment="1">
      <alignment horizontal="center"/>
    </xf>
    <xf numFmtId="167" fontId="7" fillId="2" borderId="2" xfId="0" applyNumberFormat="1" applyFont="1" applyFill="1" applyBorder="1" applyAlignment="1">
      <alignment horizontal="center"/>
    </xf>
    <xf numFmtId="0" fontId="9" fillId="3" borderId="24" xfId="0" applyFont="1" applyFill="1" applyBorder="1" applyAlignment="1">
      <alignment horizontal="right"/>
    </xf>
    <xf numFmtId="168" fontId="9" fillId="3" borderId="24" xfId="0" applyNumberFormat="1" applyFont="1" applyFill="1" applyBorder="1"/>
    <xf numFmtId="168" fontId="9" fillId="3" borderId="25" xfId="0" applyNumberFormat="1" applyFont="1" applyFill="1" applyBorder="1"/>
    <xf numFmtId="168" fontId="9" fillId="4" borderId="26" xfId="0" applyNumberFormat="1" applyFont="1" applyFill="1" applyBorder="1"/>
    <xf numFmtId="40" fontId="9" fillId="3" borderId="24" xfId="0" applyNumberFormat="1" applyFont="1" applyFill="1" applyBorder="1"/>
    <xf numFmtId="167" fontId="9" fillId="3" borderId="27" xfId="0" applyNumberFormat="1" applyFont="1" applyFill="1" applyBorder="1"/>
    <xf numFmtId="167" fontId="9" fillId="3" borderId="24" xfId="0" applyNumberFormat="1" applyFont="1" applyFill="1" applyBorder="1"/>
    <xf numFmtId="38" fontId="12" fillId="0" borderId="4" xfId="0" applyNumberFormat="1" applyFont="1" applyBorder="1"/>
    <xf numFmtId="169" fontId="9" fillId="3" borderId="0" xfId="0" applyNumberFormat="1" applyFont="1" applyFill="1"/>
    <xf numFmtId="167" fontId="9" fillId="3" borderId="16" xfId="0" applyNumberFormat="1" applyFont="1" applyFill="1" applyBorder="1"/>
    <xf numFmtId="167" fontId="9" fillId="3" borderId="0" xfId="0" applyNumberFormat="1" applyFont="1" applyFill="1"/>
    <xf numFmtId="169" fontId="9" fillId="3" borderId="7" xfId="0" applyNumberFormat="1" applyFont="1" applyFill="1" applyBorder="1"/>
    <xf numFmtId="167" fontId="9" fillId="3" borderId="12" xfId="0" applyNumberFormat="1" applyFont="1" applyFill="1" applyBorder="1"/>
    <xf numFmtId="167" fontId="9" fillId="3" borderId="7" xfId="0" applyNumberFormat="1" applyFont="1" applyFill="1" applyBorder="1"/>
    <xf numFmtId="15" fontId="0" fillId="0" borderId="0" xfId="0" applyNumberFormat="1"/>
    <xf numFmtId="38" fontId="12" fillId="0" borderId="13" xfId="0" applyNumberFormat="1" applyFont="1" applyBorder="1"/>
    <xf numFmtId="40" fontId="10" fillId="0" borderId="0" xfId="0" applyNumberFormat="1" applyFont="1"/>
    <xf numFmtId="170" fontId="0" fillId="0" borderId="0" xfId="0" applyNumberFormat="1"/>
    <xf numFmtId="0" fontId="11" fillId="3" borderId="13" xfId="0" applyFont="1" applyFill="1" applyBorder="1" applyAlignment="1">
      <alignment horizontal="right"/>
    </xf>
    <xf numFmtId="169" fontId="11" fillId="3" borderId="13" xfId="0" applyNumberFormat="1" applyFont="1" applyFill="1" applyBorder="1"/>
    <xf numFmtId="40" fontId="11" fillId="3" borderId="13" xfId="0" applyNumberFormat="1" applyFont="1" applyFill="1" applyBorder="1"/>
    <xf numFmtId="167" fontId="11" fillId="3" borderId="17" xfId="0" applyNumberFormat="1" applyFont="1" applyFill="1" applyBorder="1"/>
    <xf numFmtId="167" fontId="11" fillId="3" borderId="13" xfId="0" applyNumberFormat="1" applyFont="1" applyFill="1" applyBorder="1"/>
    <xf numFmtId="38" fontId="12" fillId="0" borderId="0" xfId="0" applyNumberFormat="1" applyFont="1"/>
    <xf numFmtId="0" fontId="16" fillId="0" borderId="0" xfId="0" applyFont="1" applyAlignment="1">
      <alignment horizontal="center"/>
    </xf>
    <xf numFmtId="40" fontId="16" fillId="0" borderId="0" xfId="0" applyNumberFormat="1" applyFont="1" applyAlignment="1">
      <alignment horizontal="center"/>
    </xf>
    <xf numFmtId="16" fontId="0" fillId="0" borderId="0" xfId="0" applyNumberFormat="1"/>
    <xf numFmtId="49" fontId="0" fillId="0" borderId="0" xfId="0" applyNumberFormat="1" applyAlignment="1">
      <alignment horizontal="left"/>
    </xf>
    <xf numFmtId="49" fontId="7" fillId="2" borderId="0" xfId="0" applyNumberFormat="1" applyFont="1" applyFill="1" applyAlignment="1">
      <alignment horizontal="left"/>
    </xf>
    <xf numFmtId="166" fontId="8" fillId="2" borderId="0" xfId="0" applyNumberFormat="1" applyFont="1" applyFill="1" applyAlignment="1">
      <alignment horizontal="right"/>
    </xf>
    <xf numFmtId="49" fontId="17" fillId="2" borderId="0" xfId="0" applyNumberFormat="1" applyFont="1" applyFill="1" applyAlignment="1">
      <alignment horizontal="left"/>
    </xf>
    <xf numFmtId="40" fontId="8" fillId="2" borderId="16" xfId="0" applyNumberFormat="1" applyFont="1" applyFill="1" applyBorder="1" applyAlignment="1">
      <alignment horizontal="center"/>
    </xf>
    <xf numFmtId="38" fontId="8" fillId="2" borderId="6" xfId="0" applyNumberFormat="1" applyFont="1" applyFill="1" applyBorder="1" applyAlignment="1">
      <alignment horizontal="right"/>
    </xf>
    <xf numFmtId="38" fontId="8" fillId="2" borderId="0" xfId="0" applyNumberFormat="1" applyFont="1" applyFill="1" applyAlignment="1">
      <alignment horizontal="center"/>
    </xf>
    <xf numFmtId="0" fontId="0" fillId="3" borderId="35" xfId="0" applyFill="1" applyBorder="1"/>
    <xf numFmtId="49" fontId="0" fillId="3" borderId="35" xfId="0" applyNumberFormat="1" applyFill="1" applyBorder="1"/>
    <xf numFmtId="0" fontId="0" fillId="3" borderId="37" xfId="0" applyFill="1" applyBorder="1"/>
    <xf numFmtId="0" fontId="0" fillId="3" borderId="36" xfId="0" applyFill="1" applyBorder="1"/>
    <xf numFmtId="0" fontId="12" fillId="3" borderId="0" xfId="0" applyFont="1" applyFill="1"/>
    <xf numFmtId="49" fontId="12" fillId="3" borderId="0" xfId="0" applyNumberFormat="1" applyFont="1" applyFill="1"/>
    <xf numFmtId="164" fontId="12" fillId="3" borderId="0" xfId="0" applyNumberFormat="1" applyFont="1" applyFill="1"/>
    <xf numFmtId="164" fontId="12" fillId="3" borderId="6" xfId="0" applyNumberFormat="1" applyFont="1" applyFill="1" applyBorder="1"/>
    <xf numFmtId="164" fontId="12" fillId="3" borderId="16" xfId="0" applyNumberFormat="1" applyFont="1" applyFill="1" applyBorder="1"/>
    <xf numFmtId="0" fontId="12" fillId="3" borderId="6" xfId="0" applyFont="1" applyFill="1" applyBorder="1"/>
    <xf numFmtId="49" fontId="8" fillId="2" borderId="2" xfId="0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left"/>
    </xf>
    <xf numFmtId="49" fontId="10" fillId="3" borderId="0" xfId="0" applyNumberFormat="1" applyFont="1" applyFill="1" applyAlignment="1">
      <alignment horizontal="left"/>
    </xf>
    <xf numFmtId="166" fontId="0" fillId="3" borderId="0" xfId="0" applyNumberFormat="1" applyFill="1"/>
    <xf numFmtId="0" fontId="10" fillId="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8" fillId="2" borderId="0" xfId="0" applyFont="1" applyFill="1" applyAlignment="1">
      <alignment horizontal="center"/>
    </xf>
    <xf numFmtId="0" fontId="18" fillId="2" borderId="0" xfId="0" applyFont="1" applyFill="1"/>
    <xf numFmtId="0" fontId="18" fillId="2" borderId="0" xfId="0" applyFont="1" applyFill="1" applyAlignment="1">
      <alignment horizontal="left"/>
    </xf>
    <xf numFmtId="49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49" fontId="0" fillId="3" borderId="0" xfId="0" applyNumberFormat="1" applyFill="1" applyAlignment="1">
      <alignment horizontal="right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9" fillId="3" borderId="0" xfId="1" applyFill="1" applyAlignment="1">
      <alignment horizontal="left"/>
    </xf>
    <xf numFmtId="0" fontId="10" fillId="3" borderId="0" xfId="0" applyFont="1" applyFill="1" applyAlignment="1">
      <alignment horizontal="right"/>
    </xf>
    <xf numFmtId="40" fontId="9" fillId="3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center"/>
    </xf>
    <xf numFmtId="0" fontId="20" fillId="2" borderId="10" xfId="0" applyFont="1" applyFill="1" applyBorder="1" applyAlignment="1">
      <alignment horizontal="left"/>
    </xf>
    <xf numFmtId="0" fontId="20" fillId="2" borderId="4" xfId="0" applyFont="1" applyFill="1" applyBorder="1" applyAlignment="1">
      <alignment horizontal="left"/>
    </xf>
    <xf numFmtId="40" fontId="8" fillId="2" borderId="4" xfId="0" applyNumberFormat="1" applyFont="1" applyFill="1" applyBorder="1" applyAlignment="1">
      <alignment horizontal="center"/>
    </xf>
    <xf numFmtId="49" fontId="8" fillId="2" borderId="5" xfId="0" applyNumberFormat="1" applyFont="1" applyFill="1" applyBorder="1" applyAlignment="1">
      <alignment horizontal="center"/>
    </xf>
    <xf numFmtId="0" fontId="7" fillId="2" borderId="38" xfId="0" applyFont="1" applyFill="1" applyBorder="1" applyAlignment="1">
      <alignment horizontal="left"/>
    </xf>
    <xf numFmtId="49" fontId="8" fillId="2" borderId="23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/>
    </xf>
    <xf numFmtId="40" fontId="9" fillId="3" borderId="35" xfId="0" applyNumberFormat="1" applyFont="1" applyFill="1" applyBorder="1" applyAlignment="1">
      <alignment horizontal="center"/>
    </xf>
    <xf numFmtId="49" fontId="9" fillId="3" borderId="36" xfId="0" applyNumberFormat="1" applyFont="1" applyFill="1" applyBorder="1" applyAlignment="1">
      <alignment horizontal="center"/>
    </xf>
    <xf numFmtId="40" fontId="9" fillId="3" borderId="7" xfId="0" applyNumberFormat="1" applyFont="1" applyFill="1" applyBorder="1" applyAlignment="1">
      <alignment horizontal="center"/>
    </xf>
    <xf numFmtId="49" fontId="9" fillId="3" borderId="12" xfId="0" applyNumberFormat="1" applyFont="1" applyFill="1" applyBorder="1" applyAlignment="1">
      <alignment horizontal="center"/>
    </xf>
    <xf numFmtId="0" fontId="11" fillId="3" borderId="6" xfId="0" applyFont="1" applyFill="1" applyBorder="1" applyAlignment="1">
      <alignment horizontal="left"/>
    </xf>
    <xf numFmtId="40" fontId="11" fillId="3" borderId="4" xfId="0" applyNumberFormat="1" applyFont="1" applyFill="1" applyBorder="1"/>
    <xf numFmtId="40" fontId="9" fillId="3" borderId="4" xfId="0" applyNumberFormat="1" applyFont="1" applyFill="1" applyBorder="1" applyAlignment="1">
      <alignment horizontal="center"/>
    </xf>
    <xf numFmtId="49" fontId="9" fillId="3" borderId="5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left"/>
    </xf>
    <xf numFmtId="40" fontId="11" fillId="3" borderId="7" xfId="0" applyNumberFormat="1" applyFont="1" applyFill="1" applyBorder="1"/>
    <xf numFmtId="0" fontId="12" fillId="3" borderId="38" xfId="0" applyFont="1" applyFill="1" applyBorder="1" applyAlignment="1">
      <alignment horizontal="left"/>
    </xf>
    <xf numFmtId="0" fontId="13" fillId="3" borderId="2" xfId="0" applyFont="1" applyFill="1" applyBorder="1" applyAlignment="1">
      <alignment horizontal="left"/>
    </xf>
    <xf numFmtId="40" fontId="9" fillId="3" borderId="2" xfId="0" applyNumberFormat="1" applyFont="1" applyFill="1" applyBorder="1" applyAlignment="1">
      <alignment horizontal="center"/>
    </xf>
    <xf numFmtId="40" fontId="9" fillId="3" borderId="23" xfId="0" applyNumberFormat="1" applyFont="1" applyFill="1" applyBorder="1" applyAlignment="1">
      <alignment horizontal="center"/>
    </xf>
    <xf numFmtId="171" fontId="0" fillId="0" borderId="0" xfId="0" applyNumberFormat="1"/>
    <xf numFmtId="0" fontId="19" fillId="0" borderId="0" xfId="1"/>
    <xf numFmtId="172" fontId="0" fillId="0" borderId="0" xfId="0" applyNumberFormat="1" applyAlignment="1">
      <alignment horizontal="right"/>
    </xf>
    <xf numFmtId="165" fontId="0" fillId="0" borderId="0" xfId="0" applyNumberFormat="1"/>
    <xf numFmtId="172" fontId="8" fillId="2" borderId="0" xfId="0" applyNumberFormat="1" applyFont="1" applyFill="1" applyAlignment="1">
      <alignment horizontal="right"/>
    </xf>
    <xf numFmtId="0" fontId="8" fillId="2" borderId="0" xfId="0" applyFont="1" applyFill="1" applyAlignment="1">
      <alignment horizontal="left"/>
    </xf>
    <xf numFmtId="165" fontId="8" fillId="2" borderId="0" xfId="0" applyNumberFormat="1" applyFont="1" applyFill="1" applyAlignment="1">
      <alignment horizontal="right"/>
    </xf>
    <xf numFmtId="165" fontId="11" fillId="3" borderId="4" xfId="0" applyNumberFormat="1" applyFont="1" applyFill="1" applyBorder="1"/>
    <xf numFmtId="17" fontId="11" fillId="3" borderId="4" xfId="0" applyNumberFormat="1" applyFont="1" applyFill="1" applyBorder="1"/>
    <xf numFmtId="0" fontId="11" fillId="3" borderId="4" xfId="0" applyFont="1" applyFill="1" applyBorder="1"/>
    <xf numFmtId="172" fontId="9" fillId="3" borderId="4" xfId="0" applyNumberFormat="1" applyFont="1" applyFill="1" applyBorder="1" applyAlignment="1">
      <alignment horizontal="right"/>
    </xf>
    <xf numFmtId="165" fontId="9" fillId="3" borderId="4" xfId="0" applyNumberFormat="1" applyFont="1" applyFill="1" applyBorder="1" applyAlignment="1">
      <alignment horizontal="right"/>
    </xf>
    <xf numFmtId="165" fontId="9" fillId="3" borderId="4" xfId="0" applyNumberFormat="1" applyFont="1" applyFill="1" applyBorder="1"/>
    <xf numFmtId="172" fontId="9" fillId="3" borderId="0" xfId="0" applyNumberFormat="1" applyFont="1" applyFill="1" applyAlignment="1">
      <alignment horizontal="right"/>
    </xf>
    <xf numFmtId="165" fontId="9" fillId="3" borderId="0" xfId="0" applyNumberFormat="1" applyFont="1" applyFill="1"/>
    <xf numFmtId="172" fontId="9" fillId="3" borderId="7" xfId="0" applyNumberFormat="1" applyFont="1" applyFill="1" applyBorder="1" applyAlignment="1">
      <alignment horizontal="right"/>
    </xf>
    <xf numFmtId="165" fontId="9" fillId="3" borderId="7" xfId="0" applyNumberFormat="1" applyFont="1" applyFill="1" applyBorder="1" applyAlignment="1">
      <alignment horizontal="right"/>
    </xf>
    <xf numFmtId="165" fontId="9" fillId="3" borderId="7" xfId="0" applyNumberFormat="1" applyFont="1" applyFill="1" applyBorder="1"/>
    <xf numFmtId="17" fontId="11" fillId="3" borderId="0" xfId="0" applyNumberFormat="1" applyFont="1" applyFill="1"/>
    <xf numFmtId="165" fontId="11" fillId="3" borderId="0" xfId="0" applyNumberFormat="1" applyFont="1" applyFill="1"/>
    <xf numFmtId="49" fontId="8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49" fontId="20" fillId="2" borderId="0" xfId="0" applyNumberFormat="1" applyFont="1" applyFill="1" applyAlignment="1">
      <alignment horizontal="left"/>
    </xf>
    <xf numFmtId="169" fontId="8" fillId="2" borderId="2" xfId="0" applyNumberFormat="1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9" fontId="9" fillId="3" borderId="35" xfId="0" applyNumberFormat="1" applyFont="1" applyFill="1" applyBorder="1"/>
    <xf numFmtId="16" fontId="9" fillId="3" borderId="35" xfId="0" applyNumberFormat="1" applyFont="1" applyFill="1" applyBorder="1"/>
    <xf numFmtId="0" fontId="9" fillId="3" borderId="35" xfId="0" applyFont="1" applyFill="1" applyBorder="1"/>
    <xf numFmtId="40" fontId="9" fillId="3" borderId="35" xfId="0" applyNumberFormat="1" applyFont="1" applyFill="1" applyBorder="1"/>
    <xf numFmtId="40" fontId="9" fillId="3" borderId="5" xfId="0" applyNumberFormat="1" applyFont="1" applyFill="1" applyBorder="1"/>
    <xf numFmtId="40" fontId="9" fillId="3" borderId="10" xfId="0" applyNumberFormat="1" applyFont="1" applyFill="1" applyBorder="1"/>
    <xf numFmtId="16" fontId="9" fillId="3" borderId="0" xfId="0" applyNumberFormat="1" applyFont="1" applyFill="1"/>
    <xf numFmtId="40" fontId="9" fillId="3" borderId="16" xfId="0" applyNumberFormat="1" applyFont="1" applyFill="1" applyBorder="1"/>
    <xf numFmtId="40" fontId="9" fillId="3" borderId="6" xfId="0" applyNumberFormat="1" applyFont="1" applyFill="1" applyBorder="1"/>
    <xf numFmtId="40" fontId="9" fillId="3" borderId="12" xfId="0" applyNumberFormat="1" applyFont="1" applyFill="1" applyBorder="1"/>
    <xf numFmtId="49" fontId="11" fillId="3" borderId="13" xfId="0" applyNumberFormat="1" applyFont="1" applyFill="1" applyBorder="1"/>
    <xf numFmtId="49" fontId="11" fillId="3" borderId="4" xfId="0" applyNumberFormat="1" applyFont="1" applyFill="1" applyBorder="1"/>
    <xf numFmtId="40" fontId="11" fillId="3" borderId="5" xfId="0" applyNumberFormat="1" applyFont="1" applyFill="1" applyBorder="1"/>
    <xf numFmtId="49" fontId="9" fillId="3" borderId="0" xfId="0" applyNumberFormat="1" applyFont="1" applyFill="1"/>
    <xf numFmtId="169" fontId="11" fillId="3" borderId="4" xfId="0" applyNumberFormat="1" applyFont="1" applyFill="1" applyBorder="1"/>
    <xf numFmtId="169" fontId="11" fillId="3" borderId="39" xfId="0" applyNumberFormat="1" applyFont="1" applyFill="1" applyBorder="1"/>
    <xf numFmtId="40" fontId="11" fillId="3" borderId="39" xfId="0" applyNumberFormat="1" applyFont="1" applyFill="1" applyBorder="1"/>
    <xf numFmtId="49" fontId="11" fillId="3" borderId="39" xfId="0" applyNumberFormat="1" applyFont="1" applyFill="1" applyBorder="1"/>
    <xf numFmtId="40" fontId="11" fillId="3" borderId="40" xfId="0" applyNumberFormat="1" applyFont="1" applyFill="1" applyBorder="1"/>
    <xf numFmtId="49" fontId="20" fillId="2" borderId="0" xfId="0" applyNumberFormat="1" applyFont="1" applyFill="1" applyAlignment="1">
      <alignment horizontal="center"/>
    </xf>
    <xf numFmtId="0" fontId="21" fillId="2" borderId="0" xfId="0" applyFont="1" applyFill="1" applyAlignment="1">
      <alignment horizontal="left"/>
    </xf>
    <xf numFmtId="49" fontId="8" fillId="2" borderId="6" xfId="0" applyNumberFormat="1" applyFont="1" applyFill="1" applyBorder="1" applyAlignment="1">
      <alignment horizontal="center"/>
    </xf>
    <xf numFmtId="40" fontId="9" fillId="3" borderId="36" xfId="0" applyNumberFormat="1" applyFont="1" applyFill="1" applyBorder="1"/>
    <xf numFmtId="40" fontId="9" fillId="3" borderId="37" xfId="0" applyNumberFormat="1" applyFont="1" applyFill="1" applyBorder="1"/>
    <xf numFmtId="49" fontId="9" fillId="3" borderId="10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173" fontId="0" fillId="0" borderId="0" xfId="0" applyNumberFormat="1"/>
    <xf numFmtId="4" fontId="0" fillId="0" borderId="0" xfId="0" applyNumberFormat="1"/>
    <xf numFmtId="2" fontId="0" fillId="0" borderId="0" xfId="0" applyNumberFormat="1"/>
    <xf numFmtId="169" fontId="8" fillId="2" borderId="0" xfId="0" applyNumberFormat="1" applyFont="1" applyFill="1" applyAlignment="1">
      <alignment horizontal="left"/>
    </xf>
    <xf numFmtId="49" fontId="8" fillId="2" borderId="0" xfId="0" applyNumberFormat="1" applyFont="1" applyFill="1" applyAlignment="1">
      <alignment horizontal="left"/>
    </xf>
    <xf numFmtId="0" fontId="22" fillId="2" borderId="0" xfId="0" applyFont="1" applyFill="1" applyAlignment="1">
      <alignment horizontal="center"/>
    </xf>
    <xf numFmtId="49" fontId="8" fillId="2" borderId="6" xfId="0" applyNumberFormat="1" applyFont="1" applyFill="1" applyBorder="1"/>
    <xf numFmtId="0" fontId="10" fillId="0" borderId="0" xfId="0" applyFont="1" applyAlignment="1">
      <alignment horizontal="center"/>
    </xf>
    <xf numFmtId="40" fontId="8" fillId="2" borderId="23" xfId="0" applyNumberFormat="1" applyFont="1" applyFill="1" applyBorder="1" applyAlignment="1">
      <alignment horizontal="center"/>
    </xf>
    <xf numFmtId="49" fontId="9" fillId="3" borderId="35" xfId="0" applyNumberFormat="1" applyFont="1" applyFill="1" applyBorder="1"/>
    <xf numFmtId="0" fontId="9" fillId="3" borderId="0" xfId="0" applyFont="1" applyFill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center"/>
    </xf>
    <xf numFmtId="49" fontId="23" fillId="3" borderId="13" xfId="0" applyNumberFormat="1" applyFont="1" applyFill="1" applyBorder="1"/>
    <xf numFmtId="170" fontId="9" fillId="3" borderId="0" xfId="0" applyNumberFormat="1" applyFont="1" applyFill="1"/>
    <xf numFmtId="169" fontId="8" fillId="2" borderId="0" xfId="0" applyNumberFormat="1" applyFont="1" applyFill="1" applyAlignment="1">
      <alignment horizontal="center"/>
    </xf>
    <xf numFmtId="169" fontId="9" fillId="3" borderId="4" xfId="0" applyNumberFormat="1" applyFont="1" applyFill="1" applyBorder="1"/>
    <xf numFmtId="16" fontId="9" fillId="3" borderId="4" xfId="0" applyNumberFormat="1" applyFont="1" applyFill="1" applyBorder="1"/>
    <xf numFmtId="16" fontId="9" fillId="3" borderId="7" xfId="0" applyNumberFormat="1" applyFont="1" applyFill="1" applyBorder="1"/>
    <xf numFmtId="0" fontId="24" fillId="0" borderId="0" xfId="0" applyFont="1" applyAlignment="1">
      <alignment horizontal="left" indent="15"/>
    </xf>
    <xf numFmtId="0" fontId="24" fillId="0" borderId="0" xfId="0" applyFont="1"/>
    <xf numFmtId="164" fontId="25" fillId="0" borderId="0" xfId="0" applyNumberFormat="1" applyFont="1"/>
    <xf numFmtId="40" fontId="12" fillId="0" borderId="0" xfId="0" applyNumberFormat="1" applyFont="1" applyAlignment="1">
      <alignment horizontal="center"/>
    </xf>
    <xf numFmtId="164" fontId="26" fillId="0" borderId="0" xfId="0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6" fontId="10" fillId="0" borderId="0" xfId="0" applyNumberFormat="1" applyFont="1" applyAlignment="1">
      <alignment horizontal="center"/>
    </xf>
    <xf numFmtId="16" fontId="10" fillId="0" borderId="0" xfId="0" applyNumberFormat="1" applyFont="1"/>
    <xf numFmtId="0" fontId="27" fillId="0" borderId="0" xfId="0" applyFont="1"/>
    <xf numFmtId="40" fontId="8" fillId="2" borderId="5" xfId="0" applyNumberFormat="1" applyFont="1" applyFill="1" applyBorder="1" applyAlignment="1">
      <alignment horizontal="center"/>
    </xf>
    <xf numFmtId="49" fontId="8" fillId="2" borderId="10" xfId="0" applyNumberFormat="1" applyFont="1" applyFill="1" applyBorder="1" applyAlignment="1">
      <alignment horizontal="center"/>
    </xf>
    <xf numFmtId="49" fontId="8" fillId="2" borderId="4" xfId="0" applyNumberFormat="1" applyFont="1" applyFill="1" applyBorder="1" applyAlignment="1">
      <alignment horizontal="center"/>
    </xf>
    <xf numFmtId="49" fontId="8" fillId="2" borderId="38" xfId="0" applyNumberFormat="1" applyFont="1" applyFill="1" applyBorder="1" applyAlignment="1">
      <alignment horizontal="center"/>
    </xf>
    <xf numFmtId="174" fontId="9" fillId="3" borderId="16" xfId="0" applyNumberFormat="1" applyFont="1" applyFill="1" applyBorder="1" applyAlignment="1">
      <alignment horizontal="left"/>
    </xf>
    <xf numFmtId="49" fontId="9" fillId="3" borderId="6" xfId="0" applyNumberFormat="1" applyFont="1" applyFill="1" applyBorder="1"/>
    <xf numFmtId="49" fontId="9" fillId="3" borderId="0" xfId="0" applyNumberFormat="1" applyFont="1" applyFill="1" applyAlignment="1">
      <alignment horizontal="center"/>
    </xf>
    <xf numFmtId="174" fontId="9" fillId="3" borderId="0" xfId="0" applyNumberFormat="1" applyFont="1" applyFill="1"/>
    <xf numFmtId="174" fontId="9" fillId="3" borderId="0" xfId="0" applyNumberFormat="1" applyFont="1" applyFill="1" applyAlignment="1">
      <alignment horizontal="center"/>
    </xf>
    <xf numFmtId="1" fontId="9" fillId="3" borderId="0" xfId="0" applyNumberFormat="1" applyFont="1" applyFill="1" applyAlignment="1">
      <alignment horizontal="center"/>
    </xf>
    <xf numFmtId="174" fontId="9" fillId="3" borderId="16" xfId="0" applyNumberFormat="1" applyFont="1" applyFill="1" applyBorder="1" applyAlignment="1">
      <alignment horizontal="center"/>
    </xf>
    <xf numFmtId="49" fontId="9" fillId="3" borderId="6" xfId="0" applyNumberFormat="1" applyFont="1" applyFill="1" applyBorder="1" applyAlignment="1">
      <alignment horizontal="left"/>
    </xf>
    <xf numFmtId="175" fontId="9" fillId="3" borderId="41" xfId="0" applyNumberFormat="1" applyFont="1" applyFill="1" applyBorder="1" applyAlignment="1">
      <alignment horizontal="right"/>
    </xf>
    <xf numFmtId="175" fontId="9" fillId="3" borderId="24" xfId="0" applyNumberFormat="1" applyFont="1" applyFill="1" applyBorder="1" applyAlignment="1">
      <alignment horizontal="right"/>
    </xf>
    <xf numFmtId="175" fontId="9" fillId="3" borderId="27" xfId="0" applyNumberFormat="1" applyFont="1" applyFill="1" applyBorder="1" applyAlignment="1">
      <alignment horizontal="right"/>
    </xf>
    <xf numFmtId="0" fontId="29" fillId="0" borderId="0" xfId="0" applyFont="1"/>
    <xf numFmtId="49" fontId="28" fillId="3" borderId="0" xfId="0" applyNumberFormat="1" applyFont="1" applyFill="1" applyAlignment="1">
      <alignment horizontal="left"/>
    </xf>
    <xf numFmtId="0" fontId="28" fillId="3" borderId="0" xfId="0" applyFont="1" applyFill="1"/>
    <xf numFmtId="49" fontId="7" fillId="2" borderId="2" xfId="0" applyNumberFormat="1" applyFont="1" applyFill="1" applyBorder="1" applyAlignment="1" applyProtection="1">
      <alignment horizontal="left"/>
      <protection locked="0"/>
    </xf>
    <xf numFmtId="166" fontId="8" fillId="2" borderId="2" xfId="0" applyNumberFormat="1" applyFont="1" applyFill="1" applyBorder="1" applyAlignment="1" applyProtection="1">
      <alignment horizontal="center"/>
      <protection locked="0"/>
    </xf>
    <xf numFmtId="16" fontId="8" fillId="2" borderId="23" xfId="0" applyNumberFormat="1" applyFont="1" applyFill="1" applyBorder="1" applyAlignment="1" applyProtection="1">
      <alignment horizontal="center"/>
      <protection locked="0"/>
    </xf>
    <xf numFmtId="38" fontId="8" fillId="2" borderId="2" xfId="0" applyNumberFormat="1" applyFont="1" applyFill="1" applyBorder="1" applyAlignment="1" applyProtection="1">
      <alignment horizontal="right"/>
      <protection locked="0"/>
    </xf>
    <xf numFmtId="49" fontId="8" fillId="2" borderId="2" xfId="0" applyNumberFormat="1" applyFont="1" applyFill="1" applyBorder="1" applyAlignment="1" applyProtection="1">
      <alignment horizontal="center"/>
      <protection locked="0"/>
    </xf>
    <xf numFmtId="40" fontId="8" fillId="2" borderId="2" xfId="0" applyNumberFormat="1" applyFont="1" applyFill="1" applyBorder="1" applyAlignment="1" applyProtection="1">
      <alignment horizontal="center"/>
      <protection locked="0"/>
    </xf>
    <xf numFmtId="49" fontId="7" fillId="2" borderId="38" xfId="0" applyNumberFormat="1" applyFont="1" applyFill="1" applyBorder="1" applyAlignment="1" applyProtection="1">
      <alignment horizontal="left"/>
      <protection locked="0"/>
    </xf>
    <xf numFmtId="49" fontId="7" fillId="2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49" fontId="10" fillId="3" borderId="0" xfId="0" applyNumberFormat="1" applyFont="1" applyFill="1" applyAlignment="1" applyProtection="1">
      <alignment horizontal="left"/>
      <protection locked="0"/>
    </xf>
    <xf numFmtId="166" fontId="0" fillId="3" borderId="0" xfId="0" applyNumberFormat="1" applyFill="1" applyProtection="1">
      <protection locked="0"/>
    </xf>
    <xf numFmtId="38" fontId="0" fillId="3" borderId="0" xfId="0" applyNumberFormat="1" applyFill="1" applyProtection="1">
      <protection locked="0"/>
    </xf>
    <xf numFmtId="40" fontId="0" fillId="3" borderId="0" xfId="0" applyNumberFormat="1" applyFill="1" applyProtection="1">
      <protection locked="0"/>
    </xf>
    <xf numFmtId="40" fontId="0" fillId="3" borderId="6" xfId="0" applyNumberFormat="1" applyFill="1" applyBorder="1" applyProtection="1">
      <protection locked="0"/>
    </xf>
    <xf numFmtId="40" fontId="0" fillId="3" borderId="16" xfId="0" applyNumberFormat="1" applyFill="1" applyBorder="1" applyProtection="1">
      <protection locked="0"/>
    </xf>
    <xf numFmtId="38" fontId="0" fillId="3" borderId="6" xfId="0" applyNumberFormat="1" applyFill="1" applyBorder="1" applyProtection="1">
      <protection locked="0"/>
    </xf>
    <xf numFmtId="0" fontId="10" fillId="3" borderId="0" xfId="0" applyFont="1" applyFill="1" applyProtection="1">
      <protection locked="0"/>
    </xf>
    <xf numFmtId="0" fontId="9" fillId="3" borderId="13" xfId="0" applyFont="1" applyFill="1" applyBorder="1"/>
    <xf numFmtId="40" fontId="9" fillId="3" borderId="13" xfId="0" applyNumberFormat="1" applyFont="1" applyFill="1" applyBorder="1"/>
    <xf numFmtId="49" fontId="28" fillId="3" borderId="0" xfId="0" applyNumberFormat="1" applyFont="1" applyFill="1" applyAlignment="1" applyProtection="1">
      <alignment horizontal="left"/>
      <protection locked="0"/>
    </xf>
    <xf numFmtId="0" fontId="10" fillId="0" borderId="6" xfId="0" applyFont="1" applyBorder="1"/>
    <xf numFmtId="49" fontId="30" fillId="3" borderId="6" xfId="0" applyNumberFormat="1" applyFont="1" applyFill="1" applyBorder="1" applyAlignment="1">
      <alignment horizontal="left"/>
    </xf>
    <xf numFmtId="49" fontId="30" fillId="3" borderId="0" xfId="0" applyNumberFormat="1" applyFont="1" applyFill="1" applyAlignment="1">
      <alignment horizontal="center"/>
    </xf>
    <xf numFmtId="49" fontId="30" fillId="3" borderId="0" xfId="0" applyNumberFormat="1" applyFont="1" applyFill="1" applyAlignment="1">
      <alignment horizontal="left"/>
    </xf>
    <xf numFmtId="174" fontId="30" fillId="3" borderId="0" xfId="0" applyNumberFormat="1" applyFont="1" applyFill="1"/>
    <xf numFmtId="40" fontId="30" fillId="3" borderId="0" xfId="0" applyNumberFormat="1" applyFont="1" applyFill="1"/>
    <xf numFmtId="174" fontId="30" fillId="3" borderId="0" xfId="0" applyNumberFormat="1" applyFont="1" applyFill="1" applyAlignment="1">
      <alignment horizontal="center"/>
    </xf>
    <xf numFmtId="176" fontId="30" fillId="3" borderId="0" xfId="0" applyNumberFormat="1" applyFont="1" applyFill="1" applyAlignment="1">
      <alignment horizontal="center"/>
    </xf>
    <xf numFmtId="1" fontId="30" fillId="3" borderId="0" xfId="0" applyNumberFormat="1" applyFont="1" applyFill="1" applyAlignment="1">
      <alignment horizontal="center"/>
    </xf>
    <xf numFmtId="174" fontId="30" fillId="3" borderId="16" xfId="0" applyNumberFormat="1" applyFont="1" applyFill="1" applyBorder="1" applyAlignment="1">
      <alignment horizontal="center"/>
    </xf>
    <xf numFmtId="0" fontId="28" fillId="0" borderId="0" xfId="0" applyFont="1"/>
    <xf numFmtId="0" fontId="0" fillId="0" borderId="0" xfId="0" pivotButton="1"/>
    <xf numFmtId="16" fontId="28" fillId="0" borderId="0" xfId="0" applyNumberFormat="1" applyFont="1"/>
    <xf numFmtId="40" fontId="10" fillId="0" borderId="42" xfId="0" applyNumberFormat="1" applyFont="1" applyBorder="1"/>
    <xf numFmtId="0" fontId="0" fillId="0" borderId="42" xfId="0" applyBorder="1"/>
    <xf numFmtId="40" fontId="0" fillId="0" borderId="42" xfId="0" applyNumberFormat="1" applyBorder="1"/>
    <xf numFmtId="0" fontId="9" fillId="3" borderId="24" xfId="0" applyFont="1" applyFill="1" applyBorder="1"/>
    <xf numFmtId="0" fontId="9" fillId="4" borderId="24" xfId="0" applyFont="1" applyFill="1" applyBorder="1"/>
    <xf numFmtId="38" fontId="9" fillId="3" borderId="0" xfId="0" applyNumberFormat="1" applyFont="1" applyFill="1"/>
    <xf numFmtId="38" fontId="9" fillId="4" borderId="0" xfId="0" applyNumberFormat="1" applyFont="1" applyFill="1"/>
    <xf numFmtId="38" fontId="9" fillId="4" borderId="21" xfId="0" applyNumberFormat="1" applyFont="1" applyFill="1" applyBorder="1"/>
    <xf numFmtId="38" fontId="9" fillId="3" borderId="20" xfId="0" applyNumberFormat="1" applyFont="1" applyFill="1" applyBorder="1"/>
    <xf numFmtId="38" fontId="9" fillId="3" borderId="7" xfId="0" applyNumberFormat="1" applyFont="1" applyFill="1" applyBorder="1"/>
    <xf numFmtId="38" fontId="9" fillId="4" borderId="7" xfId="0" applyNumberFormat="1" applyFont="1" applyFill="1" applyBorder="1"/>
    <xf numFmtId="38" fontId="9" fillId="3" borderId="30" xfId="0" applyNumberFormat="1" applyFont="1" applyFill="1" applyBorder="1"/>
    <xf numFmtId="38" fontId="9" fillId="4" borderId="31" xfId="0" applyNumberFormat="1" applyFont="1" applyFill="1" applyBorder="1"/>
    <xf numFmtId="38" fontId="9" fillId="3" borderId="32" xfId="0" applyNumberFormat="1" applyFont="1" applyFill="1" applyBorder="1"/>
    <xf numFmtId="38" fontId="9" fillId="3" borderId="33" xfId="0" applyNumberFormat="1" applyFont="1" applyFill="1" applyBorder="1"/>
    <xf numFmtId="38" fontId="11" fillId="3" borderId="13" xfId="0" applyNumberFormat="1" applyFont="1" applyFill="1" applyBorder="1"/>
    <xf numFmtId="38" fontId="11" fillId="4" borderId="13" xfId="0" applyNumberFormat="1" applyFont="1" applyFill="1" applyBorder="1"/>
    <xf numFmtId="38" fontId="11" fillId="3" borderId="34" xfId="0" applyNumberFormat="1" applyFont="1" applyFill="1" applyBorder="1"/>
    <xf numFmtId="40" fontId="28" fillId="0" borderId="0" xfId="0" applyNumberFormat="1" applyFont="1"/>
    <xf numFmtId="38" fontId="8" fillId="2" borderId="0" xfId="0" applyNumberFormat="1" applyFont="1" applyFill="1" applyAlignment="1">
      <alignment horizontal="right"/>
    </xf>
    <xf numFmtId="38" fontId="0" fillId="3" borderId="35" xfId="0" applyNumberFormat="1" applyFill="1" applyBorder="1" applyProtection="1">
      <protection locked="0"/>
    </xf>
    <xf numFmtId="4" fontId="28" fillId="0" borderId="0" xfId="0" applyNumberFormat="1" applyFont="1"/>
    <xf numFmtId="2" fontId="0" fillId="0" borderId="0" xfId="0" applyNumberFormat="1" applyAlignment="1">
      <alignment horizontal="center"/>
    </xf>
    <xf numFmtId="177" fontId="16" fillId="0" borderId="0" xfId="0" applyNumberFormat="1" applyFont="1" applyAlignment="1">
      <alignment horizontal="center"/>
    </xf>
    <xf numFmtId="177" fontId="12" fillId="0" borderId="0" xfId="0" applyNumberFormat="1" applyFont="1"/>
    <xf numFmtId="177" fontId="0" fillId="0" borderId="0" xfId="0" applyNumberFormat="1"/>
    <xf numFmtId="177" fontId="28" fillId="0" borderId="0" xfId="0" applyNumberFormat="1" applyFont="1"/>
    <xf numFmtId="177" fontId="0" fillId="0" borderId="42" xfId="0" applyNumberFormat="1" applyBorder="1"/>
    <xf numFmtId="0" fontId="33" fillId="0" borderId="0" xfId="0" applyFont="1" applyAlignment="1">
      <alignment horizontal="center"/>
    </xf>
    <xf numFmtId="0" fontId="28" fillId="0" borderId="42" xfId="0" applyFont="1" applyBorder="1"/>
    <xf numFmtId="177" fontId="8" fillId="2" borderId="0" xfId="0" applyNumberFormat="1" applyFont="1" applyFill="1" applyAlignment="1">
      <alignment horizontal="right"/>
    </xf>
    <xf numFmtId="177" fontId="8" fillId="2" borderId="16" xfId="0" applyNumberFormat="1" applyFont="1" applyFill="1" applyBorder="1" applyAlignment="1">
      <alignment horizontal="right"/>
    </xf>
    <xf numFmtId="177" fontId="0" fillId="3" borderId="35" xfId="0" applyNumberFormat="1" applyFill="1" applyBorder="1"/>
    <xf numFmtId="177" fontId="0" fillId="3" borderId="36" xfId="0" applyNumberFormat="1" applyFill="1" applyBorder="1"/>
    <xf numFmtId="177" fontId="12" fillId="3" borderId="0" xfId="0" applyNumberFormat="1" applyFont="1" applyFill="1"/>
    <xf numFmtId="177" fontId="12" fillId="3" borderId="16" xfId="0" applyNumberFormat="1" applyFont="1" applyFill="1" applyBorder="1"/>
    <xf numFmtId="177" fontId="8" fillId="2" borderId="2" xfId="0" applyNumberFormat="1" applyFont="1" applyFill="1" applyBorder="1" applyAlignment="1" applyProtection="1">
      <alignment horizontal="right"/>
      <protection locked="0"/>
    </xf>
    <xf numFmtId="177" fontId="8" fillId="2" borderId="23" xfId="0" applyNumberFormat="1" applyFont="1" applyFill="1" applyBorder="1" applyAlignment="1" applyProtection="1">
      <alignment horizontal="center"/>
      <protection locked="0"/>
    </xf>
    <xf numFmtId="177" fontId="10" fillId="3" borderId="0" xfId="0" applyNumberFormat="1" applyFont="1" applyFill="1"/>
    <xf numFmtId="177" fontId="0" fillId="3" borderId="16" xfId="0" applyNumberFormat="1" applyFill="1" applyBorder="1" applyProtection="1">
      <protection locked="0"/>
    </xf>
    <xf numFmtId="177" fontId="0" fillId="3" borderId="0" xfId="0" applyNumberFormat="1" applyFill="1"/>
    <xf numFmtId="177" fontId="0" fillId="3" borderId="16" xfId="0" applyNumberFormat="1" applyFill="1" applyBorder="1"/>
    <xf numFmtId="177" fontId="0" fillId="3" borderId="0" xfId="0" applyNumberFormat="1" applyFill="1" applyProtection="1">
      <protection locked="0"/>
    </xf>
    <xf numFmtId="177" fontId="10" fillId="3" borderId="16" xfId="0" applyNumberFormat="1" applyFont="1" applyFill="1" applyBorder="1"/>
    <xf numFmtId="38" fontId="9" fillId="3" borderId="35" xfId="0" applyNumberFormat="1" applyFont="1" applyFill="1" applyBorder="1"/>
    <xf numFmtId="38" fontId="11" fillId="3" borderId="39" xfId="0" applyNumberFormat="1" applyFont="1" applyFill="1" applyBorder="1"/>
    <xf numFmtId="38" fontId="11" fillId="3" borderId="4" xfId="0" applyNumberFormat="1" applyFont="1" applyFill="1" applyBorder="1"/>
    <xf numFmtId="38" fontId="9" fillId="3" borderId="4" xfId="0" applyNumberFormat="1" applyFont="1" applyFill="1" applyBorder="1"/>
    <xf numFmtId="38" fontId="22" fillId="2" borderId="0" xfId="0" applyNumberFormat="1" applyFont="1" applyFill="1" applyAlignment="1">
      <alignment horizontal="center"/>
    </xf>
    <xf numFmtId="38" fontId="8" fillId="2" borderId="2" xfId="0" applyNumberFormat="1" applyFont="1" applyFill="1" applyBorder="1" applyAlignment="1">
      <alignment horizontal="center"/>
    </xf>
    <xf numFmtId="38" fontId="20" fillId="2" borderId="0" xfId="0" applyNumberFormat="1" applyFont="1" applyFill="1" applyAlignment="1">
      <alignment horizontal="left"/>
    </xf>
    <xf numFmtId="165" fontId="30" fillId="3" borderId="0" xfId="0" applyNumberFormat="1" applyFont="1" applyFill="1" applyAlignment="1">
      <alignment horizontal="right"/>
    </xf>
    <xf numFmtId="0" fontId="0" fillId="0" borderId="0" xfId="0" quotePrefix="1"/>
    <xf numFmtId="0" fontId="28" fillId="0" borderId="0" xfId="0" quotePrefix="1" applyFont="1"/>
    <xf numFmtId="178" fontId="9" fillId="3" borderId="28" xfId="0" applyNumberFormat="1" applyFont="1" applyFill="1" applyBorder="1"/>
    <xf numFmtId="178" fontId="9" fillId="4" borderId="21" xfId="0" applyNumberFormat="1" applyFont="1" applyFill="1" applyBorder="1"/>
    <xf numFmtId="178" fontId="9" fillId="3" borderId="29" xfId="0" applyNumberFormat="1" applyFont="1" applyFill="1" applyBorder="1"/>
    <xf numFmtId="178" fontId="9" fillId="3" borderId="30" xfId="0" applyNumberFormat="1" applyFont="1" applyFill="1" applyBorder="1"/>
    <xf numFmtId="178" fontId="9" fillId="4" borderId="31" xfId="0" applyNumberFormat="1" applyFont="1" applyFill="1" applyBorder="1"/>
    <xf numFmtId="38" fontId="28" fillId="0" borderId="0" xfId="0" applyNumberFormat="1" applyFont="1"/>
    <xf numFmtId="15" fontId="28" fillId="0" borderId="0" xfId="0" applyNumberFormat="1" applyFont="1"/>
    <xf numFmtId="177" fontId="9" fillId="3" borderId="0" xfId="0" applyNumberFormat="1" applyFont="1" applyFill="1"/>
    <xf numFmtId="177" fontId="9" fillId="3" borderId="4" xfId="0" applyNumberFormat="1" applyFont="1" applyFill="1" applyBorder="1"/>
    <xf numFmtId="177" fontId="9" fillId="3" borderId="7" xfId="0" applyNumberFormat="1" applyFont="1" applyFill="1" applyBorder="1"/>
    <xf numFmtId="169" fontId="9" fillId="3" borderId="0" xfId="0" applyNumberFormat="1" applyFont="1" applyFill="1" applyBorder="1"/>
    <xf numFmtId="40" fontId="9" fillId="3" borderId="0" xfId="0" applyNumberFormat="1" applyFont="1" applyFill="1" applyBorder="1"/>
    <xf numFmtId="38" fontId="0" fillId="0" borderId="0" xfId="0" applyNumberFormat="1" applyBorder="1"/>
    <xf numFmtId="16" fontId="10" fillId="0" borderId="0" xfId="0" quotePrefix="1" applyNumberFormat="1" applyFont="1"/>
    <xf numFmtId="177" fontId="9" fillId="3" borderId="0" xfId="0" applyNumberFormat="1" applyFont="1" applyFill="1" applyBorder="1"/>
    <xf numFmtId="0" fontId="9" fillId="3" borderId="0" xfId="0" applyFont="1" applyFill="1" applyBorder="1"/>
    <xf numFmtId="16" fontId="9" fillId="3" borderId="0" xfId="0" applyNumberFormat="1" applyFont="1" applyFill="1" applyBorder="1"/>
    <xf numFmtId="165" fontId="10" fillId="0" borderId="0" xfId="0" applyNumberFormat="1" applyFont="1"/>
  </cellXfs>
  <cellStyles count="105">
    <cellStyle name="20% - Accent1" xfId="19" builtinId="30" customBuiltin="1"/>
    <cellStyle name="20% - Accent1 2" xfId="47"/>
    <cellStyle name="20% - Accent1 3" xfId="67"/>
    <cellStyle name="20% - Accent1 4" xfId="87"/>
    <cellStyle name="20% - Accent2" xfId="23" builtinId="34" customBuiltin="1"/>
    <cellStyle name="20% - Accent2 2" xfId="50"/>
    <cellStyle name="20% - Accent2 3" xfId="70"/>
    <cellStyle name="20% - Accent2 4" xfId="90"/>
    <cellStyle name="20% - Accent3" xfId="27" builtinId="38" customBuiltin="1"/>
    <cellStyle name="20% - Accent3 2" xfId="53"/>
    <cellStyle name="20% - Accent3 3" xfId="73"/>
    <cellStyle name="20% - Accent3 4" xfId="93"/>
    <cellStyle name="20% - Accent4" xfId="31" builtinId="42" customBuiltin="1"/>
    <cellStyle name="20% - Accent4 2" xfId="56"/>
    <cellStyle name="20% - Accent4 3" xfId="76"/>
    <cellStyle name="20% - Accent4 4" xfId="96"/>
    <cellStyle name="20% - Accent5" xfId="35" builtinId="46" customBuiltin="1"/>
    <cellStyle name="20% - Accent5 2" xfId="59"/>
    <cellStyle name="20% - Accent5 3" xfId="79"/>
    <cellStyle name="20% - Accent5 4" xfId="99"/>
    <cellStyle name="20% - Accent6" xfId="39" builtinId="50" customBuiltin="1"/>
    <cellStyle name="20% - Accent6 2" xfId="62"/>
    <cellStyle name="20% - Accent6 3" xfId="82"/>
    <cellStyle name="20% - Accent6 4" xfId="102"/>
    <cellStyle name="40% - Accent1" xfId="20" builtinId="31" customBuiltin="1"/>
    <cellStyle name="40% - Accent1 2" xfId="48"/>
    <cellStyle name="40% - Accent1 3" xfId="68"/>
    <cellStyle name="40% - Accent1 4" xfId="88"/>
    <cellStyle name="40% - Accent2" xfId="24" builtinId="35" customBuiltin="1"/>
    <cellStyle name="40% - Accent2 2" xfId="51"/>
    <cellStyle name="40% - Accent2 3" xfId="71"/>
    <cellStyle name="40% - Accent2 4" xfId="91"/>
    <cellStyle name="40% - Accent3" xfId="28" builtinId="39" customBuiltin="1"/>
    <cellStyle name="40% - Accent3 2" xfId="54"/>
    <cellStyle name="40% - Accent3 3" xfId="74"/>
    <cellStyle name="40% - Accent3 4" xfId="94"/>
    <cellStyle name="40% - Accent4" xfId="32" builtinId="43" customBuiltin="1"/>
    <cellStyle name="40% - Accent4 2" xfId="57"/>
    <cellStyle name="40% - Accent4 3" xfId="77"/>
    <cellStyle name="40% - Accent4 4" xfId="97"/>
    <cellStyle name="40% - Accent5" xfId="36" builtinId="47" customBuiltin="1"/>
    <cellStyle name="40% - Accent5 2" xfId="60"/>
    <cellStyle name="40% - Accent5 3" xfId="80"/>
    <cellStyle name="40% - Accent5 4" xfId="100"/>
    <cellStyle name="40% - Accent6" xfId="40" builtinId="51" customBuiltin="1"/>
    <cellStyle name="40% - Accent6 2" xfId="63"/>
    <cellStyle name="40% - Accent6 3" xfId="83"/>
    <cellStyle name="40% - Accent6 4" xfId="103"/>
    <cellStyle name="60% - Accent1" xfId="21" builtinId="32" customBuiltin="1"/>
    <cellStyle name="60% - Accent1 2" xfId="49"/>
    <cellStyle name="60% - Accent1 3" xfId="69"/>
    <cellStyle name="60% - Accent1 4" xfId="89"/>
    <cellStyle name="60% - Accent2" xfId="25" builtinId="36" customBuiltin="1"/>
    <cellStyle name="60% - Accent2 2" xfId="52"/>
    <cellStyle name="60% - Accent2 3" xfId="72"/>
    <cellStyle name="60% - Accent2 4" xfId="92"/>
    <cellStyle name="60% - Accent3" xfId="29" builtinId="40" customBuiltin="1"/>
    <cellStyle name="60% - Accent3 2" xfId="55"/>
    <cellStyle name="60% - Accent3 3" xfId="75"/>
    <cellStyle name="60% - Accent3 4" xfId="95"/>
    <cellStyle name="60% - Accent4" xfId="33" builtinId="44" customBuiltin="1"/>
    <cellStyle name="60% - Accent4 2" xfId="58"/>
    <cellStyle name="60% - Accent4 3" xfId="78"/>
    <cellStyle name="60% - Accent4 4" xfId="98"/>
    <cellStyle name="60% - Accent5" xfId="37" builtinId="48" customBuiltin="1"/>
    <cellStyle name="60% - Accent5 2" xfId="61"/>
    <cellStyle name="60% - Accent5 3" xfId="81"/>
    <cellStyle name="60% - Accent5 4" xfId="101"/>
    <cellStyle name="60% - Accent6" xfId="41" builtinId="52" customBuiltin="1"/>
    <cellStyle name="60% - Accent6 2" xfId="64"/>
    <cellStyle name="60% - Accent6 3" xfId="84"/>
    <cellStyle name="60% - Accent6 4" xfId="104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2" builtinId="53" customBuiltin="1"/>
    <cellStyle name="Explanatory Text 2" xfId="44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42"/>
    <cellStyle name="Normal 3" xfId="45"/>
    <cellStyle name="Normal 4" xfId="65"/>
    <cellStyle name="Normal 5" xfId="85"/>
    <cellStyle name="Note 2" xfId="43"/>
    <cellStyle name="Note 3" xfId="46"/>
    <cellStyle name="Note 4" xfId="66"/>
    <cellStyle name="Note 5" xfId="86"/>
    <cellStyle name="Output" xfId="12" builtinId="21" customBuiltin="1"/>
    <cellStyle name="Title" xfId="3" builtinId="15" customBuiltin="1"/>
    <cellStyle name="Total" xfId="17" builtinId="25" customBuiltin="1"/>
    <cellStyle name="Warning Text" xfId="16" builtinId="11" customBuiltin="1"/>
  </cellStyles>
  <dxfs count="107"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666699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numFmt numFmtId="8" formatCode="#,##0.00;[Red]\-#,##0.00"/>
    </dxf>
    <dxf>
      <numFmt numFmtId="8" formatCode="#,##0.00;[Red]\-#,##0.00"/>
    </dxf>
    <dxf>
      <numFmt numFmtId="8" formatCode="#,##0.00;[Red]\-#,##0.00"/>
    </dxf>
    <dxf>
      <font>
        <b/>
        <i val="0"/>
        <color rgb="FF666699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BF"/>
      <rgbColor rgb="FFCCFFFF"/>
      <rgbColor rgb="FF660066"/>
      <rgbColor rgb="FFFF8080"/>
      <rgbColor rgb="FF0070C0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5F"/>
      <rgbColor rgb="FF99CCFF"/>
      <rgbColor rgb="FFFF99CC"/>
      <rgbColor rgb="FFCC9CCC"/>
      <rgbColor rgb="FFFFCC99"/>
      <rgbColor rgb="FF558ED5"/>
      <rgbColor rgb="FF33CCCC"/>
      <rgbColor rgb="FF99CC00"/>
      <rgbColor rgb="FFFFCC00"/>
      <rgbColor rgb="FFFF9900"/>
      <rgbColor rgb="FFED7D31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59595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4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lang="en-AU" sz="14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Receipts by Month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5092260165317"/>
          <c:y val="2.5428229982737999E-2"/>
          <c:w val="0.86482424647240497"/>
          <c:h val="0.90691807196919405"/>
        </c:manualLayout>
      </c:layout>
      <c:barChart>
        <c:barDir val="col"/>
        <c:grouping val="clustered"/>
        <c:varyColors val="0"/>
        <c:ser>
          <c:idx val="0"/>
          <c:order val="0"/>
          <c:tx>
            <c:v>Services</c:v>
          </c:tx>
          <c:spPr>
            <a:solidFill>
              <a:srgbClr val="00B050"/>
            </a:solidFill>
            <a:ln w="3816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(Rcpts!$A$19:$A$53,Rcpts!$A$70:$A$99,Rcpts!$A$114:$A$141,Rcpts!$A$155:$A$184)</c:f>
              <c:strCache>
                <c:ptCount val="12"/>
                <c:pt idx="0">
                  <c:v>Jul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  <c:pt idx="8">
                  <c:v>Mar</c:v>
                </c:pt>
                <c:pt idx="9">
                  <c:v>Apr</c:v>
                </c:pt>
                <c:pt idx="10">
                  <c:v>May</c:v>
                </c:pt>
                <c:pt idx="11">
                  <c:v>Jun</c:v>
                </c:pt>
              </c:strCache>
            </c:strRef>
          </c:cat>
          <c:val>
            <c:numRef>
              <c:f>(Rcpts!$E$19:$E$53,Rcpts!$E$70:$E$99,Rcpts!$E$114:$E$141,Rcpts!$E$155:$E$184)</c:f>
              <c:numCache>
                <c:formatCode>#,##0.00;[Red]\-#,##0.00;;@</c:formatCode>
                <c:ptCount val="12"/>
                <c:pt idx="0">
                  <c:v>99917.1</c:v>
                </c:pt>
                <c:pt idx="1">
                  <c:v>96714.200000000012</c:v>
                </c:pt>
                <c:pt idx="2">
                  <c:v>103735.25000000001</c:v>
                </c:pt>
                <c:pt idx="3">
                  <c:v>53172.100000000006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9-5F47-946E-786827FE4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12080"/>
        <c:axId val="290619136"/>
      </c:barChart>
      <c:catAx>
        <c:axId val="29061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endParaRPr lang="en-US"/>
          </a:p>
        </c:txPr>
        <c:crossAx val="290619136"/>
        <c:crosses val="autoZero"/>
        <c:auto val="1"/>
        <c:lblAlgn val="ctr"/>
        <c:lblOffset val="100"/>
        <c:noMultiLvlLbl val="1"/>
      </c:catAx>
      <c:valAx>
        <c:axId val="290619136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#,##0.00;[Red]\-#,##0.00;;@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endParaRPr lang="en-US"/>
          </a:p>
        </c:txPr>
        <c:crossAx val="290612080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68040</xdr:colOff>
      <xdr:row>0</xdr:row>
      <xdr:rowOff>46080</xdr:rowOff>
    </xdr:from>
    <xdr:to>
      <xdr:col>15</xdr:col>
      <xdr:colOff>331855</xdr:colOff>
      <xdr:row>185</xdr:row>
      <xdr:rowOff>35766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3" name="CustomShape 1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4" name="CustomShape 1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5" name="CustomShape 1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72" name="shapetype_202" hidden="1">
          <a:extLst>
            <a:ext uri="{FF2B5EF4-FFF2-40B4-BE49-F238E27FC236}">
              <a16:creationId xmlns:a16="http://schemas.microsoft.com/office/drawing/2014/main" id="{00000000-0008-0000-0100-000018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70" name="shapetype_202" hidden="1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8" name="shapetype_202" hidden="1">
          <a:extLst>
            <a:ext uri="{FF2B5EF4-FFF2-40B4-BE49-F238E27FC236}">
              <a16:creationId xmlns:a16="http://schemas.microsoft.com/office/drawing/2014/main" id="{00000000-0008-0000-0100-00001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6" name="shapetype_202" hidden="1">
          <a:extLst>
            <a:ext uri="{FF2B5EF4-FFF2-40B4-BE49-F238E27FC236}">
              <a16:creationId xmlns:a16="http://schemas.microsoft.com/office/drawing/2014/main" id="{00000000-0008-0000-0100-00001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4" name="shapetype_202" hidden="1">
          <a:extLst>
            <a:ext uri="{FF2B5EF4-FFF2-40B4-BE49-F238E27FC236}">
              <a16:creationId xmlns:a16="http://schemas.microsoft.com/office/drawing/2014/main" id="{00000000-0008-0000-0100-000010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2" name="shapetype_202" hidden="1">
          <a:extLst>
            <a:ext uri="{FF2B5EF4-FFF2-40B4-BE49-F238E27FC236}">
              <a16:creationId xmlns:a16="http://schemas.microsoft.com/office/drawing/2014/main" id="{00000000-0008-0000-0100-00000E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0" name="shapetype_202" hidden="1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8" name="shapetype_202" hidden="1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6" name="shapetype_202" hidden="1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4" name="shapetype_202" hidden="1">
          <a:extLs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656200</xdr:colOff>
      <xdr:row>679</xdr:row>
      <xdr:rowOff>16170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0" y="0"/>
          <a:ext cx="11181960" cy="17192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504825</xdr:colOff>
      <xdr:row>427</xdr:row>
      <xdr:rowOff>57150</xdr:rowOff>
    </xdr:to>
    <xdr:sp macro="" textlink="">
      <xdr:nvSpPr>
        <xdr:cNvPr id="3076" name="shapetype_202" hidden="1">
          <a:extLst>
            <a:ext uri="{FF2B5EF4-FFF2-40B4-BE49-F238E27FC236}">
              <a16:creationId xmlns:a16="http://schemas.microsoft.com/office/drawing/2014/main" id="{00000000-0008-0000-0D00-0000040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504825</xdr:colOff>
      <xdr:row>427</xdr:row>
      <xdr:rowOff>57150</xdr:rowOff>
    </xdr:to>
    <xdr:sp macro="" textlink="">
      <xdr:nvSpPr>
        <xdr:cNvPr id="3074" name="shapetype_202" hidden="1">
          <a:extLst>
            <a:ext uri="{FF2B5EF4-FFF2-40B4-BE49-F238E27FC236}">
              <a16:creationId xmlns:a16="http://schemas.microsoft.com/office/drawing/2014/main" id="{00000000-0008-0000-0D00-0000020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0</xdr:rowOff>
        </xdr:from>
        <xdr:to>
          <xdr:col>3</xdr:col>
          <xdr:colOff>106680</xdr:colOff>
          <xdr:row>1</xdr:row>
          <xdr:rowOff>45720</xdr:rowOff>
        </xdr:to>
        <xdr:sp macro="" textlink="">
          <xdr:nvSpPr>
            <xdr:cNvPr id="2" name="cboEmpId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440300</xdr:colOff>
      <xdr:row>221</xdr:row>
      <xdr:rowOff>127930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0" y="0"/>
          <a:ext cx="10846680" cy="1645505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0</xdr:rowOff>
        </xdr:from>
        <xdr:to>
          <xdr:col>3</xdr:col>
          <xdr:colOff>419100</xdr:colOff>
          <xdr:row>1</xdr:row>
          <xdr:rowOff>45720</xdr:rowOff>
        </xdr:to>
        <xdr:sp macro="" textlink="">
          <xdr:nvSpPr>
            <xdr:cNvPr id="5121" name="cboEmpId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8" name="shapetype_202" hidden="1">
          <a:extLst>
            <a:ext uri="{FF2B5EF4-FFF2-40B4-BE49-F238E27FC236}">
              <a16:creationId xmlns:a16="http://schemas.microsoft.com/office/drawing/2014/main" id="{00000000-0008-0000-0F00-00000C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6" name="shapetype_202" hidden="1">
          <a:extLst>
            <a:ext uri="{FF2B5EF4-FFF2-40B4-BE49-F238E27FC236}">
              <a16:creationId xmlns:a16="http://schemas.microsoft.com/office/drawing/2014/main" id="{00000000-0008-0000-0F00-00000A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4" name="shapetype_202" hidden="1">
          <a:extLst>
            <a:ext uri="{FF2B5EF4-FFF2-40B4-BE49-F238E27FC236}">
              <a16:creationId xmlns:a16="http://schemas.microsoft.com/office/drawing/2014/main" id="{00000000-0008-0000-0F00-000008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2" name="shapetype_202" hidden="1">
          <a:extLst>
            <a:ext uri="{FF2B5EF4-FFF2-40B4-BE49-F238E27FC236}">
              <a16:creationId xmlns:a16="http://schemas.microsoft.com/office/drawing/2014/main" id="{00000000-0008-0000-0F00-000006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0" name="shapetype_202" hidden="1">
          <a:extLst>
            <a:ext uri="{FF2B5EF4-FFF2-40B4-BE49-F238E27FC236}">
              <a16:creationId xmlns:a16="http://schemas.microsoft.com/office/drawing/2014/main" id="{00000000-0008-0000-0F00-000004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098" name="shapetype_202" hidden="1">
          <a:extLst>
            <a:ext uri="{FF2B5EF4-FFF2-40B4-BE49-F238E27FC236}">
              <a16:creationId xmlns:a16="http://schemas.microsoft.com/office/drawing/2014/main" id="{00000000-0008-0000-0F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ael A Mcrae" refreshedDate="43669.35362627315" createdVersion="4" refreshedVersion="6" minRefreshableVersion="3" recordCount="136">
  <cacheSource type="worksheet">
    <worksheetSource ref="A4:X140" sheet="Invs"/>
  </cacheSource>
  <cacheFields count="24">
    <cacheField name="Column1" numFmtId="49">
      <sharedItems containsBlank="1"/>
    </cacheField>
    <cacheField name="Column2" numFmtId="49">
      <sharedItems containsBlank="1"/>
    </cacheField>
    <cacheField name="Column3" numFmtId="49">
      <sharedItems containsBlank="1"/>
    </cacheField>
    <cacheField name="Who" numFmtId="49">
      <sharedItems containsBlank="1" count="9">
        <s v="MAM"/>
        <s v="CRP"/>
        <s v="DP"/>
        <s v="VAK"/>
        <s v="GZ"/>
        <m/>
        <s v="JEC" u="1"/>
        <s v="GEO" u="1"/>
        <s v="PK" u="1"/>
      </sharedItems>
    </cacheField>
    <cacheField name="Units" numFmtId="166">
      <sharedItems containsString="0" containsBlank="1" containsNumber="1" minValue="3.5" maxValue="10"/>
    </cacheField>
    <cacheField name="Invc'd" numFmtId="177">
      <sharedItems containsNonDate="0" containsDate="1" containsString="0" containsBlank="1" minDate="2019-06-16T00:00:00" maxDate="2019-07-24T00:00:00"/>
    </cacheField>
    <cacheField name="Paid" numFmtId="177">
      <sharedItems containsNonDate="0" containsDate="1" containsString="0" containsBlank="1" minDate="2019-07-01T00:00:00" maxDate="2019-07-23T00:00:00"/>
    </cacheField>
    <cacheField name="Description" numFmtId="49">
      <sharedItems containsNonDate="0" containsString="0" containsBlank="1"/>
    </cacheField>
    <cacheField name="Rate" numFmtId="38">
      <sharedItems containsSemiMixedTypes="0" containsString="0" containsNumber="1" minValue="0" maxValue="1000"/>
    </cacheField>
    <cacheField name="Amt" numFmtId="40">
      <sharedItems containsSemiMixedTypes="0" containsString="0" containsNumber="1" minValue="0" maxValue="9500"/>
    </cacheField>
    <cacheField name="Extras" numFmtId="40">
      <sharedItems containsNonDate="0" containsString="0" containsBlank="1"/>
    </cacheField>
    <cacheField name="GST" numFmtId="40">
      <sharedItems containsSemiMixedTypes="0" containsString="0" containsNumber="1" minValue="0" maxValue="950"/>
    </cacheField>
    <cacheField name="GST Free" numFmtId="40">
      <sharedItems containsNonDate="0" containsString="0" containsBlank="1"/>
    </cacheField>
    <cacheField name="Total" numFmtId="40">
      <sharedItems containsSemiMixedTypes="0" containsString="0" containsNumber="1" minValue="0" maxValue="10450"/>
    </cacheField>
    <cacheField name="UnPaid" numFmtId="40">
      <sharedItems containsSemiMixedTypes="0" containsString="0" containsNumber="1" containsInteger="1" minValue="0" maxValue="7315"/>
    </cacheField>
    <cacheField name="Sub" numFmtId="38">
      <sharedItems containsSemiMixedTypes="0" containsString="0" containsNumber="1" minValue="0" maxValue="980"/>
    </cacheField>
    <cacheField name="Worker" numFmtId="40">
      <sharedItems containsSemiMixedTypes="0" containsString="0" containsNumber="1" minValue="0" maxValue="9000"/>
    </cacheField>
    <cacheField name="GST2" numFmtId="38">
      <sharedItems containsSemiMixedTypes="0" containsString="0" containsNumber="1" minValue="0" maxValue="665"/>
    </cacheField>
    <cacheField name="SubInv'd" numFmtId="40">
      <sharedItems containsSemiMixedTypes="0" containsString="0" containsNumber="1" minValue="0" maxValue="9000"/>
    </cacheField>
    <cacheField name="Profit" numFmtId="40">
      <sharedItems containsSemiMixedTypes="0" containsString="0" containsNumber="1" minValue="0" maxValue="500"/>
    </cacheField>
    <cacheField name="Agent" numFmtId="38">
      <sharedItems count="12">
        <s v="Mine Super"/>
        <s v="M&amp;T Resources"/>
        <s v="Paxus"/>
        <s v="Taggle Systems"/>
        <s v="Hays"/>
        <s v=""/>
        <s v="North Shore Gym" u="1"/>
        <s v="Sydney Cricket and Sports Ground" u="1"/>
        <s v="DWS" u="1"/>
        <s v="Norths" u="1"/>
        <s v="All Sorts Fitness" u="1"/>
        <s v="C3" u="1"/>
      </sharedItems>
    </cacheField>
    <cacheField name="Project" numFmtId="38">
      <sharedItems count="9">
        <s v="Mine Super"/>
        <s v="Energy Queensland"/>
        <s v="Taggle"/>
        <s v="MLC"/>
        <s v=""/>
        <s v="Sparq" u="1"/>
        <s v="Norths" u="1"/>
        <s v="ANZ" u="1"/>
        <s v="QUU" u="1"/>
      </sharedItems>
    </cacheField>
    <cacheField name="Inv Period" numFmtId="0">
      <sharedItems/>
    </cacheField>
    <cacheField name="Paid Period" numFmtId="0">
      <sharedItems count="17">
        <s v="2020-M01"/>
        <s v=""/>
        <s v="2018-M03" u="1"/>
        <s v="2019-M02" u="1"/>
        <s v="2019-M07" u="1"/>
        <s v="2018-M02" u="1"/>
        <s v="2018-M07" u="1"/>
        <s v="2019-M01" u="1"/>
        <s v="2019-M06" u="1"/>
        <s v="2018-M01" u="1"/>
        <s v="2018-M06" u="1"/>
        <s v="2019-M05" u="1"/>
        <s v="2018-M05" u="1"/>
        <s v="2019-M04" u="1"/>
        <s v="2018-M04" u="1"/>
        <s v="2019-M03" u="1"/>
        <s v="2019-M0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6">
  <r>
    <s v="32"/>
    <s v="01"/>
    <s v="23"/>
    <x v="0"/>
    <n v="10"/>
    <d v="2019-06-28T00:00:00"/>
    <d v="2019-07-06T00:00:00"/>
    <m/>
    <n v="950"/>
    <n v="9500"/>
    <m/>
    <n v="950"/>
    <m/>
    <n v="10450"/>
    <n v="0"/>
    <n v="900"/>
    <n v="9000"/>
    <n v="0"/>
    <n v="9000"/>
    <n v="500"/>
    <x v="0"/>
    <x v="0"/>
    <s v="2019-M12"/>
    <x v="0"/>
  </r>
  <r>
    <s v="55"/>
    <s v="10"/>
    <s v="13"/>
    <x v="1"/>
    <n v="9"/>
    <d v="2019-07-07T00:00:00"/>
    <d v="2019-07-11T00:00:00"/>
    <m/>
    <n v="1000"/>
    <n v="9000"/>
    <m/>
    <n v="900"/>
    <m/>
    <n v="9900"/>
    <n v="0"/>
    <n v="980"/>
    <n v="8820"/>
    <n v="0"/>
    <n v="8820"/>
    <n v="180"/>
    <x v="1"/>
    <x v="1"/>
    <s v="2020-M01"/>
    <x v="0"/>
  </r>
  <r>
    <s v="55"/>
    <s v="11"/>
    <s v="13"/>
    <x v="2"/>
    <n v="8"/>
    <d v="2019-07-07T00:00:00"/>
    <d v="2019-07-11T00:00:00"/>
    <m/>
    <n v="900"/>
    <n v="7200"/>
    <m/>
    <n v="720"/>
    <m/>
    <n v="7920"/>
    <n v="0"/>
    <n v="855"/>
    <n v="6840"/>
    <n v="0"/>
    <n v="6840"/>
    <n v="360"/>
    <x v="1"/>
    <x v="1"/>
    <s v="2020-M01"/>
    <x v="0"/>
  </r>
  <r>
    <s v="59"/>
    <s v="01"/>
    <s v="44"/>
    <x v="3"/>
    <n v="5.5"/>
    <d v="2019-06-16T00:00:00"/>
    <d v="2019-07-01T00:00:00"/>
    <m/>
    <n v="890"/>
    <n v="4895"/>
    <m/>
    <n v="489.5"/>
    <m/>
    <n v="5384.5"/>
    <n v="0"/>
    <n v="845.5"/>
    <n v="4650.25"/>
    <n v="0"/>
    <n v="4650.25"/>
    <n v="244.75"/>
    <x v="2"/>
    <x v="1"/>
    <s v="2019-M12"/>
    <x v="0"/>
  </r>
  <r>
    <s v="59"/>
    <s v="01"/>
    <s v="45"/>
    <x v="3"/>
    <n v="5"/>
    <d v="2019-06-23T00:00:00"/>
    <d v="2019-07-08T00:00:00"/>
    <m/>
    <n v="890"/>
    <n v="4450"/>
    <m/>
    <n v="445"/>
    <m/>
    <n v="4895"/>
    <n v="0"/>
    <n v="845.5"/>
    <n v="4227.5"/>
    <n v="0"/>
    <n v="4227.5"/>
    <n v="222.5"/>
    <x v="2"/>
    <x v="1"/>
    <s v="2019-M12"/>
    <x v="0"/>
  </r>
  <r>
    <s v="59"/>
    <s v="01"/>
    <s v="46"/>
    <x v="3"/>
    <n v="5"/>
    <d v="2019-06-30T00:00:00"/>
    <d v="2019-07-15T00:00:00"/>
    <m/>
    <n v="890"/>
    <n v="4450"/>
    <m/>
    <n v="445"/>
    <m/>
    <n v="4895"/>
    <n v="0"/>
    <n v="845.5"/>
    <n v="4227.5"/>
    <n v="0"/>
    <n v="4227.5"/>
    <n v="222.5"/>
    <x v="2"/>
    <x v="1"/>
    <s v="2019-M12"/>
    <x v="0"/>
  </r>
  <r>
    <s v="10"/>
    <s v="02"/>
    <s v="54"/>
    <x v="4"/>
    <n v="10"/>
    <d v="2019-06-30T00:00:00"/>
    <d v="2019-07-10T00:00:00"/>
    <m/>
    <n v="700"/>
    <n v="7000"/>
    <m/>
    <n v="700"/>
    <m/>
    <n v="7700"/>
    <n v="0"/>
    <n v="665"/>
    <n v="6650"/>
    <n v="665"/>
    <n v="7315"/>
    <n v="350"/>
    <x v="3"/>
    <x v="2"/>
    <s v="2019-M12"/>
    <x v="0"/>
  </r>
  <r>
    <s v="27"/>
    <s v="03"/>
    <s v="01"/>
    <x v="0"/>
    <n v="3.5"/>
    <d v="2019-07-07T00:00:00"/>
    <d v="2019-07-10T00:00:00"/>
    <m/>
    <n v="980"/>
    <n v="3430"/>
    <m/>
    <n v="343"/>
    <m/>
    <n v="3773"/>
    <n v="0"/>
    <n v="0"/>
    <n v="0"/>
    <n v="0"/>
    <n v="0"/>
    <n v="0"/>
    <x v="4"/>
    <x v="3"/>
    <s v="2020-M01"/>
    <x v="0"/>
  </r>
  <r>
    <s v="27"/>
    <s v="03"/>
    <s v="02"/>
    <x v="0"/>
    <n v="4"/>
    <d v="2019-07-12T00:00:00"/>
    <d v="2019-07-12T00:00:00"/>
    <m/>
    <n v="980"/>
    <n v="3920"/>
    <m/>
    <n v="392"/>
    <m/>
    <n v="4312"/>
    <n v="0"/>
    <n v="0"/>
    <n v="0"/>
    <n v="0"/>
    <n v="0"/>
    <n v="0"/>
    <x v="4"/>
    <x v="3"/>
    <s v="2020-M01"/>
    <x v="0"/>
  </r>
  <r>
    <s v="10"/>
    <s v="02"/>
    <s v="55"/>
    <x v="4"/>
    <n v="9.5"/>
    <d v="2019-07-23T00:00:00"/>
    <m/>
    <m/>
    <n v="700"/>
    <n v="6650"/>
    <m/>
    <n v="665"/>
    <m/>
    <n v="7315"/>
    <n v="7315"/>
    <n v="665"/>
    <n v="6317.5"/>
    <n v="631.75"/>
    <n v="6949.25"/>
    <n v="332.5"/>
    <x v="3"/>
    <x v="2"/>
    <s v="2020-M01"/>
    <x v="1"/>
  </r>
  <r>
    <s v="59"/>
    <s v="02"/>
    <s v="47"/>
    <x v="3"/>
    <n v="5"/>
    <d v="2019-07-07T00:00:00"/>
    <d v="2019-07-22T00:00:00"/>
    <m/>
    <n v="890.21"/>
    <n v="4451.05"/>
    <m/>
    <n v="445.11"/>
    <m/>
    <n v="4896.16"/>
    <n v="0"/>
    <n v="845.69949999999994"/>
    <n v="4228.4974999999995"/>
    <n v="0"/>
    <n v="4228.4974999999995"/>
    <n v="222.55250000000069"/>
    <x v="2"/>
    <x v="1"/>
    <s v="2020-M01"/>
    <x v="0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Emp" colHeaderCaption="Month">
  <location ref="A12:D19" firstHeaderRow="1" firstDataRow="2" firstDataCol="1"/>
  <pivotFields count="24">
    <pivotField showAll="0"/>
    <pivotField showAll="0"/>
    <pivotField showAll="0"/>
    <pivotField axis="axisRow" showAll="0">
      <items count="10">
        <item h="1" m="1" x="6"/>
        <item x="0"/>
        <item h="1" x="5"/>
        <item m="1" x="7"/>
        <item x="4"/>
        <item x="1"/>
        <item x="3"/>
        <item h="1" m="1" x="8"/>
        <item x="2"/>
        <item t="default"/>
      </items>
    </pivotField>
    <pivotField showAll="0"/>
    <pivotField showAll="0"/>
    <pivotField showAll="0"/>
    <pivotField showAll="0"/>
    <pivotField numFmtId="38" showAll="0"/>
    <pivotField dataField="1" numFmtId="40" showAll="0"/>
    <pivotField showAll="0"/>
    <pivotField numFmtId="40" showAll="0"/>
    <pivotField showAll="0"/>
    <pivotField numFmtId="40" showAll="0"/>
    <pivotField numFmtId="40" showAll="0"/>
    <pivotField numFmtId="38" showAll="0"/>
    <pivotField numFmtId="40" showAll="0"/>
    <pivotField numFmtId="38" showAll="0"/>
    <pivotField numFmtId="40" showAll="0"/>
    <pivotField numFmtId="40" showAll="0"/>
    <pivotField showAll="0"/>
    <pivotField showAll="0" defaultSubtotal="0"/>
    <pivotField showAll="0"/>
    <pivotField axis="axisCol" showAll="0">
      <items count="18">
        <item x="1"/>
        <item m="1" x="9"/>
        <item m="1" x="2"/>
        <item m="1" x="5"/>
        <item m="1" x="14"/>
        <item m="1" x="12"/>
        <item m="1" x="10"/>
        <item m="1" x="6"/>
        <item m="1" x="7"/>
        <item m="1" x="3"/>
        <item m="1" x="15"/>
        <item m="1" x="13"/>
        <item m="1" x="11"/>
        <item m="1" x="8"/>
        <item m="1" x="4"/>
        <item m="1" x="16"/>
        <item x="0"/>
        <item t="default"/>
      </items>
    </pivotField>
  </pivotFields>
  <rowFields count="1">
    <field x="3"/>
  </rowFields>
  <rowItems count="6">
    <i>
      <x v="1"/>
    </i>
    <i>
      <x v="4"/>
    </i>
    <i>
      <x v="5"/>
    </i>
    <i>
      <x v="6"/>
    </i>
    <i>
      <x v="8"/>
    </i>
    <i t="grand">
      <x/>
    </i>
  </rowItems>
  <colFields count="1">
    <field x="23"/>
  </colFields>
  <colItems count="3">
    <i>
      <x/>
    </i>
    <i>
      <x v="16"/>
    </i>
    <i t="grand">
      <x/>
    </i>
  </colItems>
  <dataFields count="1">
    <dataField name="Sum of Amt" fld="9" baseField="0" baseItem="0" numFmtId="40"/>
  </dataFields>
  <formats count="1">
    <format dxfId="8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Agent" colHeaderCaption="Month">
  <location ref="A2:D9" firstHeaderRow="1" firstDataRow="2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numFmtId="38" showAll="0"/>
    <pivotField dataField="1" numFmtId="40" showAll="0"/>
    <pivotField showAll="0"/>
    <pivotField numFmtId="40" showAll="0"/>
    <pivotField showAll="0"/>
    <pivotField numFmtId="40" showAll="0"/>
    <pivotField numFmtId="40" showAll="0"/>
    <pivotField numFmtId="38" showAll="0"/>
    <pivotField numFmtId="40" showAll="0"/>
    <pivotField numFmtId="38" showAll="0"/>
    <pivotField numFmtId="40" showAll="0"/>
    <pivotField numFmtId="40" showAll="0"/>
    <pivotField axis="axisRow" showAll="0">
      <items count="13">
        <item h="1" x="5"/>
        <item h="1" m="1" x="8"/>
        <item h="1" m="1" x="9"/>
        <item h="1" m="1" x="7"/>
        <item h="1" m="1" x="6"/>
        <item h="1" m="1" x="10"/>
        <item x="3"/>
        <item h="1" m="1" x="11"/>
        <item x="1"/>
        <item x="0"/>
        <item x="2"/>
        <item x="4"/>
        <item t="default"/>
      </items>
    </pivotField>
    <pivotField showAll="0" defaultSubtotal="0"/>
    <pivotField showAll="0"/>
    <pivotField axis="axisCol" showAll="0">
      <items count="18">
        <item x="1"/>
        <item m="1" x="9"/>
        <item m="1" x="2"/>
        <item m="1" x="5"/>
        <item m="1" x="14"/>
        <item m="1" x="12"/>
        <item m="1" x="10"/>
        <item m="1" x="6"/>
        <item m="1" x="7"/>
        <item m="1" x="3"/>
        <item m="1" x="15"/>
        <item m="1" x="13"/>
        <item m="1" x="11"/>
        <item m="1" x="8"/>
        <item m="1" x="4"/>
        <item m="1" x="16"/>
        <item x="0"/>
        <item t="default"/>
      </items>
    </pivotField>
  </pivotFields>
  <rowFields count="1">
    <field x="20"/>
  </rowFields>
  <rowItems count="6">
    <i>
      <x v="6"/>
    </i>
    <i>
      <x v="8"/>
    </i>
    <i>
      <x v="9"/>
    </i>
    <i>
      <x v="10"/>
    </i>
    <i>
      <x v="11"/>
    </i>
    <i t="grand">
      <x/>
    </i>
  </rowItems>
  <colFields count="1">
    <field x="23"/>
  </colFields>
  <colItems count="3">
    <i>
      <x/>
    </i>
    <i>
      <x v="16"/>
    </i>
    <i t="grand">
      <x/>
    </i>
  </colItems>
  <dataFields count="1">
    <dataField name="Sum of Amt" fld="9" baseField="0" baseItem="0" numFmtId="40"/>
  </dataFields>
  <formats count="1">
    <format dxfId="8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Project" colHeaderCaption="Month">
  <location ref="A22:D28" firstHeaderRow="1" firstDataRow="2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numFmtId="38" showAll="0"/>
    <pivotField dataField="1" numFmtId="40" showAll="0"/>
    <pivotField showAll="0"/>
    <pivotField numFmtId="40" showAll="0"/>
    <pivotField showAll="0"/>
    <pivotField numFmtId="40" showAll="0"/>
    <pivotField numFmtId="40" showAll="0"/>
    <pivotField numFmtId="38" showAll="0"/>
    <pivotField numFmtId="40" showAll="0"/>
    <pivotField numFmtId="38" showAll="0"/>
    <pivotField numFmtId="40" showAll="0"/>
    <pivotField numFmtId="40" showAll="0"/>
    <pivotField showAll="0"/>
    <pivotField axis="axisRow" showAll="0" defaultSubtotal="0">
      <items count="9">
        <item h="1" x="4"/>
        <item h="1" m="1" x="7"/>
        <item x="3"/>
        <item h="1" m="1" x="6"/>
        <item h="1" m="1" x="8"/>
        <item h="1" m="1" x="5"/>
        <item x="2"/>
        <item x="0"/>
        <item x="1"/>
      </items>
    </pivotField>
    <pivotField showAll="0"/>
    <pivotField axis="axisCol" showAll="0">
      <items count="18">
        <item x="1"/>
        <item m="1" x="9"/>
        <item m="1" x="2"/>
        <item m="1" x="5"/>
        <item m="1" x="14"/>
        <item m="1" x="12"/>
        <item m="1" x="10"/>
        <item m="1" x="6"/>
        <item m="1" x="7"/>
        <item m="1" x="3"/>
        <item m="1" x="15"/>
        <item m="1" x="13"/>
        <item m="1" x="11"/>
        <item m="1" x="8"/>
        <item m="1" x="4"/>
        <item m="1" x="16"/>
        <item x="0"/>
        <item t="default"/>
      </items>
    </pivotField>
  </pivotFields>
  <rowFields count="1">
    <field x="21"/>
  </rowFields>
  <rowItems count="5">
    <i>
      <x v="2"/>
    </i>
    <i>
      <x v="6"/>
    </i>
    <i>
      <x v="7"/>
    </i>
    <i>
      <x v="8"/>
    </i>
    <i t="grand">
      <x/>
    </i>
  </rowItems>
  <colFields count="1">
    <field x="23"/>
  </colFields>
  <colItems count="3">
    <i>
      <x/>
    </i>
    <i>
      <x v="16"/>
    </i>
    <i t="grand">
      <x/>
    </i>
  </colItems>
  <dataFields count="1">
    <dataField name="Sum of Amt" fld="9" baseField="0" baseItem="0" numFmtId="40"/>
  </dataFields>
  <formats count="1">
    <format dxfId="8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FD188"/>
  <sheetViews>
    <sheetView showZeros="0" zoomScale="87" zoomScaleNormal="87" workbookViewId="0">
      <selection activeCell="A63" sqref="A63"/>
    </sheetView>
  </sheetViews>
  <sheetFormatPr defaultRowHeight="13.2" outlineLevelRow="1" x14ac:dyDescent="0.25"/>
  <cols>
    <col min="1" max="1" width="5.44140625" style="1"/>
    <col min="2" max="2" width="12.5546875"/>
    <col min="3" max="3" width="36.5546875" style="2"/>
    <col min="4" max="4" width="29"/>
    <col min="5" max="5" width="14.5546875"/>
    <col min="6" max="10" width="14.5546875" style="3"/>
    <col min="11" max="11" width="13.44140625" style="3"/>
    <col min="12" max="1025" width="11"/>
  </cols>
  <sheetData>
    <row r="1" spans="1:10" ht="20.399999999999999" x14ac:dyDescent="0.35">
      <c r="A1" s="4"/>
      <c r="B1" s="4" t="s">
        <v>0</v>
      </c>
      <c r="C1" s="5"/>
      <c r="D1" s="5"/>
      <c r="E1" s="6"/>
      <c r="F1" s="7"/>
      <c r="G1" s="7"/>
      <c r="H1" s="7"/>
      <c r="I1" s="6" t="s">
        <v>1</v>
      </c>
      <c r="J1" s="8"/>
    </row>
    <row r="2" spans="1:10" ht="14.4" thickBot="1" x14ac:dyDescent="0.3">
      <c r="A2" s="9" t="s">
        <v>2</v>
      </c>
      <c r="B2" s="10" t="s">
        <v>3</v>
      </c>
      <c r="C2" s="11" t="s">
        <v>4</v>
      </c>
      <c r="D2" s="11" t="s">
        <v>5</v>
      </c>
      <c r="E2" s="12" t="s">
        <v>6</v>
      </c>
      <c r="F2" s="12" t="s">
        <v>7</v>
      </c>
      <c r="G2" s="12" t="s">
        <v>1</v>
      </c>
      <c r="H2" s="12" t="s">
        <v>8</v>
      </c>
      <c r="I2" s="12" t="s">
        <v>9</v>
      </c>
      <c r="J2" s="13" t="s">
        <v>10</v>
      </c>
    </row>
    <row r="3" spans="1:10" s="22" customFormat="1" hidden="1" outlineLevel="1" x14ac:dyDescent="0.25">
      <c r="A3" s="14">
        <v>1</v>
      </c>
      <c r="B3" s="15" t="s">
        <v>724</v>
      </c>
      <c r="C3" s="16" t="str">
        <f t="shared" ref="C3:C18" si="0">VLOOKUP(LEFT(B3,2)&amp;0,invCustomer,2)</f>
        <v>Paxus</v>
      </c>
      <c r="D3" s="16" t="str">
        <f t="shared" ref="D3:D18" si="1">VLOOKUP(LEFT(B3,4)&amp;0,invProject,2)</f>
        <v>Energy Queensland</v>
      </c>
      <c r="E3" s="17">
        <v>4895</v>
      </c>
      <c r="F3" s="18"/>
      <c r="G3" s="19">
        <f t="shared" ref="G3:G18" si="2">ROUND(SUM(E3:F3)*0.1,2)</f>
        <v>489.5</v>
      </c>
      <c r="H3" s="20">
        <f t="shared" ref="H3:H18" si="3">SUM(E3:G3)</f>
        <v>5384.5</v>
      </c>
      <c r="I3" s="18"/>
      <c r="J3" s="21">
        <f t="shared" ref="J3:J18" si="4">SUM(H3:I3)</f>
        <v>5384.5</v>
      </c>
    </row>
    <row r="4" spans="1:10" s="22" customFormat="1" hidden="1" outlineLevel="1" x14ac:dyDescent="0.25">
      <c r="A4" s="14">
        <v>5</v>
      </c>
      <c r="B4" s="15" t="s">
        <v>723</v>
      </c>
      <c r="C4" s="16" t="str">
        <f t="shared" si="0"/>
        <v>Mine Super</v>
      </c>
      <c r="D4" s="16" t="str">
        <f t="shared" si="1"/>
        <v>Mine Super</v>
      </c>
      <c r="E4" s="18">
        <v>9500</v>
      </c>
      <c r="F4" s="18"/>
      <c r="G4" s="18">
        <f t="shared" si="2"/>
        <v>950</v>
      </c>
      <c r="H4" s="20">
        <f t="shared" si="3"/>
        <v>10450</v>
      </c>
      <c r="I4" s="18"/>
      <c r="J4" s="21">
        <f t="shared" si="4"/>
        <v>10450</v>
      </c>
    </row>
    <row r="5" spans="1:10" s="22" customFormat="1" hidden="1" outlineLevel="1" x14ac:dyDescent="0.25">
      <c r="A5" s="14">
        <v>8</v>
      </c>
      <c r="B5" s="15" t="s">
        <v>725</v>
      </c>
      <c r="C5" s="16" t="str">
        <f t="shared" si="0"/>
        <v>Paxus</v>
      </c>
      <c r="D5" s="16" t="str">
        <f t="shared" si="1"/>
        <v>Energy Queensland</v>
      </c>
      <c r="E5" s="18">
        <v>4450</v>
      </c>
      <c r="F5" s="18"/>
      <c r="G5" s="18">
        <f t="shared" si="2"/>
        <v>445</v>
      </c>
      <c r="H5" s="20">
        <f t="shared" si="3"/>
        <v>4895</v>
      </c>
      <c r="I5" s="18"/>
      <c r="J5" s="21">
        <f t="shared" si="4"/>
        <v>4895</v>
      </c>
    </row>
    <row r="6" spans="1:10" s="22" customFormat="1" hidden="1" outlineLevel="1" x14ac:dyDescent="0.25">
      <c r="A6" s="14">
        <v>10</v>
      </c>
      <c r="B6" s="15" t="s">
        <v>733</v>
      </c>
      <c r="C6" s="16" t="str">
        <f t="shared" si="0"/>
        <v>Taggle Systems</v>
      </c>
      <c r="D6" s="16" t="str">
        <f t="shared" si="1"/>
        <v>Taggle</v>
      </c>
      <c r="E6" s="18">
        <v>7000</v>
      </c>
      <c r="F6" s="18"/>
      <c r="G6" s="18">
        <f t="shared" si="2"/>
        <v>700</v>
      </c>
      <c r="H6" s="20">
        <f t="shared" si="3"/>
        <v>7700</v>
      </c>
      <c r="I6" s="18"/>
      <c r="J6" s="21">
        <f t="shared" si="4"/>
        <v>7700</v>
      </c>
    </row>
    <row r="7" spans="1:10" s="22" customFormat="1" hidden="1" outlineLevel="1" x14ac:dyDescent="0.25">
      <c r="A7" s="14">
        <v>10</v>
      </c>
      <c r="B7" s="15" t="s">
        <v>732</v>
      </c>
      <c r="C7" s="16" t="str">
        <f t="shared" si="0"/>
        <v>Hays</v>
      </c>
      <c r="D7" s="16" t="str">
        <f t="shared" si="1"/>
        <v>MLC</v>
      </c>
      <c r="E7" s="18">
        <v>3430</v>
      </c>
      <c r="F7" s="18"/>
      <c r="G7" s="18">
        <f t="shared" si="2"/>
        <v>343</v>
      </c>
      <c r="H7" s="20">
        <f t="shared" si="3"/>
        <v>3773</v>
      </c>
      <c r="I7" s="18"/>
      <c r="J7" s="21">
        <f t="shared" si="4"/>
        <v>3773</v>
      </c>
    </row>
    <row r="8" spans="1:10" s="22" customFormat="1" hidden="1" outlineLevel="1" x14ac:dyDescent="0.25">
      <c r="A8" s="14">
        <v>11</v>
      </c>
      <c r="B8" s="15" t="s">
        <v>736</v>
      </c>
      <c r="C8" s="16" t="str">
        <f t="shared" ref="C8:C9" si="5">VLOOKUP(LEFT(B8,2)&amp;0,invCustomer,2)</f>
        <v>M&amp;T Resources</v>
      </c>
      <c r="D8" s="16" t="str">
        <f t="shared" ref="D8:D9" si="6">VLOOKUP(LEFT(B8,4)&amp;0,invProject,2)</f>
        <v>Energy Queensland</v>
      </c>
      <c r="E8" s="18">
        <v>9000</v>
      </c>
      <c r="F8" s="18"/>
      <c r="G8" s="18">
        <f t="shared" ref="G8:G9" si="7">ROUND(SUM(E8:F8)*0.1,2)</f>
        <v>900</v>
      </c>
      <c r="H8" s="20">
        <f t="shared" ref="H8:H9" si="8">SUM(E8:G8)</f>
        <v>9900</v>
      </c>
      <c r="I8" s="18"/>
      <c r="J8" s="21">
        <f t="shared" ref="J8:J9" si="9">SUM(H8:I8)</f>
        <v>9900</v>
      </c>
    </row>
    <row r="9" spans="1:10" s="22" customFormat="1" hidden="1" outlineLevel="1" x14ac:dyDescent="0.25">
      <c r="A9" s="14">
        <v>11</v>
      </c>
      <c r="B9" s="15" t="s">
        <v>737</v>
      </c>
      <c r="C9" s="16" t="str">
        <f t="shared" si="5"/>
        <v>M&amp;T Resources</v>
      </c>
      <c r="D9" s="16" t="str">
        <f t="shared" si="6"/>
        <v>Energy Queensland</v>
      </c>
      <c r="E9" s="18">
        <v>7200</v>
      </c>
      <c r="F9" s="18"/>
      <c r="G9" s="18">
        <f t="shared" si="7"/>
        <v>720</v>
      </c>
      <c r="H9" s="20">
        <f t="shared" si="8"/>
        <v>7920</v>
      </c>
      <c r="I9" s="18"/>
      <c r="J9" s="21">
        <f t="shared" si="9"/>
        <v>7920</v>
      </c>
    </row>
    <row r="10" spans="1:10" s="22" customFormat="1" hidden="1" outlineLevel="1" x14ac:dyDescent="0.25">
      <c r="A10" s="14">
        <v>12</v>
      </c>
      <c r="B10" s="15" t="s">
        <v>752</v>
      </c>
      <c r="C10" s="16" t="str">
        <f t="shared" si="0"/>
        <v>Hays</v>
      </c>
      <c r="D10" s="16" t="str">
        <f t="shared" si="1"/>
        <v>MLC</v>
      </c>
      <c r="E10" s="18">
        <v>3920</v>
      </c>
      <c r="F10" s="18"/>
      <c r="G10" s="18">
        <f t="shared" si="2"/>
        <v>392</v>
      </c>
      <c r="H10" s="20">
        <f t="shared" si="3"/>
        <v>4312</v>
      </c>
      <c r="I10" s="18"/>
      <c r="J10" s="21">
        <f t="shared" si="4"/>
        <v>4312</v>
      </c>
    </row>
    <row r="11" spans="1:10" s="22" customFormat="1" hidden="1" outlineLevel="1" x14ac:dyDescent="0.25">
      <c r="A11" s="14">
        <v>15</v>
      </c>
      <c r="B11" s="15" t="s">
        <v>772</v>
      </c>
      <c r="C11" s="16" t="str">
        <f t="shared" ref="C11:C15" si="10">VLOOKUP(LEFT(B11,2)&amp;0,invCustomer,2)</f>
        <v>Paxus</v>
      </c>
      <c r="D11" s="16" t="str">
        <f t="shared" ref="D11:D15" si="11">VLOOKUP(LEFT(B11,4)&amp;0,invProject,2)</f>
        <v>Energy Queensland</v>
      </c>
      <c r="E11" s="18">
        <v>4450</v>
      </c>
      <c r="F11" s="18"/>
      <c r="G11" s="18">
        <f t="shared" ref="G11:G15" si="12">ROUND(SUM(E11:F11)*0.1,2)</f>
        <v>445</v>
      </c>
      <c r="H11" s="20">
        <f t="shared" ref="H11:H15" si="13">SUM(E11:G11)</f>
        <v>4895</v>
      </c>
      <c r="I11" s="18"/>
      <c r="J11" s="21">
        <f t="shared" ref="J11:J15" si="14">SUM(H11:I11)</f>
        <v>4895</v>
      </c>
    </row>
    <row r="12" spans="1:10" s="22" customFormat="1" hidden="1" outlineLevel="1" x14ac:dyDescent="0.25">
      <c r="A12" s="14">
        <v>22</v>
      </c>
      <c r="B12" s="15" t="s">
        <v>779</v>
      </c>
      <c r="C12" s="16" t="str">
        <f t="shared" si="10"/>
        <v>Paxus</v>
      </c>
      <c r="D12" s="16" t="str">
        <f t="shared" si="11"/>
        <v>Energy Queensland</v>
      </c>
      <c r="E12" s="18">
        <v>4451.05</v>
      </c>
      <c r="F12" s="18"/>
      <c r="G12" s="18">
        <f t="shared" si="12"/>
        <v>445.11</v>
      </c>
      <c r="H12" s="20">
        <f t="shared" si="13"/>
        <v>4896.16</v>
      </c>
      <c r="I12" s="18"/>
      <c r="J12" s="21">
        <f t="shared" si="14"/>
        <v>4896.16</v>
      </c>
    </row>
    <row r="13" spans="1:10" s="22" customFormat="1" hidden="1" outlineLevel="1" x14ac:dyDescent="0.25">
      <c r="A13" s="14">
        <v>24</v>
      </c>
      <c r="B13" s="15" t="s">
        <v>784</v>
      </c>
      <c r="C13" s="16" t="str">
        <f t="shared" si="10"/>
        <v>Taggle Systems</v>
      </c>
      <c r="D13" s="16" t="str">
        <f t="shared" si="11"/>
        <v>Taggle</v>
      </c>
      <c r="E13" s="18">
        <v>6650</v>
      </c>
      <c r="F13" s="18"/>
      <c r="G13" s="18">
        <f t="shared" si="12"/>
        <v>665</v>
      </c>
      <c r="H13" s="20">
        <f t="shared" si="13"/>
        <v>7315</v>
      </c>
      <c r="I13" s="18"/>
      <c r="J13" s="21">
        <f t="shared" si="14"/>
        <v>7315</v>
      </c>
    </row>
    <row r="14" spans="1:10" s="22" customFormat="1" hidden="1" outlineLevel="1" x14ac:dyDescent="0.25">
      <c r="A14" s="14">
        <v>25</v>
      </c>
      <c r="B14" s="15" t="s">
        <v>785</v>
      </c>
      <c r="C14" s="16" t="str">
        <f t="shared" si="10"/>
        <v>Mine Super</v>
      </c>
      <c r="D14" s="16" t="str">
        <f t="shared" si="11"/>
        <v>Mine Super</v>
      </c>
      <c r="E14" s="18">
        <v>1900</v>
      </c>
      <c r="F14" s="18"/>
      <c r="G14" s="18">
        <f t="shared" si="12"/>
        <v>190</v>
      </c>
      <c r="H14" s="20">
        <f t="shared" si="13"/>
        <v>2090</v>
      </c>
      <c r="I14" s="18"/>
      <c r="J14" s="21">
        <f t="shared" si="14"/>
        <v>2090</v>
      </c>
    </row>
    <row r="15" spans="1:10" s="22" customFormat="1" hidden="1" outlineLevel="1" x14ac:dyDescent="0.25">
      <c r="A15" s="14">
        <v>25</v>
      </c>
      <c r="B15" s="15" t="s">
        <v>786</v>
      </c>
      <c r="C15" s="16" t="str">
        <f t="shared" si="10"/>
        <v>M&amp;T Resources</v>
      </c>
      <c r="D15" s="16" t="str">
        <f t="shared" si="11"/>
        <v>Energy Queensland</v>
      </c>
      <c r="E15" s="18">
        <v>13000</v>
      </c>
      <c r="F15" s="18"/>
      <c r="G15" s="18">
        <f t="shared" si="12"/>
        <v>1300</v>
      </c>
      <c r="H15" s="20">
        <f t="shared" si="13"/>
        <v>14300</v>
      </c>
      <c r="I15" s="18"/>
      <c r="J15" s="21">
        <f t="shared" si="14"/>
        <v>14300</v>
      </c>
    </row>
    <row r="16" spans="1:10" s="22" customFormat="1" hidden="1" outlineLevel="1" x14ac:dyDescent="0.25">
      <c r="A16" s="14">
        <v>25</v>
      </c>
      <c r="B16" s="15" t="s">
        <v>787</v>
      </c>
      <c r="C16" s="16" t="str">
        <f t="shared" ref="C16" si="15">VLOOKUP(LEFT(B16,2)&amp;0,invCustomer,2)</f>
        <v>M&amp;T Resources</v>
      </c>
      <c r="D16" s="16" t="str">
        <f t="shared" ref="D16" si="16">VLOOKUP(LEFT(B16,4)&amp;0,invProject,2)</f>
        <v>Energy Queensland</v>
      </c>
      <c r="E16" s="18">
        <v>11700</v>
      </c>
      <c r="F16" s="18"/>
      <c r="G16" s="18">
        <f t="shared" ref="G16" si="17">ROUND(SUM(E16:F16)*0.1,2)</f>
        <v>1170</v>
      </c>
      <c r="H16" s="20">
        <f t="shared" ref="H16" si="18">SUM(E16:G16)</f>
        <v>12870</v>
      </c>
      <c r="I16" s="18"/>
      <c r="J16" s="21">
        <f t="shared" ref="J16" si="19">SUM(H16:I16)</f>
        <v>12870</v>
      </c>
    </row>
    <row r="17" spans="1:10" s="22" customFormat="1" hidden="1" outlineLevel="1" x14ac:dyDescent="0.25">
      <c r="A17" s="14">
        <v>26</v>
      </c>
      <c r="B17" s="15" t="s">
        <v>791</v>
      </c>
      <c r="C17" s="16" t="str">
        <f t="shared" si="0"/>
        <v>Hays</v>
      </c>
      <c r="D17" s="16" t="str">
        <f t="shared" si="1"/>
        <v>MLC</v>
      </c>
      <c r="E17" s="18">
        <v>3920</v>
      </c>
      <c r="F17" s="18"/>
      <c r="G17" s="18">
        <f t="shared" si="2"/>
        <v>392</v>
      </c>
      <c r="H17" s="20">
        <f t="shared" si="3"/>
        <v>4312</v>
      </c>
      <c r="I17" s="18"/>
      <c r="J17" s="21">
        <f t="shared" si="4"/>
        <v>4312</v>
      </c>
    </row>
    <row r="18" spans="1:10" hidden="1" outlineLevel="1" x14ac:dyDescent="0.25">
      <c r="A18" s="23">
        <v>29</v>
      </c>
      <c r="B18" s="24" t="s">
        <v>796</v>
      </c>
      <c r="C18" s="25" t="str">
        <f t="shared" si="0"/>
        <v>Paxus</v>
      </c>
      <c r="D18" s="25" t="str">
        <f t="shared" si="1"/>
        <v>Energy Queensland</v>
      </c>
      <c r="E18" s="26">
        <v>4451.05</v>
      </c>
      <c r="F18" s="26"/>
      <c r="G18" s="26">
        <f t="shared" si="2"/>
        <v>445.11</v>
      </c>
      <c r="H18" s="27">
        <f t="shared" si="3"/>
        <v>4896.16</v>
      </c>
      <c r="I18" s="26"/>
      <c r="J18" s="28">
        <f t="shared" si="4"/>
        <v>4896.16</v>
      </c>
    </row>
    <row r="19" spans="1:10" s="35" customFormat="1" collapsed="1" x14ac:dyDescent="0.25">
      <c r="A19" s="29" t="s">
        <v>11</v>
      </c>
      <c r="B19" s="30"/>
      <c r="C19" s="31"/>
      <c r="D19" s="31"/>
      <c r="E19" s="32">
        <f t="shared" ref="E19:J19" si="20">SUBTOTAL(9,E3:E18)</f>
        <v>99917.1</v>
      </c>
      <c r="F19" s="32">
        <f t="shared" si="20"/>
        <v>0</v>
      </c>
      <c r="G19" s="32">
        <f t="shared" si="20"/>
        <v>9991.7200000000012</v>
      </c>
      <c r="H19" s="33">
        <f t="shared" si="20"/>
        <v>109908.82</v>
      </c>
      <c r="I19" s="32">
        <f t="shared" si="20"/>
        <v>0</v>
      </c>
      <c r="J19" s="34">
        <f t="shared" si="20"/>
        <v>109908.82</v>
      </c>
    </row>
    <row r="20" spans="1:10" s="22" customFormat="1" hidden="1" outlineLevel="1" x14ac:dyDescent="0.25">
      <c r="A20" s="36">
        <v>1</v>
      </c>
      <c r="B20" s="37" t="s">
        <v>801</v>
      </c>
      <c r="C20" s="38" t="str">
        <f t="shared" ref="C20:C36" si="21">VLOOKUP(LEFT(B20,2)&amp;0,invCustomer,2)</f>
        <v>Mine Super</v>
      </c>
      <c r="D20" s="38" t="str">
        <f t="shared" ref="D20:D36" si="22">VLOOKUP(LEFT(B20,4)&amp;0,invProject,2)</f>
        <v>Mine Super</v>
      </c>
      <c r="E20" s="17">
        <v>1425</v>
      </c>
      <c r="F20" s="17"/>
      <c r="G20" s="19">
        <f t="shared" ref="G20:G36" si="23">ROUND(SUM(E20:F20)*0.1,2)</f>
        <v>142.5</v>
      </c>
      <c r="H20" s="39">
        <f t="shared" ref="H20:H36" si="24">SUM(E20:G20)</f>
        <v>1567.5</v>
      </c>
      <c r="I20" s="17"/>
      <c r="J20" s="40">
        <f t="shared" ref="J20:J36" si="25">SUM(H20:I20)</f>
        <v>1567.5</v>
      </c>
    </row>
    <row r="21" spans="1:10" s="22" customFormat="1" hidden="1" outlineLevel="1" x14ac:dyDescent="0.25">
      <c r="A21" s="14">
        <v>2</v>
      </c>
      <c r="B21" s="15" t="s">
        <v>804</v>
      </c>
      <c r="C21" s="16" t="str">
        <f t="shared" si="21"/>
        <v>Hays</v>
      </c>
      <c r="D21" s="16" t="str">
        <f t="shared" si="22"/>
        <v>MLC</v>
      </c>
      <c r="E21" s="18">
        <v>3920</v>
      </c>
      <c r="F21" s="18"/>
      <c r="G21" s="18">
        <f t="shared" si="23"/>
        <v>392</v>
      </c>
      <c r="H21" s="20">
        <f t="shared" si="24"/>
        <v>4312</v>
      </c>
      <c r="I21" s="18"/>
      <c r="J21" s="21">
        <f t="shared" si="25"/>
        <v>4312</v>
      </c>
    </row>
    <row r="22" spans="1:10" s="22" customFormat="1" hidden="1" outlineLevel="1" x14ac:dyDescent="0.25">
      <c r="A22" s="14">
        <v>5</v>
      </c>
      <c r="B22" s="15" t="s">
        <v>805</v>
      </c>
      <c r="C22" s="16" t="str">
        <f t="shared" si="21"/>
        <v>Paxus</v>
      </c>
      <c r="D22" s="16" t="str">
        <f t="shared" si="22"/>
        <v>Energy Queensland</v>
      </c>
      <c r="E22" s="18">
        <v>4451.05</v>
      </c>
      <c r="F22" s="18"/>
      <c r="G22" s="18">
        <f t="shared" si="23"/>
        <v>445.11</v>
      </c>
      <c r="H22" s="20">
        <f t="shared" si="24"/>
        <v>4896.16</v>
      </c>
      <c r="I22" s="18"/>
      <c r="J22" s="21">
        <f t="shared" si="25"/>
        <v>4896.16</v>
      </c>
    </row>
    <row r="23" spans="1:10" s="22" customFormat="1" hidden="1" outlineLevel="1" x14ac:dyDescent="0.25">
      <c r="A23" s="14">
        <v>8</v>
      </c>
      <c r="B23" s="15" t="s">
        <v>806</v>
      </c>
      <c r="C23" s="16" t="str">
        <f t="shared" ref="C23:C26" si="26">VLOOKUP(LEFT(B23,2)&amp;0,invCustomer,2)</f>
        <v>M&amp;T Resources</v>
      </c>
      <c r="D23" s="16" t="str">
        <f t="shared" ref="D23:D26" si="27">VLOOKUP(LEFT(B23,4)&amp;0,invProject,2)</f>
        <v>Energy Queensland</v>
      </c>
      <c r="E23" s="18">
        <v>13000</v>
      </c>
      <c r="F23" s="18"/>
      <c r="G23" s="18">
        <f t="shared" ref="G23:G26" si="28">ROUND(SUM(E23:F23)*0.1,2)</f>
        <v>1300</v>
      </c>
      <c r="H23" s="20">
        <f t="shared" ref="H23:H26" si="29">SUM(E23:G23)</f>
        <v>14300</v>
      </c>
      <c r="I23" s="18"/>
      <c r="J23" s="21">
        <f t="shared" ref="J23:J26" si="30">SUM(H23:I23)</f>
        <v>14300</v>
      </c>
    </row>
    <row r="24" spans="1:10" s="22" customFormat="1" hidden="1" outlineLevel="1" x14ac:dyDescent="0.25">
      <c r="A24" s="14">
        <v>8</v>
      </c>
      <c r="B24" s="15" t="s">
        <v>807</v>
      </c>
      <c r="C24" s="16" t="str">
        <f t="shared" si="26"/>
        <v>M&amp;T Resources</v>
      </c>
      <c r="D24" s="16" t="str">
        <f t="shared" si="27"/>
        <v>Energy Queensland</v>
      </c>
      <c r="E24" s="18">
        <v>11250</v>
      </c>
      <c r="F24" s="18"/>
      <c r="G24" s="18">
        <f t="shared" si="28"/>
        <v>1125</v>
      </c>
      <c r="H24" s="20">
        <f t="shared" si="29"/>
        <v>12375</v>
      </c>
      <c r="I24" s="18"/>
      <c r="J24" s="21">
        <f t="shared" si="30"/>
        <v>12375</v>
      </c>
    </row>
    <row r="25" spans="1:10" s="22" customFormat="1" hidden="1" outlineLevel="1" x14ac:dyDescent="0.25">
      <c r="A25" s="14">
        <v>9</v>
      </c>
      <c r="B25" s="15" t="s">
        <v>821</v>
      </c>
      <c r="C25" s="16" t="str">
        <f t="shared" si="26"/>
        <v>Hays</v>
      </c>
      <c r="D25" s="16" t="str">
        <f t="shared" si="27"/>
        <v>MLC</v>
      </c>
      <c r="E25" s="18">
        <v>3920</v>
      </c>
      <c r="F25" s="18"/>
      <c r="G25" s="18">
        <f t="shared" si="28"/>
        <v>392</v>
      </c>
      <c r="H25" s="20">
        <f t="shared" si="29"/>
        <v>4312</v>
      </c>
      <c r="I25" s="18"/>
      <c r="J25" s="21">
        <f t="shared" si="30"/>
        <v>4312</v>
      </c>
    </row>
    <row r="26" spans="1:10" s="22" customFormat="1" hidden="1" outlineLevel="1" x14ac:dyDescent="0.25">
      <c r="A26" s="14">
        <v>12</v>
      </c>
      <c r="B26" s="15" t="s">
        <v>828</v>
      </c>
      <c r="C26" s="16" t="str">
        <f t="shared" si="26"/>
        <v>Paxus</v>
      </c>
      <c r="D26" s="16" t="str">
        <f t="shared" si="27"/>
        <v>Energy Queensland</v>
      </c>
      <c r="E26" s="18">
        <v>4451.05</v>
      </c>
      <c r="F26" s="18"/>
      <c r="G26" s="18">
        <f t="shared" si="28"/>
        <v>445.11</v>
      </c>
      <c r="H26" s="20">
        <f t="shared" si="29"/>
        <v>4896.16</v>
      </c>
      <c r="I26" s="18"/>
      <c r="J26" s="21">
        <f t="shared" si="30"/>
        <v>4896.16</v>
      </c>
    </row>
    <row r="27" spans="1:10" s="22" customFormat="1" hidden="1" outlineLevel="1" x14ac:dyDescent="0.25">
      <c r="A27" s="14">
        <v>14</v>
      </c>
      <c r="B27" s="15" t="s">
        <v>829</v>
      </c>
      <c r="C27" s="16" t="str">
        <f t="shared" si="21"/>
        <v>Taggle Systems</v>
      </c>
      <c r="D27" s="16" t="str">
        <f t="shared" si="22"/>
        <v>Taggle</v>
      </c>
      <c r="E27" s="18">
        <v>7000</v>
      </c>
      <c r="F27" s="18"/>
      <c r="G27" s="18">
        <f t="shared" si="23"/>
        <v>700</v>
      </c>
      <c r="H27" s="20">
        <f t="shared" si="24"/>
        <v>7700</v>
      </c>
      <c r="I27" s="18"/>
      <c r="J27" s="21">
        <f t="shared" si="25"/>
        <v>7700</v>
      </c>
    </row>
    <row r="28" spans="1:10" s="22" customFormat="1" hidden="1" outlineLevel="1" x14ac:dyDescent="0.25">
      <c r="A28" s="14">
        <v>16</v>
      </c>
      <c r="B28" s="15" t="s">
        <v>849</v>
      </c>
      <c r="C28" s="16" t="str">
        <f t="shared" si="21"/>
        <v>Hays</v>
      </c>
      <c r="D28" s="16" t="str">
        <f t="shared" si="22"/>
        <v>MLC</v>
      </c>
      <c r="E28" s="18">
        <v>3430</v>
      </c>
      <c r="F28" s="18"/>
      <c r="G28" s="18">
        <f t="shared" si="23"/>
        <v>343</v>
      </c>
      <c r="H28" s="20">
        <f t="shared" si="24"/>
        <v>3773</v>
      </c>
      <c r="I28" s="18"/>
      <c r="J28" s="21">
        <f t="shared" si="25"/>
        <v>3773</v>
      </c>
    </row>
    <row r="29" spans="1:10" s="22" customFormat="1" hidden="1" outlineLevel="1" x14ac:dyDescent="0.25">
      <c r="A29" s="14">
        <v>19</v>
      </c>
      <c r="B29" s="15" t="s">
        <v>839</v>
      </c>
      <c r="C29" s="16" t="str">
        <f t="shared" ref="C29:C30" si="31">VLOOKUP(LEFT(B29,2)&amp;0,invCustomer,2)</f>
        <v>Paxus</v>
      </c>
      <c r="D29" s="16" t="str">
        <f t="shared" ref="D29:D30" si="32">VLOOKUP(LEFT(B29,4)&amp;0,invProject,2)</f>
        <v>Energy Queensland</v>
      </c>
      <c r="E29" s="18">
        <v>4451.05</v>
      </c>
      <c r="F29" s="18"/>
      <c r="G29" s="18">
        <f t="shared" ref="G29:G30" si="33">ROUND(SUM(E29:F29)*0.1,2)</f>
        <v>445.11</v>
      </c>
      <c r="H29" s="20">
        <f t="shared" ref="H29:H30" si="34">SUM(E29:G29)</f>
        <v>4896.16</v>
      </c>
      <c r="I29" s="18"/>
      <c r="J29" s="21">
        <f t="shared" ref="J29:J30" si="35">SUM(H29:I29)</f>
        <v>4896.16</v>
      </c>
    </row>
    <row r="30" spans="1:10" s="22" customFormat="1" hidden="1" outlineLevel="1" x14ac:dyDescent="0.25">
      <c r="A30" s="14">
        <v>22</v>
      </c>
      <c r="B30" s="15" t="s">
        <v>840</v>
      </c>
      <c r="C30" s="16" t="str">
        <f t="shared" si="31"/>
        <v>Mine Super</v>
      </c>
      <c r="D30" s="16" t="str">
        <f t="shared" si="32"/>
        <v>Mine Super</v>
      </c>
      <c r="E30" s="18">
        <v>2850</v>
      </c>
      <c r="F30" s="18"/>
      <c r="G30" s="18">
        <f t="shared" si="33"/>
        <v>285</v>
      </c>
      <c r="H30" s="20">
        <f t="shared" si="34"/>
        <v>3135</v>
      </c>
      <c r="I30" s="18"/>
      <c r="J30" s="21">
        <f t="shared" si="35"/>
        <v>3135</v>
      </c>
    </row>
    <row r="31" spans="1:10" s="22" customFormat="1" hidden="1" outlineLevel="1" x14ac:dyDescent="0.25">
      <c r="A31" s="14">
        <v>22</v>
      </c>
      <c r="B31" s="15" t="s">
        <v>841</v>
      </c>
      <c r="C31" s="16" t="str">
        <f t="shared" si="21"/>
        <v>M&amp;T Resources</v>
      </c>
      <c r="D31" s="16" t="str">
        <f t="shared" si="22"/>
        <v>Energy Queensland</v>
      </c>
      <c r="E31" s="18">
        <v>12000</v>
      </c>
      <c r="F31" s="18"/>
      <c r="G31" s="18">
        <f t="shared" si="23"/>
        <v>1200</v>
      </c>
      <c r="H31" s="20">
        <f t="shared" si="24"/>
        <v>13200</v>
      </c>
      <c r="I31" s="18"/>
      <c r="J31" s="21">
        <f t="shared" si="25"/>
        <v>13200</v>
      </c>
    </row>
    <row r="32" spans="1:10" s="22" customFormat="1" hidden="1" outlineLevel="1" x14ac:dyDescent="0.25">
      <c r="A32" s="14">
        <v>22</v>
      </c>
      <c r="B32" s="15" t="s">
        <v>842</v>
      </c>
      <c r="C32" s="16" t="str">
        <f t="shared" ref="C32" si="36">VLOOKUP(LEFT(B32,2)&amp;0,invCustomer,2)</f>
        <v>M&amp;T Resources</v>
      </c>
      <c r="D32" s="16" t="str">
        <f t="shared" ref="D32" si="37">VLOOKUP(LEFT(B32,4)&amp;0,invProject,2)</f>
        <v>Energy Queensland</v>
      </c>
      <c r="E32" s="18">
        <v>9900</v>
      </c>
      <c r="F32" s="18"/>
      <c r="G32" s="18">
        <f t="shared" ref="G32" si="38">ROUND(SUM(E32:F32)*0.1,2)</f>
        <v>990</v>
      </c>
      <c r="H32" s="20">
        <f t="shared" ref="H32" si="39">SUM(E32:G32)</f>
        <v>10890</v>
      </c>
      <c r="I32" s="18"/>
      <c r="J32" s="21">
        <f t="shared" ref="J32" si="40">SUM(H32:I32)</f>
        <v>10890</v>
      </c>
    </row>
    <row r="33" spans="1:10" s="22" customFormat="1" hidden="1" outlineLevel="1" x14ac:dyDescent="0.25">
      <c r="A33" s="14">
        <v>23</v>
      </c>
      <c r="B33" s="15" t="s">
        <v>857</v>
      </c>
      <c r="C33" s="16" t="str">
        <f t="shared" ref="C33:C34" si="41">VLOOKUP(LEFT(B33,2)&amp;0,invCustomer,2)</f>
        <v>Hays</v>
      </c>
      <c r="D33" s="16" t="str">
        <f t="shared" ref="D33:D34" si="42">VLOOKUP(LEFT(B33,4)&amp;0,invProject,2)</f>
        <v>MLC</v>
      </c>
      <c r="E33" s="18">
        <v>3920</v>
      </c>
      <c r="F33" s="18"/>
      <c r="G33" s="18">
        <f t="shared" ref="G33:G34" si="43">ROUND(SUM(E33:F33)*0.1,2)</f>
        <v>392</v>
      </c>
      <c r="H33" s="20">
        <f t="shared" ref="H33:H34" si="44">SUM(E33:G33)</f>
        <v>4312</v>
      </c>
      <c r="I33" s="18"/>
      <c r="J33" s="21">
        <f t="shared" ref="J33:J34" si="45">SUM(H33:I33)</f>
        <v>4312</v>
      </c>
    </row>
    <row r="34" spans="1:10" s="22" customFormat="1" hidden="1" outlineLevel="1" x14ac:dyDescent="0.25">
      <c r="A34" s="14">
        <v>26</v>
      </c>
      <c r="B34" s="15" t="s">
        <v>852</v>
      </c>
      <c r="C34" s="16" t="str">
        <f t="shared" si="41"/>
        <v>Paxus</v>
      </c>
      <c r="D34" s="16" t="str">
        <f t="shared" si="42"/>
        <v>Energy Queensland</v>
      </c>
      <c r="E34" s="18">
        <v>4451.05</v>
      </c>
      <c r="F34" s="18"/>
      <c r="G34" s="18">
        <f t="shared" si="43"/>
        <v>445.11</v>
      </c>
      <c r="H34" s="20">
        <f t="shared" si="44"/>
        <v>4896.16</v>
      </c>
      <c r="I34" s="18"/>
      <c r="J34" s="21">
        <f t="shared" si="45"/>
        <v>4896.16</v>
      </c>
    </row>
    <row r="35" spans="1:10" s="22" customFormat="1" hidden="1" outlineLevel="1" x14ac:dyDescent="0.25">
      <c r="A35" s="14">
        <v>29</v>
      </c>
      <c r="B35" s="15" t="s">
        <v>853</v>
      </c>
      <c r="C35" s="16" t="str">
        <f t="shared" si="21"/>
        <v>Mine Super</v>
      </c>
      <c r="D35" s="16" t="str">
        <f t="shared" si="22"/>
        <v>Mine Super</v>
      </c>
      <c r="E35" s="18">
        <v>2375</v>
      </c>
      <c r="F35" s="18"/>
      <c r="G35" s="18">
        <f t="shared" si="23"/>
        <v>237.5</v>
      </c>
      <c r="H35" s="20">
        <f t="shared" si="24"/>
        <v>2612.5</v>
      </c>
      <c r="I35" s="18"/>
      <c r="J35" s="21">
        <f t="shared" si="25"/>
        <v>2612.5</v>
      </c>
    </row>
    <row r="36" spans="1:10" hidden="1" outlineLevel="1" x14ac:dyDescent="0.25">
      <c r="A36" s="23">
        <v>30</v>
      </c>
      <c r="B36" s="24" t="s">
        <v>881</v>
      </c>
      <c r="C36" s="25" t="str">
        <f t="shared" si="21"/>
        <v>Hays</v>
      </c>
      <c r="D36" s="25" t="str">
        <f t="shared" si="22"/>
        <v>MLC</v>
      </c>
      <c r="E36" s="26">
        <v>3920</v>
      </c>
      <c r="F36" s="26"/>
      <c r="G36" s="41">
        <f t="shared" si="23"/>
        <v>392</v>
      </c>
      <c r="H36" s="27">
        <f t="shared" si="24"/>
        <v>4312</v>
      </c>
      <c r="I36" s="26"/>
      <c r="J36" s="28">
        <f t="shared" si="25"/>
        <v>4312</v>
      </c>
    </row>
    <row r="37" spans="1:10" s="35" customFormat="1" collapsed="1" x14ac:dyDescent="0.25">
      <c r="A37" s="31" t="s">
        <v>12</v>
      </c>
      <c r="B37" s="30"/>
      <c r="C37" s="31"/>
      <c r="D37" s="31"/>
      <c r="E37" s="32">
        <f t="shared" ref="E37:J37" si="46">SUBTOTAL(9,E20:E36)</f>
        <v>96714.200000000012</v>
      </c>
      <c r="F37" s="32">
        <f t="shared" si="46"/>
        <v>0</v>
      </c>
      <c r="G37" s="32">
        <f t="shared" si="46"/>
        <v>9671.44</v>
      </c>
      <c r="H37" s="33">
        <f t="shared" si="46"/>
        <v>106385.64000000001</v>
      </c>
      <c r="I37" s="32">
        <f t="shared" si="46"/>
        <v>0</v>
      </c>
      <c r="J37" s="34">
        <f t="shared" si="46"/>
        <v>106385.64000000001</v>
      </c>
    </row>
    <row r="38" spans="1:10" s="22" customFormat="1" hidden="1" outlineLevel="1" x14ac:dyDescent="0.25">
      <c r="A38" s="36">
        <v>2</v>
      </c>
      <c r="B38" s="37" t="s">
        <v>864</v>
      </c>
      <c r="C38" s="38" t="str">
        <f t="shared" ref="C38:C52" si="47">VLOOKUP(LEFT(B38,2)&amp;0,invCustomer,2)</f>
        <v>Paxus</v>
      </c>
      <c r="D38" s="38" t="str">
        <f t="shared" ref="D38:D52" si="48">VLOOKUP(LEFT(B38,4)&amp;0,invProject,2)</f>
        <v>Energy Queensland</v>
      </c>
      <c r="E38" s="17">
        <v>4451.05</v>
      </c>
      <c r="F38" s="17"/>
      <c r="G38" s="19">
        <f t="shared" ref="G38:G48" si="49">ROUND(SUM(E38:F38)*0.1,2)</f>
        <v>445.11</v>
      </c>
      <c r="H38" s="39">
        <f t="shared" ref="H38:H52" si="50">SUM(E38:G38)</f>
        <v>4896.16</v>
      </c>
      <c r="I38" s="17"/>
      <c r="J38" s="40">
        <f t="shared" ref="J38:J52" si="51">SUM(H38:I38)</f>
        <v>4896.16</v>
      </c>
    </row>
    <row r="39" spans="1:10" s="22" customFormat="1" hidden="1" outlineLevel="1" x14ac:dyDescent="0.25">
      <c r="A39" s="14">
        <v>4</v>
      </c>
      <c r="B39" s="15" t="s">
        <v>866</v>
      </c>
      <c r="C39" s="16" t="str">
        <f t="shared" si="47"/>
        <v>Taggle Systems</v>
      </c>
      <c r="D39" s="16" t="str">
        <f t="shared" si="48"/>
        <v>Taggle</v>
      </c>
      <c r="E39" s="18">
        <v>11900</v>
      </c>
      <c r="F39" s="18"/>
      <c r="G39" s="18">
        <f t="shared" si="49"/>
        <v>1190</v>
      </c>
      <c r="H39" s="20">
        <f t="shared" si="50"/>
        <v>13090</v>
      </c>
      <c r="I39" s="18"/>
      <c r="J39" s="21">
        <f t="shared" si="51"/>
        <v>13090</v>
      </c>
    </row>
    <row r="40" spans="1:10" s="22" customFormat="1" hidden="1" outlineLevel="1" x14ac:dyDescent="0.25">
      <c r="A40" s="14">
        <v>5</v>
      </c>
      <c r="B40" s="15" t="s">
        <v>868</v>
      </c>
      <c r="C40" s="16" t="str">
        <f t="shared" si="47"/>
        <v>M&amp;T Resources</v>
      </c>
      <c r="D40" s="16" t="str">
        <f t="shared" si="48"/>
        <v>Energy Queensland</v>
      </c>
      <c r="E40" s="18">
        <v>14000</v>
      </c>
      <c r="F40" s="18"/>
      <c r="G40" s="18">
        <f t="shared" si="49"/>
        <v>1400</v>
      </c>
      <c r="H40" s="20">
        <f t="shared" si="50"/>
        <v>15400</v>
      </c>
      <c r="I40" s="18"/>
      <c r="J40" s="21">
        <f t="shared" si="51"/>
        <v>15400</v>
      </c>
    </row>
    <row r="41" spans="1:10" s="22" customFormat="1" hidden="1" outlineLevel="1" x14ac:dyDescent="0.25">
      <c r="A41" s="14">
        <v>5</v>
      </c>
      <c r="B41" s="15" t="s">
        <v>869</v>
      </c>
      <c r="C41" s="16" t="str">
        <f t="shared" si="47"/>
        <v>M&amp;T Resources</v>
      </c>
      <c r="D41" s="16" t="str">
        <f t="shared" si="48"/>
        <v>Energy Queensland</v>
      </c>
      <c r="E41" s="18">
        <v>12150</v>
      </c>
      <c r="F41" s="18"/>
      <c r="G41" s="18">
        <f t="shared" si="49"/>
        <v>1215</v>
      </c>
      <c r="H41" s="20">
        <f t="shared" si="50"/>
        <v>13365</v>
      </c>
      <c r="I41" s="18"/>
      <c r="J41" s="21">
        <f t="shared" si="51"/>
        <v>13365</v>
      </c>
    </row>
    <row r="42" spans="1:10" s="22" customFormat="1" hidden="1" outlineLevel="1" x14ac:dyDescent="0.25">
      <c r="A42" s="14">
        <v>9</v>
      </c>
      <c r="B42" s="15" t="s">
        <v>879</v>
      </c>
      <c r="C42" s="16" t="str">
        <f t="shared" ref="C42:C46" si="52">VLOOKUP(LEFT(B42,2)&amp;0,invCustomer,2)</f>
        <v>Paxus</v>
      </c>
      <c r="D42" s="16" t="str">
        <f t="shared" ref="D42:D44" si="53">VLOOKUP(LEFT(B42,4)&amp;0,invProject,2)</f>
        <v>Energy Queensland</v>
      </c>
      <c r="E42" s="18">
        <v>4451.05</v>
      </c>
      <c r="F42" s="18"/>
      <c r="G42" s="18">
        <f t="shared" ref="G42:G44" si="54">ROUND(SUM(E42:F42)*0.1,2)</f>
        <v>445.11</v>
      </c>
      <c r="H42" s="20">
        <f t="shared" ref="H42:H44" si="55">SUM(E42:G42)</f>
        <v>4896.16</v>
      </c>
      <c r="I42" s="18"/>
      <c r="J42" s="21">
        <f t="shared" ref="J42:J44" si="56">SUM(H42:I42)</f>
        <v>4896.16</v>
      </c>
    </row>
    <row r="43" spans="1:10" s="22" customFormat="1" hidden="1" outlineLevel="1" x14ac:dyDescent="0.25">
      <c r="A43" s="14">
        <v>10</v>
      </c>
      <c r="B43" s="15" t="s">
        <v>880</v>
      </c>
      <c r="C43" s="16" t="str">
        <f t="shared" si="52"/>
        <v>Taggle Systems</v>
      </c>
      <c r="D43" s="16" t="str">
        <f t="shared" si="53"/>
        <v>Taggle</v>
      </c>
      <c r="E43" s="18">
        <v>7000</v>
      </c>
      <c r="F43" s="18"/>
      <c r="G43" s="18">
        <f t="shared" si="54"/>
        <v>700</v>
      </c>
      <c r="H43" s="20">
        <f t="shared" si="55"/>
        <v>7700</v>
      </c>
      <c r="I43" s="18"/>
      <c r="J43" s="21">
        <f t="shared" si="56"/>
        <v>7700</v>
      </c>
    </row>
    <row r="44" spans="1:10" s="22" customFormat="1" hidden="1" outlineLevel="1" x14ac:dyDescent="0.25">
      <c r="A44" s="14">
        <v>11</v>
      </c>
      <c r="B44" s="15" t="s">
        <v>893</v>
      </c>
      <c r="C44" s="16" t="str">
        <f t="shared" si="52"/>
        <v>Hays</v>
      </c>
      <c r="D44" s="16" t="str">
        <f t="shared" si="53"/>
        <v>MLC</v>
      </c>
      <c r="E44" s="18">
        <v>3430</v>
      </c>
      <c r="F44" s="18"/>
      <c r="G44" s="18">
        <f t="shared" si="54"/>
        <v>343</v>
      </c>
      <c r="H44" s="20">
        <f t="shared" si="55"/>
        <v>3773</v>
      </c>
      <c r="I44" s="18"/>
      <c r="J44" s="21">
        <f t="shared" si="56"/>
        <v>3773</v>
      </c>
    </row>
    <row r="45" spans="1:10" s="22" customFormat="1" hidden="1" outlineLevel="1" x14ac:dyDescent="0.25">
      <c r="A45" s="14">
        <v>12</v>
      </c>
      <c r="B45" s="15" t="s">
        <v>882</v>
      </c>
      <c r="C45" s="16" t="str">
        <f t="shared" si="52"/>
        <v>Mine Super</v>
      </c>
      <c r="D45" s="16" t="str">
        <f>VLOOKUP(LEFT(B45,4)&amp;0,invProject,2)</f>
        <v>Mine Super</v>
      </c>
      <c r="E45" s="18">
        <v>2850</v>
      </c>
      <c r="F45" s="18"/>
      <c r="G45" s="18">
        <f>ROUND(SUM(E45:F45)*0.1,2)</f>
        <v>285</v>
      </c>
      <c r="H45" s="20">
        <f>SUM(E45:G45)</f>
        <v>3135</v>
      </c>
      <c r="I45" s="18"/>
      <c r="J45" s="21">
        <f>SUM(H45:I45)</f>
        <v>3135</v>
      </c>
    </row>
    <row r="46" spans="1:10" s="22" customFormat="1" hidden="1" outlineLevel="1" x14ac:dyDescent="0.25">
      <c r="A46" s="14">
        <v>16</v>
      </c>
      <c r="B46" s="15" t="s">
        <v>892</v>
      </c>
      <c r="C46" s="16" t="str">
        <f t="shared" si="52"/>
        <v>Paxus</v>
      </c>
      <c r="D46" s="16" t="str">
        <f t="shared" ref="D46" si="57">VLOOKUP(LEFT(B46,4)&amp;0,invProject,2)</f>
        <v>Energy Queensland</v>
      </c>
      <c r="E46" s="18">
        <v>4451.05</v>
      </c>
      <c r="F46" s="18"/>
      <c r="G46" s="18">
        <f t="shared" ref="G46" si="58">ROUND(SUM(E46:F46)*0.1,2)</f>
        <v>445.11</v>
      </c>
      <c r="H46" s="20">
        <f t="shared" ref="H46" si="59">SUM(E46:G46)</f>
        <v>4896.16</v>
      </c>
      <c r="I46" s="18"/>
      <c r="J46" s="21">
        <f t="shared" ref="J46" si="60">SUM(H46:I46)</f>
        <v>4896.16</v>
      </c>
    </row>
    <row r="47" spans="1:10" s="22" customFormat="1" hidden="1" outlineLevel="1" x14ac:dyDescent="0.25">
      <c r="A47" s="14">
        <v>16</v>
      </c>
      <c r="B47" s="15" t="s">
        <v>912</v>
      </c>
      <c r="C47" s="16" t="str">
        <f t="shared" si="47"/>
        <v>Hays</v>
      </c>
      <c r="D47" s="16" t="str">
        <f t="shared" si="48"/>
        <v>MLC</v>
      </c>
      <c r="E47" s="18">
        <v>4900</v>
      </c>
      <c r="F47" s="18"/>
      <c r="G47" s="18">
        <f t="shared" si="49"/>
        <v>490</v>
      </c>
      <c r="H47" s="20">
        <f t="shared" si="50"/>
        <v>5390</v>
      </c>
      <c r="I47" s="18"/>
      <c r="J47" s="21">
        <f t="shared" si="51"/>
        <v>5390</v>
      </c>
    </row>
    <row r="48" spans="1:10" s="22" customFormat="1" hidden="1" outlineLevel="1" x14ac:dyDescent="0.25">
      <c r="A48" s="14">
        <v>19</v>
      </c>
      <c r="B48" s="15" t="s">
        <v>896</v>
      </c>
      <c r="C48" s="16" t="str">
        <f t="shared" si="47"/>
        <v>M&amp;T Resources</v>
      </c>
      <c r="D48" s="16" t="str">
        <f t="shared" si="48"/>
        <v>Energy Queensland</v>
      </c>
      <c r="E48" s="18">
        <v>10000</v>
      </c>
      <c r="F48" s="18"/>
      <c r="G48" s="18">
        <f t="shared" si="49"/>
        <v>1000</v>
      </c>
      <c r="H48" s="20">
        <f t="shared" si="50"/>
        <v>11000</v>
      </c>
      <c r="I48" s="18"/>
      <c r="J48" s="21">
        <f t="shared" si="51"/>
        <v>11000</v>
      </c>
    </row>
    <row r="49" spans="1:10" s="22" customFormat="1" hidden="1" outlineLevel="1" x14ac:dyDescent="0.25">
      <c r="A49" s="14">
        <v>19</v>
      </c>
      <c r="B49" s="15" t="s">
        <v>895</v>
      </c>
      <c r="C49" s="16" t="str">
        <f t="shared" ref="C49" si="61">VLOOKUP(LEFT(B49,2)&amp;0,invCustomer,2)</f>
        <v>M&amp;T Resources</v>
      </c>
      <c r="D49" s="16" t="str">
        <f t="shared" ref="D49" si="62">VLOOKUP(LEFT(B49,4)&amp;0,invProject,2)</f>
        <v>Energy Queensland</v>
      </c>
      <c r="E49" s="18">
        <v>10350</v>
      </c>
      <c r="F49" s="18"/>
      <c r="G49" s="18">
        <f t="shared" ref="G49" si="63">ROUND(SUM(E49:F49)*0.1,2)</f>
        <v>1035</v>
      </c>
      <c r="H49" s="20">
        <f t="shared" ref="H49" si="64">SUM(E49:G49)</f>
        <v>11385</v>
      </c>
      <c r="I49" s="18"/>
      <c r="J49" s="21">
        <f t="shared" ref="J49" si="65">SUM(H49:I49)</f>
        <v>11385</v>
      </c>
    </row>
    <row r="50" spans="1:10" s="22" customFormat="1" hidden="1" outlineLevel="1" x14ac:dyDescent="0.25">
      <c r="A50" s="14">
        <v>20</v>
      </c>
      <c r="B50" s="15" t="s">
        <v>921</v>
      </c>
      <c r="C50" s="16" t="str">
        <f t="shared" ref="C50:C51" si="66">VLOOKUP(LEFT(B50,2)&amp;0,invCustomer,2)</f>
        <v>Hays</v>
      </c>
      <c r="D50" s="16" t="str">
        <f>VLOOKUP(LEFT(B50,4)&amp;0,invProject,2)</f>
        <v>MLC</v>
      </c>
      <c r="E50" s="18">
        <v>4900</v>
      </c>
      <c r="F50" s="18"/>
      <c r="G50" s="18">
        <f>ROUND(SUM(E50:F50)*0.1,2)</f>
        <v>490</v>
      </c>
      <c r="H50" s="20">
        <f>SUM(E50:G50)</f>
        <v>5390</v>
      </c>
      <c r="I50" s="18"/>
      <c r="J50" s="21">
        <f>SUM(H50:I50)</f>
        <v>5390</v>
      </c>
    </row>
    <row r="51" spans="1:10" s="22" customFormat="1" hidden="1" outlineLevel="1" x14ac:dyDescent="0.25">
      <c r="A51" s="14">
        <v>23</v>
      </c>
      <c r="B51" s="15" t="s">
        <v>914</v>
      </c>
      <c r="C51" s="16" t="str">
        <f t="shared" si="66"/>
        <v>Paxus</v>
      </c>
      <c r="D51" s="16" t="str">
        <f t="shared" ref="D51" si="67">VLOOKUP(LEFT(B51,4)&amp;0,invProject,2)</f>
        <v>Energy Queensland</v>
      </c>
      <c r="E51" s="18">
        <v>4451.05</v>
      </c>
      <c r="F51" s="18"/>
      <c r="G51" s="18">
        <f t="shared" ref="G51" si="68">ROUND(SUM(E51:F51)*0.1,2)</f>
        <v>445.11</v>
      </c>
      <c r="H51" s="20">
        <f t="shared" ref="H51" si="69">SUM(E51:G51)</f>
        <v>4896.16</v>
      </c>
      <c r="I51" s="18"/>
      <c r="J51" s="21">
        <f t="shared" ref="J51" si="70">SUM(H51:I51)</f>
        <v>4896.16</v>
      </c>
    </row>
    <row r="52" spans="1:10" s="22" customFormat="1" hidden="1" outlineLevel="1" x14ac:dyDescent="0.25">
      <c r="A52" s="23">
        <v>30</v>
      </c>
      <c r="B52" s="24" t="s">
        <v>919</v>
      </c>
      <c r="C52" s="25" t="str">
        <f t="shared" si="47"/>
        <v>Paxus</v>
      </c>
      <c r="D52" s="25" t="str">
        <f t="shared" si="48"/>
        <v>Energy Queensland</v>
      </c>
      <c r="E52" s="26">
        <v>4451.05</v>
      </c>
      <c r="F52" s="26"/>
      <c r="G52" s="41">
        <f>ROUND(SUM(E52:F52)*0.1,2)</f>
        <v>445.11</v>
      </c>
      <c r="H52" s="27">
        <f t="shared" si="50"/>
        <v>4896.16</v>
      </c>
      <c r="I52" s="26"/>
      <c r="J52" s="28">
        <f t="shared" si="51"/>
        <v>4896.16</v>
      </c>
    </row>
    <row r="53" spans="1:10" s="35" customFormat="1" collapsed="1" x14ac:dyDescent="0.25">
      <c r="A53" s="31" t="s">
        <v>13</v>
      </c>
      <c r="B53" s="30"/>
      <c r="C53" s="31"/>
      <c r="D53" s="31"/>
      <c r="E53" s="32">
        <f t="shared" ref="E53:J53" si="71">SUBTOTAL(9,E38:E52)</f>
        <v>103735.25000000001</v>
      </c>
      <c r="F53" s="32">
        <f t="shared" si="71"/>
        <v>0</v>
      </c>
      <c r="G53" s="32">
        <f t="shared" si="71"/>
        <v>10373.550000000001</v>
      </c>
      <c r="H53" s="42">
        <f t="shared" si="71"/>
        <v>114108.80000000002</v>
      </c>
      <c r="I53" s="32">
        <f t="shared" si="71"/>
        <v>0</v>
      </c>
      <c r="J53" s="34">
        <f t="shared" si="71"/>
        <v>114108.80000000002</v>
      </c>
    </row>
    <row r="54" spans="1:10" s="35" customFormat="1" x14ac:dyDescent="0.25">
      <c r="A54" s="43"/>
      <c r="B54" s="44" t="s">
        <v>14</v>
      </c>
      <c r="C54" s="43"/>
      <c r="D54" s="43"/>
      <c r="E54" s="44">
        <f t="shared" ref="E54:J54" si="72">SUBTOTAL(9,E3:E53)</f>
        <v>300366.54999999993</v>
      </c>
      <c r="F54" s="44">
        <f t="shared" si="72"/>
        <v>0</v>
      </c>
      <c r="G54" s="44">
        <f t="shared" si="72"/>
        <v>30036.710000000006</v>
      </c>
      <c r="H54" s="45">
        <f t="shared" si="72"/>
        <v>330403.25999999989</v>
      </c>
      <c r="I54" s="44">
        <f t="shared" si="72"/>
        <v>0</v>
      </c>
      <c r="J54" s="46">
        <f t="shared" si="72"/>
        <v>330403.25999999989</v>
      </c>
    </row>
    <row r="55" spans="1:10" s="22" customFormat="1" outlineLevel="1" x14ac:dyDescent="0.25">
      <c r="A55" s="36">
        <v>2</v>
      </c>
      <c r="B55" s="37" t="s">
        <v>932</v>
      </c>
      <c r="C55" s="38" t="str">
        <f t="shared" ref="C55:C69" si="73">VLOOKUP(LEFT(B55,2)&amp;0,invCustomer,2)</f>
        <v>Hays</v>
      </c>
      <c r="D55" s="38" t="str">
        <f t="shared" ref="D55:D69" si="74">VLOOKUP(LEFT(B55,4)&amp;0,invProject,2)</f>
        <v>MLC</v>
      </c>
      <c r="E55" s="17">
        <v>4900</v>
      </c>
      <c r="F55" s="17"/>
      <c r="G55" s="19">
        <f t="shared" ref="G55:G69" si="75">ROUND(SUM(E55:F55)*0.1,2)</f>
        <v>490</v>
      </c>
      <c r="H55" s="39">
        <f t="shared" ref="H55:H69" si="76">SUM(E55:G55)</f>
        <v>5390</v>
      </c>
      <c r="I55" s="17"/>
      <c r="J55" s="40">
        <f t="shared" ref="J55:J69" si="77">SUM(H55:I55)</f>
        <v>5390</v>
      </c>
    </row>
    <row r="56" spans="1:10" s="22" customFormat="1" outlineLevel="1" x14ac:dyDescent="0.25">
      <c r="A56" s="14">
        <v>3</v>
      </c>
      <c r="B56" s="15" t="s">
        <v>895</v>
      </c>
      <c r="C56" s="16" t="str">
        <f t="shared" si="73"/>
        <v>M&amp;T Resources</v>
      </c>
      <c r="D56" s="16" t="str">
        <f t="shared" si="74"/>
        <v>Energy Queensland</v>
      </c>
      <c r="E56" s="18">
        <v>10000</v>
      </c>
      <c r="F56" s="18"/>
      <c r="G56" s="47">
        <f t="shared" si="75"/>
        <v>1000</v>
      </c>
      <c r="H56" s="20">
        <f t="shared" si="76"/>
        <v>11000</v>
      </c>
      <c r="I56" s="18"/>
      <c r="J56" s="21">
        <f t="shared" si="77"/>
        <v>11000</v>
      </c>
    </row>
    <row r="57" spans="1:10" s="22" customFormat="1" outlineLevel="1" x14ac:dyDescent="0.25">
      <c r="A57" s="14">
        <v>3</v>
      </c>
      <c r="B57" s="15" t="s">
        <v>924</v>
      </c>
      <c r="C57" s="16" t="str">
        <f t="shared" si="73"/>
        <v>M&amp;T Resources</v>
      </c>
      <c r="D57" s="16" t="str">
        <f t="shared" si="74"/>
        <v>Energy Queensland</v>
      </c>
      <c r="E57" s="18">
        <v>9000</v>
      </c>
      <c r="F57" s="18"/>
      <c r="G57" s="47">
        <f t="shared" si="75"/>
        <v>900</v>
      </c>
      <c r="H57" s="20">
        <f t="shared" si="76"/>
        <v>9900</v>
      </c>
      <c r="I57" s="18"/>
      <c r="J57" s="21">
        <f t="shared" si="77"/>
        <v>9900</v>
      </c>
    </row>
    <row r="58" spans="1:10" s="22" customFormat="1" outlineLevel="1" x14ac:dyDescent="0.25">
      <c r="A58" s="14">
        <v>4</v>
      </c>
      <c r="B58" s="15" t="s">
        <v>936</v>
      </c>
      <c r="C58" s="16" t="str">
        <f t="shared" si="73"/>
        <v>Hays</v>
      </c>
      <c r="D58" s="16" t="str">
        <f t="shared" si="74"/>
        <v>MLC</v>
      </c>
      <c r="E58" s="18">
        <v>4900</v>
      </c>
      <c r="F58" s="18"/>
      <c r="G58" s="47">
        <f t="shared" si="75"/>
        <v>490</v>
      </c>
      <c r="H58" s="20">
        <f t="shared" si="76"/>
        <v>5390</v>
      </c>
      <c r="I58" s="18"/>
      <c r="J58" s="21">
        <f t="shared" si="77"/>
        <v>5390</v>
      </c>
    </row>
    <row r="59" spans="1:10" s="22" customFormat="1" outlineLevel="1" x14ac:dyDescent="0.25">
      <c r="A59" s="14">
        <v>7</v>
      </c>
      <c r="B59" s="15" t="s">
        <v>933</v>
      </c>
      <c r="C59" s="16" t="str">
        <f t="shared" ref="C59:C67" si="78">VLOOKUP(LEFT(B59,2)&amp;0,invCustomer,2)</f>
        <v>Paxus</v>
      </c>
      <c r="D59" s="16" t="str">
        <f t="shared" ref="D59:D67" si="79">VLOOKUP(LEFT(B59,4)&amp;0,invProject,2)</f>
        <v>Energy Queensland</v>
      </c>
      <c r="E59" s="18">
        <v>4451.05</v>
      </c>
      <c r="F59" s="18"/>
      <c r="G59" s="47">
        <f t="shared" ref="G59:G67" si="80">ROUND(SUM(E59:F59)*0.1,2)</f>
        <v>445.11</v>
      </c>
      <c r="H59" s="20">
        <f t="shared" ref="H59:H67" si="81">SUM(E59:G59)</f>
        <v>4896.16</v>
      </c>
      <c r="I59" s="18"/>
      <c r="J59" s="21">
        <f t="shared" ref="J59:J67" si="82">SUM(H59:I59)</f>
        <v>4896.16</v>
      </c>
    </row>
    <row r="60" spans="1:10" s="22" customFormat="1" outlineLevel="1" x14ac:dyDescent="0.25">
      <c r="A60" s="14">
        <v>9</v>
      </c>
      <c r="B60" s="15" t="s">
        <v>934</v>
      </c>
      <c r="C60" s="16" t="str">
        <f t="shared" si="78"/>
        <v>Taggle Systems</v>
      </c>
      <c r="D60" s="16" t="str">
        <f t="shared" si="79"/>
        <v>Taggle</v>
      </c>
      <c r="E60" s="18">
        <v>11550</v>
      </c>
      <c r="F60" s="18"/>
      <c r="G60" s="47">
        <f t="shared" si="80"/>
        <v>1155</v>
      </c>
      <c r="H60" s="20">
        <f t="shared" si="81"/>
        <v>12705</v>
      </c>
      <c r="I60" s="18"/>
      <c r="J60" s="21">
        <f t="shared" si="82"/>
        <v>12705</v>
      </c>
    </row>
    <row r="61" spans="1:10" s="22" customFormat="1" outlineLevel="1" x14ac:dyDescent="0.25">
      <c r="A61" s="14">
        <v>11</v>
      </c>
      <c r="B61" s="15" t="s">
        <v>935</v>
      </c>
      <c r="C61" s="16" t="str">
        <f t="shared" ref="C61" si="83">VLOOKUP(LEFT(B61,2)&amp;0,invCustomer,2)</f>
        <v>Hays</v>
      </c>
      <c r="D61" s="16" t="str">
        <f t="shared" ref="D61" si="84">VLOOKUP(LEFT(B61,4)&amp;0,invProject,2)</f>
        <v>MLC</v>
      </c>
      <c r="E61" s="18">
        <v>3920</v>
      </c>
      <c r="F61" s="18"/>
      <c r="G61" s="47">
        <f t="shared" ref="G61" si="85">ROUND(SUM(E61:F61)*0.1,2)</f>
        <v>392</v>
      </c>
      <c r="H61" s="20">
        <f t="shared" ref="H61" si="86">SUM(E61:G61)</f>
        <v>4312</v>
      </c>
      <c r="I61" s="18"/>
      <c r="J61" s="21">
        <f t="shared" ref="J61" si="87">SUM(H61:I61)</f>
        <v>4312</v>
      </c>
    </row>
    <row r="62" spans="1:10" s="22" customFormat="1" outlineLevel="1" x14ac:dyDescent="0.25">
      <c r="A62" s="14">
        <v>14</v>
      </c>
      <c r="B62" s="15" t="s">
        <v>939</v>
      </c>
      <c r="C62" s="16" t="str">
        <f t="shared" si="78"/>
        <v>Paxus</v>
      </c>
      <c r="D62" s="16" t="str">
        <f t="shared" si="79"/>
        <v>Energy Queensland</v>
      </c>
      <c r="E62" s="18">
        <v>4451.05</v>
      </c>
      <c r="F62" s="18"/>
      <c r="G62" s="47">
        <f t="shared" si="80"/>
        <v>445.11</v>
      </c>
      <c r="H62" s="20">
        <f t="shared" si="81"/>
        <v>4896.16</v>
      </c>
      <c r="I62" s="18"/>
      <c r="J62" s="21">
        <f t="shared" si="82"/>
        <v>4896.16</v>
      </c>
    </row>
    <row r="63" spans="1:10" s="22" customFormat="1" outlineLevel="1" x14ac:dyDescent="0.25">
      <c r="A63" s="14"/>
      <c r="B63" s="15"/>
      <c r="C63" s="16" t="str">
        <f t="shared" si="78"/>
        <v xml:space="preserve"> </v>
      </c>
      <c r="D63" s="16" t="str">
        <f t="shared" si="79"/>
        <v xml:space="preserve"> </v>
      </c>
      <c r="E63" s="18"/>
      <c r="F63" s="18"/>
      <c r="G63" s="47">
        <f t="shared" si="80"/>
        <v>0</v>
      </c>
      <c r="H63" s="20">
        <f t="shared" si="81"/>
        <v>0</v>
      </c>
      <c r="I63" s="18"/>
      <c r="J63" s="21">
        <f t="shared" si="82"/>
        <v>0</v>
      </c>
    </row>
    <row r="64" spans="1:10" s="22" customFormat="1" outlineLevel="1" x14ac:dyDescent="0.25">
      <c r="A64" s="14"/>
      <c r="B64" s="15"/>
      <c r="C64" s="16" t="str">
        <f t="shared" si="78"/>
        <v xml:space="preserve"> </v>
      </c>
      <c r="D64" s="16" t="str">
        <f t="shared" si="79"/>
        <v xml:space="preserve"> </v>
      </c>
      <c r="E64" s="18"/>
      <c r="F64" s="18"/>
      <c r="G64" s="47">
        <f t="shared" si="80"/>
        <v>0</v>
      </c>
      <c r="H64" s="20">
        <f t="shared" si="81"/>
        <v>0</v>
      </c>
      <c r="I64" s="18"/>
      <c r="J64" s="21">
        <f t="shared" si="82"/>
        <v>0</v>
      </c>
    </row>
    <row r="65" spans="1:10" s="22" customFormat="1" outlineLevel="1" x14ac:dyDescent="0.25">
      <c r="A65" s="14"/>
      <c r="B65" s="15"/>
      <c r="C65" s="16" t="str">
        <f t="shared" ref="C65:C66" si="88">VLOOKUP(LEFT(B65,2)&amp;0,invCustomer,2)</f>
        <v xml:space="preserve"> </v>
      </c>
      <c r="D65" s="16" t="str">
        <f t="shared" ref="D65:D66" si="89">VLOOKUP(LEFT(B65,4)&amp;0,invProject,2)</f>
        <v xml:space="preserve"> </v>
      </c>
      <c r="E65" s="18"/>
      <c r="F65" s="18"/>
      <c r="G65" s="47">
        <f t="shared" ref="G65:G66" si="90">ROUND(SUM(E65:F65)*0.1,2)</f>
        <v>0</v>
      </c>
      <c r="H65" s="20">
        <f t="shared" ref="H65:H66" si="91">SUM(E65:G65)</f>
        <v>0</v>
      </c>
      <c r="I65" s="18"/>
      <c r="J65" s="21">
        <f t="shared" ref="J65:J66" si="92">SUM(H65:I65)</f>
        <v>0</v>
      </c>
    </row>
    <row r="66" spans="1:10" s="22" customFormat="1" outlineLevel="1" x14ac:dyDescent="0.25">
      <c r="A66" s="14"/>
      <c r="B66" s="15"/>
      <c r="C66" s="16" t="str">
        <f t="shared" si="88"/>
        <v xml:space="preserve"> </v>
      </c>
      <c r="D66" s="16" t="str">
        <f t="shared" si="89"/>
        <v xml:space="preserve"> </v>
      </c>
      <c r="E66" s="18"/>
      <c r="F66" s="18"/>
      <c r="G66" s="47">
        <f t="shared" si="90"/>
        <v>0</v>
      </c>
      <c r="H66" s="20">
        <f t="shared" si="91"/>
        <v>0</v>
      </c>
      <c r="I66" s="18"/>
      <c r="J66" s="21">
        <f t="shared" si="92"/>
        <v>0</v>
      </c>
    </row>
    <row r="67" spans="1:10" s="22" customFormat="1" outlineLevel="1" x14ac:dyDescent="0.25">
      <c r="A67" s="14"/>
      <c r="B67" s="15"/>
      <c r="C67" s="16" t="str">
        <f t="shared" si="78"/>
        <v xml:space="preserve"> </v>
      </c>
      <c r="D67" s="16" t="str">
        <f t="shared" si="79"/>
        <v xml:space="preserve"> </v>
      </c>
      <c r="E67" s="18"/>
      <c r="F67" s="18"/>
      <c r="G67" s="47">
        <f t="shared" si="80"/>
        <v>0</v>
      </c>
      <c r="H67" s="20">
        <f t="shared" si="81"/>
        <v>0</v>
      </c>
      <c r="I67" s="18"/>
      <c r="J67" s="21">
        <f t="shared" si="82"/>
        <v>0</v>
      </c>
    </row>
    <row r="68" spans="1:10" s="22" customFormat="1" outlineLevel="1" x14ac:dyDescent="0.25">
      <c r="A68" s="14"/>
      <c r="B68" s="15"/>
      <c r="C68" s="16" t="str">
        <f t="shared" si="73"/>
        <v xml:space="preserve"> </v>
      </c>
      <c r="D68" s="16" t="str">
        <f t="shared" si="74"/>
        <v xml:space="preserve"> </v>
      </c>
      <c r="E68" s="18"/>
      <c r="F68" s="18"/>
      <c r="G68" s="47">
        <f t="shared" si="75"/>
        <v>0</v>
      </c>
      <c r="H68" s="20">
        <f t="shared" si="76"/>
        <v>0</v>
      </c>
      <c r="I68" s="18"/>
      <c r="J68" s="21">
        <f t="shared" si="77"/>
        <v>0</v>
      </c>
    </row>
    <row r="69" spans="1:10" s="22" customFormat="1" outlineLevel="1" x14ac:dyDescent="0.25">
      <c r="A69" s="23"/>
      <c r="B69" s="24"/>
      <c r="C69" s="25" t="str">
        <f t="shared" si="73"/>
        <v xml:space="preserve"> </v>
      </c>
      <c r="D69" s="25" t="str">
        <f t="shared" si="74"/>
        <v xml:space="preserve"> </v>
      </c>
      <c r="E69" s="26"/>
      <c r="F69" s="26"/>
      <c r="G69" s="41">
        <f t="shared" si="75"/>
        <v>0</v>
      </c>
      <c r="H69" s="27">
        <f t="shared" si="76"/>
        <v>0</v>
      </c>
      <c r="I69" s="26"/>
      <c r="J69" s="28">
        <f t="shared" si="77"/>
        <v>0</v>
      </c>
    </row>
    <row r="70" spans="1:10" s="35" customFormat="1" x14ac:dyDescent="0.25">
      <c r="A70" s="31" t="s">
        <v>15</v>
      </c>
      <c r="B70" s="30"/>
      <c r="C70" s="31"/>
      <c r="D70" s="31"/>
      <c r="E70" s="32">
        <f t="shared" ref="E70:J70" si="93">SUBTOTAL(9,E55:E69)</f>
        <v>53172.100000000006</v>
      </c>
      <c r="F70" s="32">
        <f t="shared" si="93"/>
        <v>0</v>
      </c>
      <c r="G70" s="32">
        <f t="shared" si="93"/>
        <v>5317.22</v>
      </c>
      <c r="H70" s="33">
        <f t="shared" si="93"/>
        <v>58489.320000000007</v>
      </c>
      <c r="I70" s="32">
        <f t="shared" si="93"/>
        <v>0</v>
      </c>
      <c r="J70" s="34">
        <f t="shared" si="93"/>
        <v>58489.320000000007</v>
      </c>
    </row>
    <row r="71" spans="1:10" s="22" customFormat="1" hidden="1" outlineLevel="1" x14ac:dyDescent="0.25">
      <c r="A71" s="36"/>
      <c r="B71" s="37"/>
      <c r="C71" s="38" t="str">
        <f t="shared" ref="C71:C85" si="94">VLOOKUP(LEFT(B71,2)&amp;0,invCustomer,2)</f>
        <v xml:space="preserve"> </v>
      </c>
      <c r="D71" s="38" t="str">
        <f t="shared" ref="D71:D85" si="95">VLOOKUP(LEFT(B71,4)&amp;0,invProject,2)</f>
        <v xml:space="preserve"> </v>
      </c>
      <c r="E71" s="17"/>
      <c r="F71" s="17"/>
      <c r="G71" s="19">
        <f t="shared" ref="G71:G85" si="96">ROUND(SUM(E71:F71)*0.1,2)</f>
        <v>0</v>
      </c>
      <c r="H71" s="39">
        <f t="shared" ref="H71:H85" si="97">SUM(E71:G71)</f>
        <v>0</v>
      </c>
      <c r="I71" s="17"/>
      <c r="J71" s="40">
        <f t="shared" ref="J71:J85" si="98">SUM(H71:I71)</f>
        <v>0</v>
      </c>
    </row>
    <row r="72" spans="1:10" s="22" customFormat="1" hidden="1" outlineLevel="1" x14ac:dyDescent="0.25">
      <c r="A72" s="14"/>
      <c r="B72" s="15"/>
      <c r="C72" s="16" t="str">
        <f t="shared" si="94"/>
        <v xml:space="preserve"> </v>
      </c>
      <c r="D72" s="16" t="str">
        <f t="shared" si="95"/>
        <v xml:space="preserve"> </v>
      </c>
      <c r="E72" s="18"/>
      <c r="F72" s="18"/>
      <c r="G72" s="47">
        <f t="shared" si="96"/>
        <v>0</v>
      </c>
      <c r="H72" s="20">
        <f t="shared" si="97"/>
        <v>0</v>
      </c>
      <c r="I72" s="18"/>
      <c r="J72" s="21">
        <f t="shared" si="98"/>
        <v>0</v>
      </c>
    </row>
    <row r="73" spans="1:10" s="22" customFormat="1" hidden="1" outlineLevel="1" x14ac:dyDescent="0.25">
      <c r="A73" s="14"/>
      <c r="B73" s="15"/>
      <c r="C73" s="16" t="str">
        <f t="shared" si="94"/>
        <v xml:space="preserve"> </v>
      </c>
      <c r="D73" s="16" t="str">
        <f t="shared" si="95"/>
        <v xml:space="preserve"> </v>
      </c>
      <c r="E73" s="18"/>
      <c r="F73" s="18"/>
      <c r="G73" s="47">
        <f t="shared" si="96"/>
        <v>0</v>
      </c>
      <c r="H73" s="20">
        <f t="shared" si="97"/>
        <v>0</v>
      </c>
      <c r="I73" s="18"/>
      <c r="J73" s="21">
        <f t="shared" si="98"/>
        <v>0</v>
      </c>
    </row>
    <row r="74" spans="1:10" s="22" customFormat="1" hidden="1" outlineLevel="1" x14ac:dyDescent="0.25">
      <c r="A74" s="14"/>
      <c r="B74" s="15"/>
      <c r="C74" s="16" t="str">
        <f t="shared" si="94"/>
        <v xml:space="preserve"> </v>
      </c>
      <c r="D74" s="16" t="str">
        <f t="shared" si="95"/>
        <v xml:space="preserve"> </v>
      </c>
      <c r="E74" s="18"/>
      <c r="F74" s="18"/>
      <c r="G74" s="47">
        <f t="shared" si="96"/>
        <v>0</v>
      </c>
      <c r="H74" s="20">
        <f t="shared" si="97"/>
        <v>0</v>
      </c>
      <c r="I74" s="18"/>
      <c r="J74" s="21">
        <f t="shared" si="98"/>
        <v>0</v>
      </c>
    </row>
    <row r="75" spans="1:10" s="22" customFormat="1" hidden="1" outlineLevel="1" x14ac:dyDescent="0.25">
      <c r="A75" s="14"/>
      <c r="B75" s="15"/>
      <c r="C75" s="16" t="str">
        <f t="shared" ref="C75:C77" si="99">VLOOKUP(LEFT(B75,2)&amp;0,invCustomer,2)</f>
        <v xml:space="preserve"> </v>
      </c>
      <c r="D75" s="16" t="str">
        <f t="shared" ref="D75:D77" si="100">VLOOKUP(LEFT(B75,4)&amp;0,invProject,2)</f>
        <v xml:space="preserve"> </v>
      </c>
      <c r="E75" s="18"/>
      <c r="F75" s="18"/>
      <c r="G75" s="47">
        <f t="shared" ref="G75:G77" si="101">ROUND(SUM(E75:F75)*0.1,2)</f>
        <v>0</v>
      </c>
      <c r="H75" s="20">
        <f t="shared" ref="H75:H77" si="102">SUM(E75:G75)</f>
        <v>0</v>
      </c>
      <c r="I75" s="18"/>
      <c r="J75" s="21">
        <f t="shared" ref="J75:J77" si="103">SUM(H75:I75)</f>
        <v>0</v>
      </c>
    </row>
    <row r="76" spans="1:10" s="22" customFormat="1" hidden="1" outlineLevel="1" x14ac:dyDescent="0.25">
      <c r="A76" s="14"/>
      <c r="B76" s="15"/>
      <c r="C76" s="16" t="str">
        <f>VLOOKUP(LEFT(B76,2)&amp;0,invCustomer,2)</f>
        <v xml:space="preserve"> </v>
      </c>
      <c r="D76" s="16" t="str">
        <f>VLOOKUP(LEFT(B76,4)&amp;0,invProject,2)</f>
        <v xml:space="preserve"> </v>
      </c>
      <c r="E76" s="18"/>
      <c r="F76" s="18"/>
      <c r="G76" s="47">
        <f>ROUND(SUM(E76:F76)*0.1,2)</f>
        <v>0</v>
      </c>
      <c r="H76" s="20">
        <f>SUM(E76:G76)</f>
        <v>0</v>
      </c>
      <c r="I76" s="18"/>
      <c r="J76" s="21">
        <f>SUM(H76:I76)</f>
        <v>0</v>
      </c>
    </row>
    <row r="77" spans="1:10" s="22" customFormat="1" hidden="1" outlineLevel="1" x14ac:dyDescent="0.25">
      <c r="A77" s="14"/>
      <c r="B77" s="15"/>
      <c r="C77" s="16" t="str">
        <f t="shared" si="99"/>
        <v xml:space="preserve"> </v>
      </c>
      <c r="D77" s="16" t="str">
        <f t="shared" si="100"/>
        <v xml:space="preserve"> </v>
      </c>
      <c r="E77" s="18"/>
      <c r="F77" s="18"/>
      <c r="G77" s="47">
        <f t="shared" si="101"/>
        <v>0</v>
      </c>
      <c r="H77" s="20">
        <f t="shared" si="102"/>
        <v>0</v>
      </c>
      <c r="I77" s="18"/>
      <c r="J77" s="21">
        <f t="shared" si="103"/>
        <v>0</v>
      </c>
    </row>
    <row r="78" spans="1:10" s="22" customFormat="1" hidden="1" outlineLevel="1" x14ac:dyDescent="0.25">
      <c r="A78" s="14"/>
      <c r="B78" s="15"/>
      <c r="C78" s="16" t="str">
        <f t="shared" si="94"/>
        <v xml:space="preserve"> </v>
      </c>
      <c r="D78" s="16" t="str">
        <f t="shared" si="95"/>
        <v xml:space="preserve"> </v>
      </c>
      <c r="E78" s="18"/>
      <c r="F78" s="18"/>
      <c r="G78" s="47">
        <f t="shared" si="96"/>
        <v>0</v>
      </c>
      <c r="H78" s="20">
        <f t="shared" si="97"/>
        <v>0</v>
      </c>
      <c r="I78" s="18"/>
      <c r="J78" s="21">
        <f t="shared" si="98"/>
        <v>0</v>
      </c>
    </row>
    <row r="79" spans="1:10" s="22" customFormat="1" hidden="1" outlineLevel="1" x14ac:dyDescent="0.25">
      <c r="A79" s="14"/>
      <c r="B79" s="15"/>
      <c r="C79" s="16" t="str">
        <f t="shared" si="94"/>
        <v xml:space="preserve"> </v>
      </c>
      <c r="D79" s="16" t="str">
        <f t="shared" si="95"/>
        <v xml:space="preserve"> </v>
      </c>
      <c r="E79" s="18"/>
      <c r="F79" s="18"/>
      <c r="G79" s="47">
        <f t="shared" si="96"/>
        <v>0</v>
      </c>
      <c r="H79" s="20">
        <f t="shared" si="97"/>
        <v>0</v>
      </c>
      <c r="I79" s="18"/>
      <c r="J79" s="21">
        <f t="shared" si="98"/>
        <v>0</v>
      </c>
    </row>
    <row r="80" spans="1:10" s="22" customFormat="1" hidden="1" outlineLevel="1" x14ac:dyDescent="0.25">
      <c r="A80" s="14"/>
      <c r="B80" s="15"/>
      <c r="C80" s="16" t="str">
        <f t="shared" si="94"/>
        <v xml:space="preserve"> </v>
      </c>
      <c r="D80" s="16" t="str">
        <f t="shared" si="95"/>
        <v xml:space="preserve"> </v>
      </c>
      <c r="E80" s="18"/>
      <c r="F80" s="18"/>
      <c r="G80" s="47">
        <f t="shared" si="96"/>
        <v>0</v>
      </c>
      <c r="H80" s="20">
        <f t="shared" si="97"/>
        <v>0</v>
      </c>
      <c r="I80" s="18"/>
      <c r="J80" s="21">
        <f t="shared" si="98"/>
        <v>0</v>
      </c>
    </row>
    <row r="81" spans="1:10" s="22" customFormat="1" hidden="1" outlineLevel="1" x14ac:dyDescent="0.25">
      <c r="A81" s="14"/>
      <c r="B81" s="15"/>
      <c r="C81" s="16" t="str">
        <f t="shared" ref="C81:C83" si="104">VLOOKUP(LEFT(B81,2)&amp;0,invCustomer,2)</f>
        <v xml:space="preserve"> </v>
      </c>
      <c r="D81" s="16" t="str">
        <f t="shared" ref="D81:D83" si="105">VLOOKUP(LEFT(B81,4)&amp;0,invProject,2)</f>
        <v xml:space="preserve"> </v>
      </c>
      <c r="E81" s="18"/>
      <c r="F81" s="18"/>
      <c r="G81" s="47">
        <f t="shared" ref="G81:G83" si="106">ROUND(SUM(E81:F81)*0.1,2)</f>
        <v>0</v>
      </c>
      <c r="H81" s="20">
        <f t="shared" ref="H81:H83" si="107">SUM(E81:G81)</f>
        <v>0</v>
      </c>
      <c r="I81" s="18"/>
      <c r="J81" s="21">
        <f t="shared" ref="J81:J83" si="108">SUM(H81:I81)</f>
        <v>0</v>
      </c>
    </row>
    <row r="82" spans="1:10" s="22" customFormat="1" hidden="1" outlineLevel="1" x14ac:dyDescent="0.25">
      <c r="A82" s="14"/>
      <c r="B82" s="15"/>
      <c r="C82" s="16" t="str">
        <f t="shared" si="104"/>
        <v xml:space="preserve"> </v>
      </c>
      <c r="D82" s="16" t="str">
        <f t="shared" si="105"/>
        <v xml:space="preserve"> </v>
      </c>
      <c r="E82" s="18"/>
      <c r="F82" s="18"/>
      <c r="G82" s="47">
        <f t="shared" si="106"/>
        <v>0</v>
      </c>
      <c r="H82" s="20">
        <f t="shared" si="107"/>
        <v>0</v>
      </c>
      <c r="I82" s="18"/>
      <c r="J82" s="21">
        <f t="shared" si="108"/>
        <v>0</v>
      </c>
    </row>
    <row r="83" spans="1:10" s="22" customFormat="1" hidden="1" outlineLevel="1" x14ac:dyDescent="0.25">
      <c r="A83" s="14"/>
      <c r="B83" s="15"/>
      <c r="C83" s="16" t="str">
        <f t="shared" si="104"/>
        <v xml:space="preserve"> </v>
      </c>
      <c r="D83" s="16" t="str">
        <f t="shared" si="105"/>
        <v xml:space="preserve"> </v>
      </c>
      <c r="E83" s="18"/>
      <c r="F83" s="18"/>
      <c r="G83" s="47">
        <f t="shared" si="106"/>
        <v>0</v>
      </c>
      <c r="H83" s="20">
        <f t="shared" si="107"/>
        <v>0</v>
      </c>
      <c r="I83" s="18"/>
      <c r="J83" s="21">
        <f t="shared" si="108"/>
        <v>0</v>
      </c>
    </row>
    <row r="84" spans="1:10" s="22" customFormat="1" hidden="1" outlineLevel="1" x14ac:dyDescent="0.25">
      <c r="A84" s="14"/>
      <c r="B84" s="15"/>
      <c r="C84" s="16" t="str">
        <f t="shared" si="94"/>
        <v xml:space="preserve"> </v>
      </c>
      <c r="D84" s="16" t="str">
        <f t="shared" si="95"/>
        <v xml:space="preserve"> </v>
      </c>
      <c r="E84" s="18"/>
      <c r="F84" s="18"/>
      <c r="G84" s="47">
        <f t="shared" si="96"/>
        <v>0</v>
      </c>
      <c r="H84" s="20">
        <f t="shared" si="97"/>
        <v>0</v>
      </c>
      <c r="I84" s="18"/>
      <c r="J84" s="21">
        <f t="shared" si="98"/>
        <v>0</v>
      </c>
    </row>
    <row r="85" spans="1:10" hidden="1" outlineLevel="1" x14ac:dyDescent="0.25">
      <c r="A85" s="23"/>
      <c r="B85" s="24"/>
      <c r="C85" s="25" t="str">
        <f t="shared" si="94"/>
        <v xml:space="preserve"> </v>
      </c>
      <c r="D85" s="25" t="str">
        <f t="shared" si="95"/>
        <v xml:space="preserve"> </v>
      </c>
      <c r="E85" s="26"/>
      <c r="F85" s="26"/>
      <c r="G85" s="41">
        <f t="shared" si="96"/>
        <v>0</v>
      </c>
      <c r="H85" s="27">
        <f t="shared" si="97"/>
        <v>0</v>
      </c>
      <c r="I85" s="26"/>
      <c r="J85" s="28">
        <f t="shared" si="98"/>
        <v>0</v>
      </c>
    </row>
    <row r="86" spans="1:10" collapsed="1" x14ac:dyDescent="0.25">
      <c r="A86" s="31" t="s">
        <v>16</v>
      </c>
      <c r="B86" s="30"/>
      <c r="C86" s="31"/>
      <c r="D86" s="31"/>
      <c r="E86" s="32">
        <f t="shared" ref="E86:J86" si="109">SUBTOTAL(9,E71:E85)</f>
        <v>0</v>
      </c>
      <c r="F86" s="32">
        <f t="shared" si="109"/>
        <v>0</v>
      </c>
      <c r="G86" s="32">
        <f t="shared" si="109"/>
        <v>0</v>
      </c>
      <c r="H86" s="33">
        <f t="shared" si="109"/>
        <v>0</v>
      </c>
      <c r="I86" s="32">
        <f t="shared" si="109"/>
        <v>0</v>
      </c>
      <c r="J86" s="34">
        <f t="shared" si="109"/>
        <v>0</v>
      </c>
    </row>
    <row r="87" spans="1:10" s="35" customFormat="1" hidden="1" outlineLevel="1" x14ac:dyDescent="0.25">
      <c r="A87" s="36"/>
      <c r="B87" s="37"/>
      <c r="C87" s="38" t="str">
        <f t="shared" ref="C87:C98" si="110">VLOOKUP(LEFT(B87,2)&amp;0,invCustomer,2)</f>
        <v xml:space="preserve"> </v>
      </c>
      <c r="D87" s="38" t="str">
        <f t="shared" ref="D87:D98" si="111">VLOOKUP(LEFT(B87,4)&amp;0,invProject,2)</f>
        <v xml:space="preserve"> </v>
      </c>
      <c r="E87" s="17"/>
      <c r="F87" s="17"/>
      <c r="G87" s="19">
        <f t="shared" ref="G87:G98" si="112">ROUND(SUM(E87:F87)*0.1,2)</f>
        <v>0</v>
      </c>
      <c r="H87" s="39">
        <f t="shared" ref="H87:H98" si="113">SUM(E87:G87)</f>
        <v>0</v>
      </c>
      <c r="I87" s="17"/>
      <c r="J87" s="40">
        <f t="shared" ref="J87:J98" si="114">SUM(H87:I87)</f>
        <v>0</v>
      </c>
    </row>
    <row r="88" spans="1:10" s="22" customFormat="1" hidden="1" outlineLevel="1" x14ac:dyDescent="0.25">
      <c r="A88" s="14"/>
      <c r="B88" s="15"/>
      <c r="C88" s="16" t="str">
        <f t="shared" si="110"/>
        <v xml:space="preserve"> </v>
      </c>
      <c r="D88" s="16" t="str">
        <f t="shared" si="111"/>
        <v xml:space="preserve"> </v>
      </c>
      <c r="E88" s="18"/>
      <c r="F88" s="18"/>
      <c r="G88" s="18">
        <f t="shared" si="112"/>
        <v>0</v>
      </c>
      <c r="H88" s="20">
        <f t="shared" si="113"/>
        <v>0</v>
      </c>
      <c r="I88" s="18"/>
      <c r="J88" s="21">
        <f t="shared" si="114"/>
        <v>0</v>
      </c>
    </row>
    <row r="89" spans="1:10" s="22" customFormat="1" hidden="1" outlineLevel="1" x14ac:dyDescent="0.25">
      <c r="A89" s="14"/>
      <c r="B89" s="15"/>
      <c r="C89" s="16" t="str">
        <f t="shared" si="110"/>
        <v xml:space="preserve"> </v>
      </c>
      <c r="D89" s="16" t="str">
        <f t="shared" si="111"/>
        <v xml:space="preserve"> </v>
      </c>
      <c r="E89" s="18"/>
      <c r="F89" s="18"/>
      <c r="G89" s="18">
        <f t="shared" si="112"/>
        <v>0</v>
      </c>
      <c r="H89" s="20">
        <f t="shared" si="113"/>
        <v>0</v>
      </c>
      <c r="I89" s="18"/>
      <c r="J89" s="21">
        <f t="shared" si="114"/>
        <v>0</v>
      </c>
    </row>
    <row r="90" spans="1:10" s="22" customFormat="1" hidden="1" outlineLevel="1" x14ac:dyDescent="0.25">
      <c r="A90" s="14"/>
      <c r="B90" s="15"/>
      <c r="C90" s="16" t="str">
        <f t="shared" si="110"/>
        <v xml:space="preserve"> </v>
      </c>
      <c r="D90" s="16" t="str">
        <f t="shared" si="111"/>
        <v xml:space="preserve"> </v>
      </c>
      <c r="E90" s="18"/>
      <c r="F90" s="18"/>
      <c r="G90" s="18">
        <f t="shared" si="112"/>
        <v>0</v>
      </c>
      <c r="H90" s="20">
        <f t="shared" si="113"/>
        <v>0</v>
      </c>
      <c r="I90" s="18"/>
      <c r="J90" s="21">
        <f t="shared" si="114"/>
        <v>0</v>
      </c>
    </row>
    <row r="91" spans="1:10" s="22" customFormat="1" hidden="1" outlineLevel="1" x14ac:dyDescent="0.25">
      <c r="A91" s="14"/>
      <c r="B91" s="15"/>
      <c r="C91" s="16" t="str">
        <f t="shared" si="110"/>
        <v xml:space="preserve"> </v>
      </c>
      <c r="D91" s="16" t="str">
        <f t="shared" si="111"/>
        <v xml:space="preserve"> </v>
      </c>
      <c r="E91" s="18"/>
      <c r="F91" s="18"/>
      <c r="G91" s="18">
        <f t="shared" si="112"/>
        <v>0</v>
      </c>
      <c r="H91" s="20">
        <f t="shared" si="113"/>
        <v>0</v>
      </c>
      <c r="I91" s="18"/>
      <c r="J91" s="21">
        <f t="shared" si="114"/>
        <v>0</v>
      </c>
    </row>
    <row r="92" spans="1:10" s="22" customFormat="1" hidden="1" outlineLevel="1" x14ac:dyDescent="0.25">
      <c r="A92" s="14"/>
      <c r="B92" s="15"/>
      <c r="C92" s="16" t="str">
        <f t="shared" ref="C92:C93" si="115">VLOOKUP(LEFT(B92,2)&amp;0,invCustomer,2)</f>
        <v xml:space="preserve"> </v>
      </c>
      <c r="D92" s="16" t="str">
        <f t="shared" ref="D92:D93" si="116">VLOOKUP(LEFT(B92,4)&amp;0,invProject,2)</f>
        <v xml:space="preserve"> </v>
      </c>
      <c r="E92" s="18"/>
      <c r="F92" s="18"/>
      <c r="G92" s="18">
        <f t="shared" ref="G92:G93" si="117">ROUND(SUM(E92:F92)*0.1,2)</f>
        <v>0</v>
      </c>
      <c r="H92" s="20">
        <f t="shared" ref="H92:H93" si="118">SUM(E92:G92)</f>
        <v>0</v>
      </c>
      <c r="I92" s="18"/>
      <c r="J92" s="21">
        <f t="shared" ref="J92:J93" si="119">SUM(H92:I92)</f>
        <v>0</v>
      </c>
    </row>
    <row r="93" spans="1:10" s="22" customFormat="1" hidden="1" outlineLevel="1" x14ac:dyDescent="0.25">
      <c r="A93" s="14"/>
      <c r="B93" s="15"/>
      <c r="C93" s="16" t="str">
        <f t="shared" si="115"/>
        <v xml:space="preserve"> </v>
      </c>
      <c r="D93" s="16" t="str">
        <f t="shared" si="116"/>
        <v xml:space="preserve"> </v>
      </c>
      <c r="E93" s="18"/>
      <c r="F93" s="18"/>
      <c r="G93" s="18">
        <f t="shared" si="117"/>
        <v>0</v>
      </c>
      <c r="H93" s="20">
        <f t="shared" si="118"/>
        <v>0</v>
      </c>
      <c r="I93" s="18"/>
      <c r="J93" s="21">
        <f t="shared" si="119"/>
        <v>0</v>
      </c>
    </row>
    <row r="94" spans="1:10" s="22" customFormat="1" hidden="1" outlineLevel="1" x14ac:dyDescent="0.25">
      <c r="A94" s="14"/>
      <c r="B94" s="15"/>
      <c r="C94" s="16" t="str">
        <f t="shared" ref="C94:C95" si="120">VLOOKUP(LEFT(B94,2)&amp;0,invCustomer,2)</f>
        <v xml:space="preserve"> </v>
      </c>
      <c r="D94" s="16" t="str">
        <f t="shared" ref="D94:D95" si="121">VLOOKUP(LEFT(B94,4)&amp;0,invProject,2)</f>
        <v xml:space="preserve"> </v>
      </c>
      <c r="E94" s="18"/>
      <c r="F94" s="18"/>
      <c r="G94" s="18">
        <f t="shared" ref="G94:G95" si="122">ROUND(SUM(E94:F94)*0.1,2)</f>
        <v>0</v>
      </c>
      <c r="H94" s="20">
        <f t="shared" ref="H94:H95" si="123">SUM(E94:G94)</f>
        <v>0</v>
      </c>
      <c r="I94" s="18"/>
      <c r="J94" s="21">
        <f t="shared" ref="J94:J95" si="124">SUM(H94:I94)</f>
        <v>0</v>
      </c>
    </row>
    <row r="95" spans="1:10" s="22" customFormat="1" hidden="1" outlineLevel="1" x14ac:dyDescent="0.25">
      <c r="A95" s="14"/>
      <c r="B95" s="15"/>
      <c r="C95" s="16" t="str">
        <f t="shared" si="120"/>
        <v xml:space="preserve"> </v>
      </c>
      <c r="D95" s="16" t="str">
        <f t="shared" si="121"/>
        <v xml:space="preserve"> </v>
      </c>
      <c r="E95" s="18"/>
      <c r="F95" s="18"/>
      <c r="G95" s="18">
        <f t="shared" si="122"/>
        <v>0</v>
      </c>
      <c r="H95" s="20">
        <f t="shared" si="123"/>
        <v>0</v>
      </c>
      <c r="I95" s="18"/>
      <c r="J95" s="21">
        <f t="shared" si="124"/>
        <v>0</v>
      </c>
    </row>
    <row r="96" spans="1:10" s="22" customFormat="1" hidden="1" outlineLevel="1" x14ac:dyDescent="0.25">
      <c r="A96" s="14"/>
      <c r="B96" s="15"/>
      <c r="C96" s="16" t="str">
        <f t="shared" si="110"/>
        <v xml:space="preserve"> </v>
      </c>
      <c r="D96" s="16" t="str">
        <f t="shared" si="111"/>
        <v xml:space="preserve"> </v>
      </c>
      <c r="E96" s="18"/>
      <c r="F96" s="18"/>
      <c r="G96" s="18">
        <f t="shared" si="112"/>
        <v>0</v>
      </c>
      <c r="H96" s="20">
        <f t="shared" si="113"/>
        <v>0</v>
      </c>
      <c r="I96" s="18"/>
      <c r="J96" s="21">
        <f t="shared" si="114"/>
        <v>0</v>
      </c>
    </row>
    <row r="97" spans="1:10" s="22" customFormat="1" hidden="1" outlineLevel="1" x14ac:dyDescent="0.25">
      <c r="A97" s="14"/>
      <c r="B97" s="15"/>
      <c r="C97" s="16" t="str">
        <f t="shared" si="110"/>
        <v xml:space="preserve"> </v>
      </c>
      <c r="D97" s="16" t="str">
        <f t="shared" si="111"/>
        <v xml:space="preserve"> </v>
      </c>
      <c r="E97" s="18"/>
      <c r="F97" s="18"/>
      <c r="G97" s="18">
        <f t="shared" si="112"/>
        <v>0</v>
      </c>
      <c r="H97" s="20">
        <f t="shared" si="113"/>
        <v>0</v>
      </c>
      <c r="I97" s="18"/>
      <c r="J97" s="21">
        <f t="shared" si="114"/>
        <v>0</v>
      </c>
    </row>
    <row r="98" spans="1:10" hidden="1" outlineLevel="1" x14ac:dyDescent="0.25">
      <c r="A98" s="23"/>
      <c r="B98" s="24"/>
      <c r="C98" s="25" t="str">
        <f t="shared" si="110"/>
        <v xml:space="preserve"> </v>
      </c>
      <c r="D98" s="25" t="str">
        <f t="shared" si="111"/>
        <v xml:space="preserve"> </v>
      </c>
      <c r="E98" s="26"/>
      <c r="F98" s="26"/>
      <c r="G98" s="41">
        <f t="shared" si="112"/>
        <v>0</v>
      </c>
      <c r="H98" s="27">
        <f t="shared" si="113"/>
        <v>0</v>
      </c>
      <c r="I98" s="26"/>
      <c r="J98" s="28">
        <f t="shared" si="114"/>
        <v>0</v>
      </c>
    </row>
    <row r="99" spans="1:10" collapsed="1" x14ac:dyDescent="0.25">
      <c r="A99" s="31" t="s">
        <v>17</v>
      </c>
      <c r="B99" s="30"/>
      <c r="C99" s="31"/>
      <c r="D99" s="31"/>
      <c r="E99" s="32">
        <f t="shared" ref="E99:J99" si="125">SUBTOTAL(9,E87:E98)</f>
        <v>0</v>
      </c>
      <c r="F99" s="32">
        <f t="shared" si="125"/>
        <v>0</v>
      </c>
      <c r="G99" s="32">
        <f t="shared" si="125"/>
        <v>0</v>
      </c>
      <c r="H99" s="33">
        <f t="shared" si="125"/>
        <v>0</v>
      </c>
      <c r="I99" s="32">
        <f t="shared" si="125"/>
        <v>0</v>
      </c>
      <c r="J99" s="34">
        <f t="shared" si="125"/>
        <v>0</v>
      </c>
    </row>
    <row r="100" spans="1:10" s="35" customFormat="1" x14ac:dyDescent="0.25">
      <c r="A100" s="43"/>
      <c r="B100" s="44" t="s">
        <v>18</v>
      </c>
      <c r="C100" s="43"/>
      <c r="D100" s="43"/>
      <c r="E100" s="44">
        <f t="shared" ref="E100:J100" si="126">SUBTOTAL(9,E55:E99)</f>
        <v>53172.100000000006</v>
      </c>
      <c r="F100" s="44">
        <f t="shared" si="126"/>
        <v>0</v>
      </c>
      <c r="G100" s="44">
        <f t="shared" si="126"/>
        <v>5317.22</v>
      </c>
      <c r="H100" s="45">
        <f t="shared" si="126"/>
        <v>58489.320000000007</v>
      </c>
      <c r="I100" s="44">
        <f t="shared" si="126"/>
        <v>0</v>
      </c>
      <c r="J100" s="46">
        <f t="shared" si="126"/>
        <v>58489.320000000007</v>
      </c>
    </row>
    <row r="101" spans="1:10" s="35" customFormat="1" hidden="1" outlineLevel="1" x14ac:dyDescent="0.25">
      <c r="A101" s="14"/>
      <c r="B101" s="15"/>
      <c r="C101" s="38" t="str">
        <f t="shared" ref="C101:C113" si="127">VLOOKUP(LEFT(B101,2)&amp;0,invCustomer,2)</f>
        <v xml:space="preserve"> </v>
      </c>
      <c r="D101" s="38" t="str">
        <f t="shared" ref="D101:D113" si="128">VLOOKUP(LEFT(B101,4)&amp;0,invProject,2)</f>
        <v xml:space="preserve"> </v>
      </c>
      <c r="E101" s="17"/>
      <c r="F101" s="18"/>
      <c r="G101" s="19">
        <f t="shared" ref="G101:G113" si="129">ROUND(SUM(E101:F101)*0.1,2)</f>
        <v>0</v>
      </c>
      <c r="H101" s="39">
        <f t="shared" ref="H101:H113" si="130">SUM(E101:G101)</f>
        <v>0</v>
      </c>
      <c r="I101" s="18"/>
      <c r="J101" s="40">
        <f t="shared" ref="J101:J113" si="131">SUM(H101:I101)</f>
        <v>0</v>
      </c>
    </row>
    <row r="102" spans="1:10" hidden="1" outlineLevel="1" x14ac:dyDescent="0.25">
      <c r="A102" s="14"/>
      <c r="B102" s="15"/>
      <c r="C102" s="16" t="str">
        <f t="shared" si="127"/>
        <v xml:space="preserve"> </v>
      </c>
      <c r="D102" s="16" t="str">
        <f t="shared" si="128"/>
        <v xml:space="preserve"> </v>
      </c>
      <c r="E102" s="18"/>
      <c r="F102" s="18"/>
      <c r="G102" s="47">
        <f t="shared" si="129"/>
        <v>0</v>
      </c>
      <c r="H102" s="20">
        <f t="shared" si="130"/>
        <v>0</v>
      </c>
      <c r="I102" s="18"/>
      <c r="J102" s="21">
        <f t="shared" si="131"/>
        <v>0</v>
      </c>
    </row>
    <row r="103" spans="1:10" s="22" customFormat="1" hidden="1" outlineLevel="1" x14ac:dyDescent="0.25">
      <c r="A103" s="14"/>
      <c r="B103" s="15"/>
      <c r="C103" s="16" t="str">
        <f t="shared" si="127"/>
        <v xml:space="preserve"> </v>
      </c>
      <c r="D103" s="16" t="str">
        <f t="shared" si="128"/>
        <v xml:space="preserve"> </v>
      </c>
      <c r="E103" s="18"/>
      <c r="F103" s="18"/>
      <c r="G103" s="47">
        <f t="shared" si="129"/>
        <v>0</v>
      </c>
      <c r="H103" s="20">
        <f t="shared" si="130"/>
        <v>0</v>
      </c>
      <c r="I103" s="18"/>
      <c r="J103" s="21">
        <f t="shared" si="131"/>
        <v>0</v>
      </c>
    </row>
    <row r="104" spans="1:10" hidden="1" outlineLevel="1" x14ac:dyDescent="0.25">
      <c r="A104" s="14"/>
      <c r="B104" s="15"/>
      <c r="C104" s="16" t="str">
        <f t="shared" si="127"/>
        <v xml:space="preserve"> </v>
      </c>
      <c r="D104" s="16" t="str">
        <f t="shared" si="128"/>
        <v xml:space="preserve"> </v>
      </c>
      <c r="E104" s="18"/>
      <c r="F104" s="18"/>
      <c r="G104" s="47">
        <f t="shared" si="129"/>
        <v>0</v>
      </c>
      <c r="H104" s="20">
        <f t="shared" si="130"/>
        <v>0</v>
      </c>
      <c r="I104" s="18"/>
      <c r="J104" s="21">
        <f t="shared" si="131"/>
        <v>0</v>
      </c>
    </row>
    <row r="105" spans="1:10" s="22" customFormat="1" hidden="1" outlineLevel="1" x14ac:dyDescent="0.25">
      <c r="A105" s="14"/>
      <c r="B105" s="15"/>
      <c r="C105" s="16" t="str">
        <f t="shared" ref="C105:C106" si="132">VLOOKUP(LEFT(B105,2)&amp;0,invCustomer,2)</f>
        <v xml:space="preserve"> </v>
      </c>
      <c r="D105" s="16" t="str">
        <f t="shared" ref="D105:D106" si="133">VLOOKUP(LEFT(B105,4)&amp;0,invProject,2)</f>
        <v xml:space="preserve"> </v>
      </c>
      <c r="E105" s="18"/>
      <c r="F105" s="18"/>
      <c r="G105" s="47">
        <f t="shared" ref="G105:G106" si="134">ROUND(SUM(E105:F105)*0.1,2)</f>
        <v>0</v>
      </c>
      <c r="H105" s="20">
        <f t="shared" ref="H105:H106" si="135">SUM(E105:G105)</f>
        <v>0</v>
      </c>
      <c r="I105" s="18"/>
      <c r="J105" s="21">
        <f t="shared" ref="J105:J106" si="136">SUM(H105:I105)</f>
        <v>0</v>
      </c>
    </row>
    <row r="106" spans="1:10" hidden="1" outlineLevel="1" x14ac:dyDescent="0.25">
      <c r="A106" s="14"/>
      <c r="B106" s="15"/>
      <c r="C106" s="16" t="str">
        <f t="shared" si="132"/>
        <v xml:space="preserve"> </v>
      </c>
      <c r="D106" s="16" t="str">
        <f t="shared" si="133"/>
        <v xml:space="preserve"> </v>
      </c>
      <c r="E106" s="18"/>
      <c r="F106" s="18"/>
      <c r="G106" s="47">
        <f t="shared" si="134"/>
        <v>0</v>
      </c>
      <c r="H106" s="20">
        <f t="shared" si="135"/>
        <v>0</v>
      </c>
      <c r="I106" s="18"/>
      <c r="J106" s="21">
        <f t="shared" si="136"/>
        <v>0</v>
      </c>
    </row>
    <row r="107" spans="1:10" s="22" customFormat="1" hidden="1" outlineLevel="1" x14ac:dyDescent="0.25">
      <c r="A107" s="14"/>
      <c r="B107" s="15"/>
      <c r="C107" s="16" t="str">
        <f t="shared" ref="C107:C112" si="137">VLOOKUP(LEFT(B107,2)&amp;0,invCustomer,2)</f>
        <v xml:space="preserve"> </v>
      </c>
      <c r="D107" s="16" t="str">
        <f t="shared" ref="D107:D112" si="138">VLOOKUP(LEFT(B107,4)&amp;0,invProject,2)</f>
        <v xml:space="preserve"> </v>
      </c>
      <c r="E107" s="18"/>
      <c r="F107" s="18"/>
      <c r="G107" s="47">
        <f t="shared" ref="G107:G112" si="139">ROUND(SUM(E107:F107)*0.1,2)</f>
        <v>0</v>
      </c>
      <c r="H107" s="20">
        <f t="shared" ref="H107:H112" si="140">SUM(E107:G107)</f>
        <v>0</v>
      </c>
      <c r="I107" s="18"/>
      <c r="J107" s="21">
        <f t="shared" ref="J107:J112" si="141">SUM(H107:I107)</f>
        <v>0</v>
      </c>
    </row>
    <row r="108" spans="1:10" s="22" customFormat="1" hidden="1" outlineLevel="1" x14ac:dyDescent="0.25">
      <c r="A108" s="14"/>
      <c r="B108" s="15"/>
      <c r="C108" s="16" t="str">
        <f>VLOOKUP(LEFT(B108,2)&amp;0,invCustomer,2)</f>
        <v xml:space="preserve"> </v>
      </c>
      <c r="D108" s="16" t="str">
        <f>VLOOKUP(LEFT(B108,4)&amp;0,invProject,2)</f>
        <v xml:space="preserve"> </v>
      </c>
      <c r="E108" s="18"/>
      <c r="F108" s="18"/>
      <c r="G108" s="47">
        <f>ROUND(SUM(E108:F108)*0.1,2)</f>
        <v>0</v>
      </c>
      <c r="H108" s="20">
        <f>SUM(E108:G108)</f>
        <v>0</v>
      </c>
      <c r="I108" s="18"/>
      <c r="J108" s="21">
        <f>SUM(H108:I108)</f>
        <v>0</v>
      </c>
    </row>
    <row r="109" spans="1:10" hidden="1" outlineLevel="1" x14ac:dyDescent="0.25">
      <c r="A109" s="14"/>
      <c r="B109" s="15"/>
      <c r="C109" s="16" t="str">
        <f>VLOOKUP(LEFT(B109,2)&amp;0,invCustomer,2)</f>
        <v xml:space="preserve"> </v>
      </c>
      <c r="D109" s="16" t="str">
        <f>VLOOKUP(LEFT(B109,4)&amp;0,invProject,2)</f>
        <v xml:space="preserve"> </v>
      </c>
      <c r="E109" s="18"/>
      <c r="F109" s="18"/>
      <c r="G109" s="47">
        <f>ROUND(SUM(E109:F109)*0.1,2)</f>
        <v>0</v>
      </c>
      <c r="H109" s="20">
        <f>SUM(E109:G109)</f>
        <v>0</v>
      </c>
      <c r="I109" s="18"/>
      <c r="J109" s="21">
        <f>SUM(H109:I109)</f>
        <v>0</v>
      </c>
    </row>
    <row r="110" spans="1:10" hidden="1" outlineLevel="1" x14ac:dyDescent="0.25">
      <c r="A110" s="14"/>
      <c r="B110" s="15"/>
      <c r="C110" s="16" t="str">
        <f>VLOOKUP(LEFT(B110,2)&amp;0,invCustomer,2)</f>
        <v xml:space="preserve"> </v>
      </c>
      <c r="D110" s="16" t="str">
        <f>VLOOKUP(LEFT(B110,4)&amp;0,invProject,2)</f>
        <v xml:space="preserve"> </v>
      </c>
      <c r="E110" s="18"/>
      <c r="F110" s="18"/>
      <c r="G110" s="47">
        <f>ROUND(SUM(E110:F110)*0.1,2)</f>
        <v>0</v>
      </c>
      <c r="H110" s="20">
        <f>SUM(E110:G110)</f>
        <v>0</v>
      </c>
      <c r="I110" s="18"/>
      <c r="J110" s="21">
        <f>SUM(H110:I110)</f>
        <v>0</v>
      </c>
    </row>
    <row r="111" spans="1:10" hidden="1" outlineLevel="1" x14ac:dyDescent="0.25">
      <c r="A111" s="14"/>
      <c r="B111" s="15"/>
      <c r="C111" s="16" t="str">
        <f t="shared" si="137"/>
        <v xml:space="preserve"> </v>
      </c>
      <c r="D111" s="16" t="str">
        <f t="shared" si="138"/>
        <v xml:space="preserve"> </v>
      </c>
      <c r="E111" s="18"/>
      <c r="F111" s="18"/>
      <c r="G111" s="47">
        <f t="shared" si="139"/>
        <v>0</v>
      </c>
      <c r="H111" s="20">
        <f t="shared" si="140"/>
        <v>0</v>
      </c>
      <c r="I111" s="18"/>
      <c r="J111" s="21">
        <f t="shared" si="141"/>
        <v>0</v>
      </c>
    </row>
    <row r="112" spans="1:10" hidden="1" outlineLevel="1" x14ac:dyDescent="0.25">
      <c r="A112" s="14"/>
      <c r="B112" s="15"/>
      <c r="C112" s="16" t="str">
        <f t="shared" si="137"/>
        <v xml:space="preserve"> </v>
      </c>
      <c r="D112" s="16" t="str">
        <f t="shared" si="138"/>
        <v xml:space="preserve"> </v>
      </c>
      <c r="E112" s="18"/>
      <c r="F112" s="18"/>
      <c r="G112" s="47">
        <f t="shared" si="139"/>
        <v>0</v>
      </c>
      <c r="H112" s="20">
        <f t="shared" si="140"/>
        <v>0</v>
      </c>
      <c r="I112" s="18"/>
      <c r="J112" s="21">
        <f t="shared" si="141"/>
        <v>0</v>
      </c>
    </row>
    <row r="113" spans="1:10" hidden="1" outlineLevel="1" x14ac:dyDescent="0.25">
      <c r="A113" s="23"/>
      <c r="B113" s="24"/>
      <c r="C113" s="25" t="str">
        <f t="shared" si="127"/>
        <v xml:space="preserve"> </v>
      </c>
      <c r="D113" s="25" t="str">
        <f t="shared" si="128"/>
        <v xml:space="preserve"> </v>
      </c>
      <c r="E113" s="26"/>
      <c r="F113" s="26"/>
      <c r="G113" s="41">
        <f t="shared" si="129"/>
        <v>0</v>
      </c>
      <c r="H113" s="27">
        <f t="shared" si="130"/>
        <v>0</v>
      </c>
      <c r="I113" s="26"/>
      <c r="J113" s="28">
        <f t="shared" si="131"/>
        <v>0</v>
      </c>
    </row>
    <row r="114" spans="1:10" s="22" customFormat="1" collapsed="1" x14ac:dyDescent="0.25">
      <c r="A114" s="31" t="s">
        <v>19</v>
      </c>
      <c r="B114" s="30"/>
      <c r="C114" s="31"/>
      <c r="D114" s="31"/>
      <c r="E114" s="32">
        <f t="shared" ref="E114:J114" si="142">SUBTOTAL(9,E101:E113)</f>
        <v>0</v>
      </c>
      <c r="F114" s="32">
        <f t="shared" si="142"/>
        <v>0</v>
      </c>
      <c r="G114" s="32">
        <f t="shared" si="142"/>
        <v>0</v>
      </c>
      <c r="H114" s="48">
        <f t="shared" si="142"/>
        <v>0</v>
      </c>
      <c r="I114" s="32">
        <f t="shared" si="142"/>
        <v>0</v>
      </c>
      <c r="J114" s="49">
        <f t="shared" si="142"/>
        <v>0</v>
      </c>
    </row>
    <row r="115" spans="1:10" s="22" customFormat="1" hidden="1" outlineLevel="1" x14ac:dyDescent="0.25">
      <c r="A115" s="36"/>
      <c r="B115" s="37"/>
      <c r="C115" s="38" t="str">
        <f t="shared" ref="C115:C124" si="143">VLOOKUP(LEFT(B115,2)&amp;0,invCustomer,2)</f>
        <v xml:space="preserve"> </v>
      </c>
      <c r="D115" s="38" t="str">
        <f t="shared" ref="D115:D124" si="144">VLOOKUP(LEFT(B115,4)&amp;0,invProject,2)</f>
        <v xml:space="preserve"> </v>
      </c>
      <c r="E115" s="17"/>
      <c r="F115" s="17"/>
      <c r="G115" s="19">
        <f t="shared" ref="G115:G124" si="145">ROUND(SUM(E115:F115)*0.1,2)</f>
        <v>0</v>
      </c>
      <c r="H115" s="39">
        <f t="shared" ref="H115:H124" si="146">SUM(E115:G115)</f>
        <v>0</v>
      </c>
      <c r="I115" s="17"/>
      <c r="J115" s="40">
        <f t="shared" ref="J115:J124" si="147">SUM(H115:I115)</f>
        <v>0</v>
      </c>
    </row>
    <row r="116" spans="1:10" s="22" customFormat="1" hidden="1" outlineLevel="1" x14ac:dyDescent="0.25">
      <c r="A116" s="14"/>
      <c r="B116" s="15"/>
      <c r="C116" s="16" t="str">
        <f t="shared" ref="C116:C119" si="148">VLOOKUP(LEFT(B116,2)&amp;0,invCustomer,2)</f>
        <v xml:space="preserve"> </v>
      </c>
      <c r="D116" s="16" t="str">
        <f t="shared" ref="D116:D119" si="149">VLOOKUP(LEFT(B116,4)&amp;0,invProject,2)</f>
        <v xml:space="preserve"> </v>
      </c>
      <c r="E116" s="50"/>
      <c r="F116" s="18"/>
      <c r="G116" s="18">
        <f t="shared" ref="G116:G119" si="150">ROUND(SUM(E116:F116)*0.1,2)</f>
        <v>0</v>
      </c>
      <c r="H116" s="20">
        <f t="shared" ref="H116:H119" si="151">SUM(E116:G116)</f>
        <v>0</v>
      </c>
      <c r="I116" s="47"/>
      <c r="J116" s="21">
        <f t="shared" ref="J116:J119" si="152">SUM(H116:I116)</f>
        <v>0</v>
      </c>
    </row>
    <row r="117" spans="1:10" hidden="1" outlineLevel="1" x14ac:dyDescent="0.25">
      <c r="A117" s="14"/>
      <c r="B117" s="15"/>
      <c r="C117" s="16" t="str">
        <f t="shared" si="148"/>
        <v xml:space="preserve"> </v>
      </c>
      <c r="D117" s="16" t="str">
        <f t="shared" si="149"/>
        <v xml:space="preserve"> </v>
      </c>
      <c r="E117" s="18"/>
      <c r="F117" s="18"/>
      <c r="G117" s="18">
        <f t="shared" si="150"/>
        <v>0</v>
      </c>
      <c r="H117" s="20">
        <f t="shared" si="151"/>
        <v>0</v>
      </c>
      <c r="I117" s="47"/>
      <c r="J117" s="21">
        <f t="shared" si="152"/>
        <v>0</v>
      </c>
    </row>
    <row r="118" spans="1:10" hidden="1" outlineLevel="1" x14ac:dyDescent="0.25">
      <c r="A118" s="14"/>
      <c r="B118" s="15"/>
      <c r="C118" s="16" t="str">
        <f t="shared" si="148"/>
        <v xml:space="preserve"> </v>
      </c>
      <c r="D118" s="16" t="str">
        <f t="shared" si="149"/>
        <v xml:space="preserve"> </v>
      </c>
      <c r="E118" s="18"/>
      <c r="F118" s="18"/>
      <c r="G118" s="18">
        <f t="shared" si="150"/>
        <v>0</v>
      </c>
      <c r="H118" s="20">
        <f t="shared" si="151"/>
        <v>0</v>
      </c>
      <c r="I118" s="47"/>
      <c r="J118" s="21">
        <f t="shared" si="152"/>
        <v>0</v>
      </c>
    </row>
    <row r="119" spans="1:10" hidden="1" outlineLevel="1" x14ac:dyDescent="0.25">
      <c r="A119" s="14"/>
      <c r="B119" s="15"/>
      <c r="C119" s="16" t="str">
        <f t="shared" si="148"/>
        <v xml:space="preserve"> </v>
      </c>
      <c r="D119" s="16" t="str">
        <f t="shared" si="149"/>
        <v xml:space="preserve"> </v>
      </c>
      <c r="E119" s="18"/>
      <c r="F119" s="18"/>
      <c r="G119" s="18">
        <f t="shared" si="150"/>
        <v>0</v>
      </c>
      <c r="H119" s="20">
        <f t="shared" si="151"/>
        <v>0</v>
      </c>
      <c r="I119" s="47"/>
      <c r="J119" s="21">
        <f t="shared" si="152"/>
        <v>0</v>
      </c>
    </row>
    <row r="120" spans="1:10" s="22" customFormat="1" hidden="1" outlineLevel="1" x14ac:dyDescent="0.25">
      <c r="A120" s="14"/>
      <c r="B120" s="15"/>
      <c r="C120" s="16" t="str">
        <f t="shared" si="143"/>
        <v xml:space="preserve"> </v>
      </c>
      <c r="D120" s="16" t="str">
        <f t="shared" si="144"/>
        <v xml:space="preserve"> </v>
      </c>
      <c r="E120" s="50"/>
      <c r="F120" s="18"/>
      <c r="G120" s="18">
        <f t="shared" si="145"/>
        <v>0</v>
      </c>
      <c r="H120" s="20">
        <f t="shared" si="146"/>
        <v>0</v>
      </c>
      <c r="I120" s="47"/>
      <c r="J120" s="21">
        <f t="shared" si="147"/>
        <v>0</v>
      </c>
    </row>
    <row r="121" spans="1:10" hidden="1" outlineLevel="1" x14ac:dyDescent="0.25">
      <c r="A121" s="14"/>
      <c r="B121" s="15"/>
      <c r="C121" s="16" t="str">
        <f t="shared" si="143"/>
        <v xml:space="preserve"> </v>
      </c>
      <c r="D121" s="16" t="str">
        <f t="shared" si="144"/>
        <v xml:space="preserve"> </v>
      </c>
      <c r="E121" s="18"/>
      <c r="F121" s="18"/>
      <c r="G121" s="18">
        <f t="shared" si="145"/>
        <v>0</v>
      </c>
      <c r="H121" s="20">
        <f t="shared" si="146"/>
        <v>0</v>
      </c>
      <c r="I121" s="47"/>
      <c r="J121" s="21">
        <f t="shared" si="147"/>
        <v>0</v>
      </c>
    </row>
    <row r="122" spans="1:10" hidden="1" outlineLevel="1" x14ac:dyDescent="0.25">
      <c r="A122" s="14"/>
      <c r="B122" s="15"/>
      <c r="C122" s="16" t="str">
        <f t="shared" si="143"/>
        <v xml:space="preserve"> </v>
      </c>
      <c r="D122" s="16" t="str">
        <f t="shared" si="144"/>
        <v xml:space="preserve"> </v>
      </c>
      <c r="E122" s="18"/>
      <c r="F122" s="18"/>
      <c r="G122" s="18">
        <f t="shared" si="145"/>
        <v>0</v>
      </c>
      <c r="H122" s="20">
        <f t="shared" si="146"/>
        <v>0</v>
      </c>
      <c r="I122" s="47"/>
      <c r="J122" s="21">
        <f t="shared" si="147"/>
        <v>0</v>
      </c>
    </row>
    <row r="123" spans="1:10" hidden="1" outlineLevel="1" x14ac:dyDescent="0.25">
      <c r="A123" s="14"/>
      <c r="B123" s="15"/>
      <c r="C123" s="16" t="str">
        <f t="shared" ref="C123" si="153">VLOOKUP(LEFT(B123,2)&amp;0,invCustomer,2)</f>
        <v xml:space="preserve"> </v>
      </c>
      <c r="D123" s="16" t="str">
        <f t="shared" ref="D123" si="154">VLOOKUP(LEFT(B123,4)&amp;0,invProject,2)</f>
        <v xml:space="preserve"> </v>
      </c>
      <c r="E123" s="18"/>
      <c r="F123" s="18"/>
      <c r="G123" s="18">
        <f t="shared" ref="G123" si="155">ROUND(SUM(E123:F123)*0.1,2)</f>
        <v>0</v>
      </c>
      <c r="H123" s="20">
        <f t="shared" ref="H123" si="156">SUM(E123:G123)</f>
        <v>0</v>
      </c>
      <c r="I123" s="47"/>
      <c r="J123" s="21">
        <f t="shared" ref="J123" si="157">SUM(H123:I123)</f>
        <v>0</v>
      </c>
    </row>
    <row r="124" spans="1:10" s="22" customFormat="1" hidden="1" outlineLevel="1" x14ac:dyDescent="0.25">
      <c r="A124" s="23"/>
      <c r="B124" s="24"/>
      <c r="C124" s="25" t="str">
        <f t="shared" si="143"/>
        <v xml:space="preserve"> </v>
      </c>
      <c r="D124" s="25" t="str">
        <f t="shared" si="144"/>
        <v xml:space="preserve"> </v>
      </c>
      <c r="E124" s="26"/>
      <c r="F124" s="26"/>
      <c r="G124" s="41">
        <f t="shared" si="145"/>
        <v>0</v>
      </c>
      <c r="H124" s="27">
        <f t="shared" si="146"/>
        <v>0</v>
      </c>
      <c r="I124" s="26"/>
      <c r="J124" s="28">
        <f t="shared" si="147"/>
        <v>0</v>
      </c>
    </row>
    <row r="125" spans="1:10" s="22" customFormat="1" collapsed="1" x14ac:dyDescent="0.25">
      <c r="A125" s="31" t="s">
        <v>20</v>
      </c>
      <c r="B125" s="30"/>
      <c r="C125" s="31"/>
      <c r="D125" s="31"/>
      <c r="E125" s="32">
        <f t="shared" ref="E125:J125" si="158">SUBTOTAL(9,E115:E124)</f>
        <v>0</v>
      </c>
      <c r="F125" s="32">
        <f t="shared" si="158"/>
        <v>0</v>
      </c>
      <c r="G125" s="32">
        <f t="shared" si="158"/>
        <v>0</v>
      </c>
      <c r="H125" s="33">
        <f t="shared" si="158"/>
        <v>0</v>
      </c>
      <c r="I125" s="32">
        <f t="shared" si="158"/>
        <v>0</v>
      </c>
      <c r="J125" s="34">
        <f t="shared" si="158"/>
        <v>0</v>
      </c>
    </row>
    <row r="126" spans="1:10" hidden="1" outlineLevel="1" x14ac:dyDescent="0.25">
      <c r="A126" s="36"/>
      <c r="B126" s="37"/>
      <c r="C126" s="38" t="str">
        <f>VLOOKUP(LEFT(B126,2)&amp;0,invCustomer,2)</f>
        <v xml:space="preserve"> </v>
      </c>
      <c r="D126" s="38" t="str">
        <f>VLOOKUP(LEFT(B126,4)&amp;0,invProject,2)</f>
        <v xml:space="preserve"> </v>
      </c>
      <c r="E126" s="17"/>
      <c r="F126" s="17"/>
      <c r="G126" s="19">
        <f>ROUND(SUM(E126:F126)*0.1,2)</f>
        <v>0</v>
      </c>
      <c r="H126" s="39">
        <f>SUM(E126:G126)</f>
        <v>0</v>
      </c>
      <c r="I126" s="17"/>
      <c r="J126" s="40">
        <f>SUM(H126:I126)</f>
        <v>0</v>
      </c>
    </row>
    <row r="127" spans="1:10" hidden="1" outlineLevel="1" x14ac:dyDescent="0.25">
      <c r="A127" s="14"/>
      <c r="B127" s="15"/>
      <c r="C127" s="16" t="str">
        <f>VLOOKUP(LEFT(B127,2)&amp;0,invCustomer,2)</f>
        <v xml:space="preserve"> </v>
      </c>
      <c r="D127" s="16" t="str">
        <f>VLOOKUP(LEFT(B127,4)&amp;0,invProject,2)</f>
        <v xml:space="preserve"> </v>
      </c>
      <c r="E127" s="18"/>
      <c r="F127" s="18"/>
      <c r="G127" s="47">
        <f>ROUND(SUM(E127:F127)*0.1,2)</f>
        <v>0</v>
      </c>
      <c r="H127" s="20">
        <f>SUM(E127:G127)</f>
        <v>0</v>
      </c>
      <c r="I127" s="18"/>
      <c r="J127" s="21">
        <f>SUM(H127:I127)</f>
        <v>0</v>
      </c>
    </row>
    <row r="128" spans="1:10" hidden="1" outlineLevel="1" x14ac:dyDescent="0.25">
      <c r="A128" s="14"/>
      <c r="B128" s="15"/>
      <c r="C128" s="16" t="str">
        <f>VLOOKUP(LEFT(B128,2)&amp;0,invCustomer,2)</f>
        <v xml:space="preserve"> </v>
      </c>
      <c r="D128" s="16" t="str">
        <f>VLOOKUP(LEFT(B128,4)&amp;0,invProject,2)</f>
        <v xml:space="preserve"> </v>
      </c>
      <c r="E128" s="18"/>
      <c r="F128" s="18"/>
      <c r="G128" s="47">
        <f>ROUND(SUM(E128:F128)*0.1,2)</f>
        <v>0</v>
      </c>
      <c r="H128" s="20">
        <f>SUM(E128:G128)</f>
        <v>0</v>
      </c>
      <c r="I128" s="18"/>
      <c r="J128" s="21">
        <f>SUM(H128:I128)</f>
        <v>0</v>
      </c>
    </row>
    <row r="129" spans="1:10" s="22" customFormat="1" hidden="1" outlineLevel="1" x14ac:dyDescent="0.25">
      <c r="A129" s="14"/>
      <c r="B129" s="15"/>
      <c r="C129" s="16" t="str">
        <f t="shared" ref="C129" si="159">VLOOKUP(LEFT(B129,2)&amp;0,invCustomer,2)</f>
        <v xml:space="preserve"> </v>
      </c>
      <c r="D129" s="16" t="str">
        <f t="shared" ref="D129" si="160">VLOOKUP(LEFT(B129,4)&amp;0,invProject,2)</f>
        <v xml:space="preserve"> </v>
      </c>
      <c r="E129" s="18"/>
      <c r="F129" s="18"/>
      <c r="G129" s="47">
        <f t="shared" ref="G129" si="161">ROUND(SUM(E129:F129)*0.1,2)</f>
        <v>0</v>
      </c>
      <c r="H129" s="20">
        <f t="shared" ref="H129" si="162">SUM(E129:G129)</f>
        <v>0</v>
      </c>
      <c r="I129" s="18"/>
      <c r="J129" s="21">
        <f t="shared" ref="J129" si="163">SUM(H129:I129)</f>
        <v>0</v>
      </c>
    </row>
    <row r="130" spans="1:10" hidden="1" outlineLevel="1" x14ac:dyDescent="0.25">
      <c r="A130" s="14"/>
      <c r="B130" s="15"/>
      <c r="C130" s="16" t="str">
        <f>VLOOKUP(LEFT(B130,2)&amp;0,invCustomer,2)</f>
        <v xml:space="preserve"> </v>
      </c>
      <c r="D130" s="16" t="str">
        <f>VLOOKUP(LEFT(B130,4)&amp;0,invProject,2)</f>
        <v xml:space="preserve"> </v>
      </c>
      <c r="E130" s="18"/>
      <c r="F130" s="18"/>
      <c r="G130" s="47">
        <f>ROUND(SUM(E130:F130)*0.1,2)</f>
        <v>0</v>
      </c>
      <c r="H130" s="20">
        <f>SUM(E130:G130)</f>
        <v>0</v>
      </c>
      <c r="I130" s="18"/>
      <c r="J130" s="21">
        <f>SUM(H130:I130)</f>
        <v>0</v>
      </c>
    </row>
    <row r="131" spans="1:10" hidden="1" outlineLevel="1" x14ac:dyDescent="0.25">
      <c r="A131" s="14"/>
      <c r="B131" s="15"/>
      <c r="C131" s="16" t="str">
        <f>VLOOKUP(LEFT(B131,2)&amp;0,invCustomer,2)</f>
        <v xml:space="preserve"> </v>
      </c>
      <c r="D131" s="16" t="str">
        <f>VLOOKUP(LEFT(B131,4)&amp;0,invProject,2)</f>
        <v xml:space="preserve"> </v>
      </c>
      <c r="E131" s="18"/>
      <c r="F131" s="18"/>
      <c r="G131" s="47">
        <f>ROUND(SUM(E131:F131)*0.1,2)</f>
        <v>0</v>
      </c>
      <c r="H131" s="20">
        <f>SUM(E131:G131)</f>
        <v>0</v>
      </c>
      <c r="I131" s="18"/>
      <c r="J131" s="21">
        <f>SUM(H131:I131)</f>
        <v>0</v>
      </c>
    </row>
    <row r="132" spans="1:10" s="22" customFormat="1" hidden="1" outlineLevel="1" x14ac:dyDescent="0.25">
      <c r="A132" s="14"/>
      <c r="B132" s="15"/>
      <c r="C132" s="16" t="str">
        <f t="shared" ref="C132" si="164">VLOOKUP(LEFT(B132,2)&amp;0,invCustomer,2)</f>
        <v xml:space="preserve"> </v>
      </c>
      <c r="D132" s="16" t="str">
        <f t="shared" ref="D132" si="165">VLOOKUP(LEFT(B132,4)&amp;0,invProject,2)</f>
        <v xml:space="preserve"> </v>
      </c>
      <c r="E132" s="18"/>
      <c r="F132" s="18"/>
      <c r="G132" s="47">
        <f t="shared" ref="G132" si="166">ROUND(SUM(E132:F132)*0.1,2)</f>
        <v>0</v>
      </c>
      <c r="H132" s="20">
        <f t="shared" ref="H132" si="167">SUM(E132:G132)</f>
        <v>0</v>
      </c>
      <c r="I132" s="18"/>
      <c r="J132" s="21">
        <f t="shared" ref="J132" si="168">SUM(H132:I132)</f>
        <v>0</v>
      </c>
    </row>
    <row r="133" spans="1:10" hidden="1" outlineLevel="1" x14ac:dyDescent="0.25">
      <c r="A133" s="14"/>
      <c r="B133" s="15"/>
      <c r="C133" s="16" t="str">
        <f>VLOOKUP(LEFT(B133,2)&amp;0,invCustomer,2)</f>
        <v xml:space="preserve"> </v>
      </c>
      <c r="D133" s="16" t="str">
        <f>VLOOKUP(LEFT(B133,4)&amp;0,invProject,2)</f>
        <v xml:space="preserve"> </v>
      </c>
      <c r="E133" s="18"/>
      <c r="F133" s="18"/>
      <c r="G133" s="47">
        <f>ROUND(SUM(E133:F133)*0.1,2)</f>
        <v>0</v>
      </c>
      <c r="H133" s="20">
        <f>SUM(E133:G133)</f>
        <v>0</v>
      </c>
      <c r="I133" s="18"/>
      <c r="J133" s="21">
        <f>SUM(H133:I133)</f>
        <v>0</v>
      </c>
    </row>
    <row r="134" spans="1:10" s="22" customFormat="1" hidden="1" outlineLevel="1" x14ac:dyDescent="0.25">
      <c r="A134" s="14"/>
      <c r="B134" s="15"/>
      <c r="C134" s="16" t="str">
        <f t="shared" ref="C134" si="169">VLOOKUP(LEFT(B134,2)&amp;0,invCustomer,2)</f>
        <v xml:space="preserve"> </v>
      </c>
      <c r="D134" s="16" t="str">
        <f t="shared" ref="D134" si="170">VLOOKUP(LEFT(B134,4)&amp;0,invProject,2)</f>
        <v xml:space="preserve"> </v>
      </c>
      <c r="E134" s="18"/>
      <c r="F134" s="18"/>
      <c r="G134" s="47">
        <f t="shared" ref="G134" si="171">ROUND(SUM(E134:F134)*0.1,2)</f>
        <v>0</v>
      </c>
      <c r="H134" s="20">
        <f t="shared" ref="H134" si="172">SUM(E134:G134)</f>
        <v>0</v>
      </c>
      <c r="I134" s="18"/>
      <c r="J134" s="21">
        <f t="shared" ref="J134" si="173">SUM(H134:I134)</f>
        <v>0</v>
      </c>
    </row>
    <row r="135" spans="1:10" hidden="1" outlineLevel="1" x14ac:dyDescent="0.25">
      <c r="A135" s="14"/>
      <c r="B135" s="15"/>
      <c r="C135" s="16" t="str">
        <f>VLOOKUP(LEFT(B135,2)&amp;0,invCustomer,2)</f>
        <v xml:space="preserve"> </v>
      </c>
      <c r="D135" s="16" t="str">
        <f>VLOOKUP(LEFT(B135,4)&amp;0,invProject,2)</f>
        <v xml:space="preserve"> </v>
      </c>
      <c r="E135" s="18"/>
      <c r="F135" s="18"/>
      <c r="G135" s="47">
        <f>ROUND(SUM(E135:F135)*0.1,2)</f>
        <v>0</v>
      </c>
      <c r="H135" s="20">
        <f>SUM(E135:G135)</f>
        <v>0</v>
      </c>
      <c r="I135" s="18"/>
      <c r="J135" s="21">
        <f>SUM(H135:I135)</f>
        <v>0</v>
      </c>
    </row>
    <row r="136" spans="1:10" s="22" customFormat="1" hidden="1" outlineLevel="1" x14ac:dyDescent="0.25">
      <c r="A136" s="14"/>
      <c r="B136" s="15"/>
      <c r="C136" s="16" t="str">
        <f t="shared" ref="C136" si="174">VLOOKUP(LEFT(B136,2)&amp;0,invCustomer,2)</f>
        <v xml:space="preserve"> </v>
      </c>
      <c r="D136" s="16" t="str">
        <f t="shared" ref="D136" si="175">VLOOKUP(LEFT(B136,4)&amp;0,invProject,2)</f>
        <v xml:space="preserve"> </v>
      </c>
      <c r="E136" s="18"/>
      <c r="F136" s="18"/>
      <c r="G136" s="47">
        <f t="shared" ref="G136" si="176">ROUND(SUM(E136:F136)*0.1,2)</f>
        <v>0</v>
      </c>
      <c r="H136" s="20">
        <f t="shared" ref="H136" si="177">SUM(E136:G136)</f>
        <v>0</v>
      </c>
      <c r="I136" s="18"/>
      <c r="J136" s="21">
        <f t="shared" ref="J136" si="178">SUM(H136:I136)</f>
        <v>0</v>
      </c>
    </row>
    <row r="137" spans="1:10" hidden="1" outlineLevel="1" x14ac:dyDescent="0.25">
      <c r="A137" s="14"/>
      <c r="B137" s="15"/>
      <c r="C137" s="16" t="str">
        <f>VLOOKUP(LEFT(B137,2)&amp;0,invCustomer,2)</f>
        <v xml:space="preserve"> </v>
      </c>
      <c r="D137" s="16" t="str">
        <f>VLOOKUP(LEFT(B137,4)&amp;0,invProject,2)</f>
        <v xml:space="preserve"> </v>
      </c>
      <c r="E137" s="18"/>
      <c r="F137" s="18"/>
      <c r="G137" s="47">
        <f>ROUND(SUM(E137:F137)*0.1,2)</f>
        <v>0</v>
      </c>
      <c r="H137" s="20">
        <f>SUM(E137:G137)</f>
        <v>0</v>
      </c>
      <c r="I137" s="18"/>
      <c r="J137" s="21">
        <f>SUM(H137:I137)</f>
        <v>0</v>
      </c>
    </row>
    <row r="138" spans="1:10" s="22" customFormat="1" hidden="1" outlineLevel="1" x14ac:dyDescent="0.25">
      <c r="A138" s="14"/>
      <c r="B138" s="15"/>
      <c r="C138" s="16" t="str">
        <f t="shared" ref="C138" si="179">VLOOKUP(LEFT(B138,2)&amp;0,invCustomer,2)</f>
        <v xml:space="preserve"> </v>
      </c>
      <c r="D138" s="16" t="str">
        <f t="shared" ref="D138" si="180">VLOOKUP(LEFT(B138,4)&amp;0,invProject,2)</f>
        <v xml:space="preserve"> </v>
      </c>
      <c r="E138" s="18"/>
      <c r="F138" s="18"/>
      <c r="G138" s="47">
        <f t="shared" ref="G138" si="181">ROUND(SUM(E138:F138)*0.1,2)</f>
        <v>0</v>
      </c>
      <c r="H138" s="20">
        <f t="shared" ref="H138" si="182">SUM(E138:G138)</f>
        <v>0</v>
      </c>
      <c r="I138" s="18"/>
      <c r="J138" s="21">
        <f t="shared" ref="J138" si="183">SUM(H138:I138)</f>
        <v>0</v>
      </c>
    </row>
    <row r="139" spans="1:10" s="22" customFormat="1" hidden="1" outlineLevel="1" x14ac:dyDescent="0.25">
      <c r="A139" s="14"/>
      <c r="B139" s="15"/>
      <c r="C139" s="16" t="str">
        <f t="shared" ref="C139:C140" si="184">VLOOKUP(LEFT(B139,2)&amp;0,invCustomer,2)</f>
        <v xml:space="preserve"> </v>
      </c>
      <c r="D139" s="16" t="str">
        <f t="shared" ref="D139:D140" si="185">VLOOKUP(LEFT(B139,4)&amp;0,invProject,2)</f>
        <v xml:space="preserve"> </v>
      </c>
      <c r="E139" s="18"/>
      <c r="F139" s="18"/>
      <c r="G139" s="47">
        <f t="shared" ref="G139:G140" si="186">ROUND(SUM(E139:F139)*0.1,2)</f>
        <v>0</v>
      </c>
      <c r="H139" s="20">
        <f t="shared" ref="H139:H140" si="187">SUM(E139:G139)</f>
        <v>0</v>
      </c>
      <c r="I139" s="18"/>
      <c r="J139" s="21">
        <f t="shared" ref="J139:J140" si="188">SUM(H139:I139)</f>
        <v>0</v>
      </c>
    </row>
    <row r="140" spans="1:10" hidden="1" outlineLevel="1" x14ac:dyDescent="0.25">
      <c r="A140" s="23"/>
      <c r="B140" s="24"/>
      <c r="C140" s="25" t="str">
        <f t="shared" si="184"/>
        <v xml:space="preserve"> </v>
      </c>
      <c r="D140" s="25" t="str">
        <f t="shared" si="185"/>
        <v xml:space="preserve"> </v>
      </c>
      <c r="E140" s="26"/>
      <c r="F140" s="26"/>
      <c r="G140" s="41">
        <f t="shared" si="186"/>
        <v>0</v>
      </c>
      <c r="H140" s="27">
        <f t="shared" si="187"/>
        <v>0</v>
      </c>
      <c r="I140" s="26"/>
      <c r="J140" s="28">
        <f t="shared" si="188"/>
        <v>0</v>
      </c>
    </row>
    <row r="141" spans="1:10" collapsed="1" x14ac:dyDescent="0.25">
      <c r="A141" s="31" t="s">
        <v>21</v>
      </c>
      <c r="B141" s="30"/>
      <c r="C141" s="31"/>
      <c r="D141" s="31"/>
      <c r="E141" s="32">
        <f t="shared" ref="E141:J141" si="189">SUBTOTAL(9,E126:E140)</f>
        <v>0</v>
      </c>
      <c r="F141" s="32">
        <f t="shared" si="189"/>
        <v>0</v>
      </c>
      <c r="G141" s="32">
        <f t="shared" si="189"/>
        <v>0</v>
      </c>
      <c r="H141" s="42">
        <f t="shared" si="189"/>
        <v>0</v>
      </c>
      <c r="I141" s="51">
        <f t="shared" si="189"/>
        <v>0</v>
      </c>
      <c r="J141" s="52">
        <f t="shared" si="189"/>
        <v>0</v>
      </c>
    </row>
    <row r="142" spans="1:10" s="22" customFormat="1" x14ac:dyDescent="0.25">
      <c r="A142" s="43"/>
      <c r="B142" s="44" t="s">
        <v>22</v>
      </c>
      <c r="C142" s="43"/>
      <c r="D142" s="43"/>
      <c r="E142" s="44">
        <f t="shared" ref="E142:J142" si="190">SUBTOTAL(9,E101:E141)</f>
        <v>0</v>
      </c>
      <c r="F142" s="44">
        <f t="shared" si="190"/>
        <v>0</v>
      </c>
      <c r="G142" s="44">
        <f t="shared" si="190"/>
        <v>0</v>
      </c>
      <c r="H142" s="45">
        <f t="shared" si="190"/>
        <v>0</v>
      </c>
      <c r="I142" s="53">
        <f t="shared" si="190"/>
        <v>0</v>
      </c>
      <c r="J142" s="46">
        <f t="shared" si="190"/>
        <v>0</v>
      </c>
    </row>
    <row r="143" spans="1:10" s="35" customFormat="1" hidden="1" outlineLevel="1" x14ac:dyDescent="0.25">
      <c r="A143" s="36"/>
      <c r="B143" s="37"/>
      <c r="C143" s="38" t="str">
        <f t="shared" ref="C143:C154" si="191">VLOOKUP(LEFT(B143,2)&amp;0,invCustomer,2)</f>
        <v xml:space="preserve"> </v>
      </c>
      <c r="D143" s="38" t="str">
        <f t="shared" ref="D143:D154" si="192">VLOOKUP(LEFT(B143,4)&amp;0,invProject,2)</f>
        <v xml:space="preserve"> </v>
      </c>
      <c r="E143" s="17"/>
      <c r="F143" s="17"/>
      <c r="G143" s="19">
        <f t="shared" ref="G143:G154" si="193">ROUND(SUM(E143:F143)*0.1,2)</f>
        <v>0</v>
      </c>
      <c r="H143" s="39">
        <f t="shared" ref="H143:H154" si="194">SUM(E143:G143)</f>
        <v>0</v>
      </c>
      <c r="I143" s="17"/>
      <c r="J143" s="40">
        <f t="shared" ref="J143:J154" si="195">SUM(H143:I143)</f>
        <v>0</v>
      </c>
    </row>
    <row r="144" spans="1:10" s="35" customFormat="1" hidden="1" outlineLevel="1" x14ac:dyDescent="0.25">
      <c r="A144" s="14"/>
      <c r="B144" s="15"/>
      <c r="C144" s="16" t="str">
        <f t="shared" ref="C144" si="196">VLOOKUP(LEFT(B144,2)&amp;0,invCustomer,2)</f>
        <v xml:space="preserve"> </v>
      </c>
      <c r="D144" s="16" t="str">
        <f t="shared" ref="D144" si="197">VLOOKUP(LEFT(B144,4)&amp;0,invProject,2)</f>
        <v xml:space="preserve"> </v>
      </c>
      <c r="E144" s="18"/>
      <c r="F144" s="18"/>
      <c r="G144" s="47">
        <f t="shared" ref="G144" si="198">ROUND(SUM(E144:F144)*0.1,2)</f>
        <v>0</v>
      </c>
      <c r="H144" s="20">
        <f t="shared" ref="H144" si="199">SUM(E144:G144)</f>
        <v>0</v>
      </c>
      <c r="I144" s="18"/>
      <c r="J144" s="21">
        <f t="shared" ref="J144" si="200">SUM(H144:I144)</f>
        <v>0</v>
      </c>
    </row>
    <row r="145" spans="1:16384" s="22" customFormat="1" hidden="1" outlineLevel="1" x14ac:dyDescent="0.25">
      <c r="A145" s="14"/>
      <c r="B145" s="15"/>
      <c r="C145" s="16" t="str">
        <f>VLOOKUP(LEFT(B145,2)&amp;0,invCustomer,2)</f>
        <v xml:space="preserve"> </v>
      </c>
      <c r="D145" s="16" t="str">
        <f>VLOOKUP(LEFT(B145,4)&amp;0,invProject,2)</f>
        <v xml:space="preserve"> </v>
      </c>
      <c r="E145" s="18"/>
      <c r="F145" s="18"/>
      <c r="G145" s="47">
        <f>ROUND(SUM(E145:F145)*0.1,2)</f>
        <v>0</v>
      </c>
      <c r="H145" s="20">
        <f>SUM(E145:G145)</f>
        <v>0</v>
      </c>
      <c r="I145" s="18"/>
      <c r="J145" s="21">
        <f>SUM(H145:I145)</f>
        <v>0</v>
      </c>
      <c r="K145" s="318"/>
    </row>
    <row r="146" spans="1:16384" s="54" customFormat="1" hidden="1" outlineLevel="1" x14ac:dyDescent="0.25">
      <c r="A146" s="14"/>
      <c r="B146" s="15"/>
      <c r="C146" s="16" t="str">
        <f t="shared" ref="C146" si="201">VLOOKUP(LEFT(B146,2)&amp;0,invCustomer,2)</f>
        <v xml:space="preserve"> </v>
      </c>
      <c r="D146" s="16" t="str">
        <f t="shared" ref="D146" si="202">VLOOKUP(LEFT(B146,4)&amp;0,invProject,2)</f>
        <v xml:space="preserve"> </v>
      </c>
      <c r="E146" s="18"/>
      <c r="F146" s="18"/>
      <c r="G146" s="47">
        <f t="shared" ref="G146" si="203">ROUND(SUM(E146:F146)*0.1,2)</f>
        <v>0</v>
      </c>
      <c r="H146" s="20">
        <f t="shared" ref="H146" si="204">SUM(E146:G146)</f>
        <v>0</v>
      </c>
      <c r="I146" s="18"/>
      <c r="J146" s="21">
        <f t="shared" ref="J146" si="205">SUM(H146:I146)</f>
        <v>0</v>
      </c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  <c r="BD146" s="22"/>
      <c r="BE146" s="22"/>
      <c r="BF146" s="22"/>
      <c r="BG146" s="22"/>
      <c r="BH146" s="22"/>
      <c r="BI146" s="22"/>
      <c r="BJ146" s="22"/>
      <c r="BK146" s="22"/>
      <c r="BL146" s="22"/>
      <c r="BM146" s="22"/>
      <c r="BN146" s="22"/>
      <c r="BO146" s="22"/>
      <c r="BP146" s="22"/>
      <c r="BQ146" s="22"/>
      <c r="BR146" s="22"/>
      <c r="BS146" s="22"/>
      <c r="BT146" s="22"/>
      <c r="BU146" s="22"/>
      <c r="BV146" s="22"/>
      <c r="BW146" s="22"/>
      <c r="BX146" s="22"/>
      <c r="BY146" s="22"/>
      <c r="BZ146" s="22"/>
      <c r="CA146" s="22"/>
      <c r="CB146" s="22"/>
      <c r="CC146" s="22"/>
      <c r="CD146" s="22"/>
      <c r="CE146" s="22"/>
      <c r="CF146" s="22"/>
      <c r="CG146" s="22"/>
      <c r="CH146" s="22"/>
      <c r="CI146" s="22"/>
      <c r="CJ146" s="22"/>
      <c r="CK146" s="22"/>
      <c r="CL146" s="22"/>
      <c r="CM146" s="22"/>
      <c r="CN146" s="22"/>
      <c r="CO146" s="22"/>
      <c r="CP146" s="22"/>
      <c r="CQ146" s="22"/>
      <c r="CR146" s="22"/>
      <c r="CS146" s="22"/>
      <c r="CT146" s="22"/>
      <c r="CU146" s="22"/>
      <c r="CV146" s="22"/>
      <c r="CW146" s="22"/>
      <c r="CX146" s="22"/>
      <c r="CY146" s="22"/>
      <c r="CZ146" s="22"/>
      <c r="DA146" s="22"/>
      <c r="DB146" s="22"/>
      <c r="DC146" s="22"/>
      <c r="DD146" s="22"/>
      <c r="DE146" s="22"/>
      <c r="DF146" s="22"/>
      <c r="DG146" s="22"/>
      <c r="DH146" s="22"/>
      <c r="DI146" s="22"/>
      <c r="DJ146" s="22"/>
      <c r="DK146" s="22"/>
      <c r="DL146" s="22"/>
      <c r="DM146" s="22"/>
      <c r="DN146" s="22"/>
      <c r="DO146" s="22"/>
      <c r="DP146" s="22"/>
      <c r="DQ146" s="22"/>
      <c r="DR146" s="22"/>
      <c r="DS146" s="22"/>
      <c r="DT146" s="22"/>
      <c r="DU146" s="22"/>
      <c r="DV146" s="22"/>
      <c r="DW146" s="22"/>
      <c r="DX146" s="22"/>
      <c r="DY146" s="22"/>
      <c r="DZ146" s="22"/>
      <c r="EA146" s="22"/>
      <c r="EB146" s="22"/>
      <c r="EC146" s="22"/>
      <c r="ED146" s="22"/>
      <c r="EE146" s="22"/>
      <c r="EF146" s="22"/>
      <c r="EG146" s="22"/>
      <c r="EH146" s="22"/>
      <c r="EI146" s="22"/>
      <c r="EJ146" s="22"/>
      <c r="EK146" s="22"/>
      <c r="EL146" s="22"/>
      <c r="EM146" s="22"/>
      <c r="EN146" s="22"/>
      <c r="EO146" s="22"/>
      <c r="EP146" s="22"/>
      <c r="EQ146" s="22"/>
      <c r="ER146" s="22"/>
      <c r="ES146" s="22"/>
      <c r="ET146" s="22"/>
      <c r="EU146" s="22"/>
      <c r="EV146" s="22"/>
      <c r="EW146" s="22"/>
      <c r="EX146" s="22"/>
      <c r="EY146" s="22"/>
      <c r="EZ146" s="22"/>
      <c r="FA146" s="22"/>
      <c r="FB146" s="22"/>
      <c r="FC146" s="22"/>
      <c r="FD146" s="22"/>
      <c r="FE146" s="22"/>
      <c r="FF146" s="22"/>
      <c r="FG146" s="22"/>
      <c r="FH146" s="22"/>
      <c r="FI146" s="22"/>
      <c r="FJ146" s="22"/>
      <c r="FK146" s="22"/>
      <c r="FL146" s="22"/>
      <c r="FM146" s="22"/>
      <c r="FN146" s="22"/>
      <c r="FO146" s="22"/>
      <c r="FP146" s="22"/>
      <c r="FQ146" s="22"/>
      <c r="FR146" s="22"/>
      <c r="FS146" s="22"/>
      <c r="FT146" s="22"/>
      <c r="FU146" s="22"/>
      <c r="FV146" s="22"/>
      <c r="FW146" s="22"/>
      <c r="FX146" s="22"/>
      <c r="FY146" s="22"/>
      <c r="FZ146" s="22"/>
      <c r="GA146" s="22"/>
      <c r="GB146" s="22"/>
      <c r="GC146" s="22"/>
      <c r="GD146" s="22"/>
      <c r="GE146" s="22"/>
      <c r="GF146" s="22"/>
      <c r="GG146" s="22"/>
      <c r="GH146" s="22"/>
      <c r="GI146" s="22"/>
      <c r="GJ146" s="22"/>
      <c r="GK146" s="22"/>
      <c r="GL146" s="22"/>
      <c r="GM146" s="22"/>
      <c r="GN146" s="22"/>
      <c r="GO146" s="22"/>
      <c r="GP146" s="22"/>
      <c r="GQ146" s="22"/>
      <c r="GR146" s="22"/>
      <c r="GS146" s="22"/>
      <c r="GT146" s="22"/>
      <c r="GU146" s="22"/>
      <c r="GV146" s="22"/>
      <c r="GW146" s="22"/>
      <c r="GX146" s="22"/>
      <c r="GY146" s="22"/>
      <c r="GZ146" s="22"/>
      <c r="HA146" s="22"/>
      <c r="HB146" s="22"/>
      <c r="HC146" s="22"/>
      <c r="HD146" s="22"/>
      <c r="HE146" s="22"/>
      <c r="HF146" s="22"/>
      <c r="HG146" s="22"/>
      <c r="HH146" s="22"/>
      <c r="HI146" s="22"/>
      <c r="HJ146" s="22"/>
      <c r="HK146" s="22"/>
      <c r="HL146" s="22"/>
      <c r="HM146" s="22"/>
      <c r="HN146" s="22"/>
      <c r="HO146" s="22"/>
      <c r="HP146" s="22"/>
      <c r="HQ146" s="22"/>
      <c r="HR146" s="22"/>
      <c r="HS146" s="22"/>
      <c r="HT146" s="22"/>
      <c r="HU146" s="22"/>
      <c r="HV146" s="22"/>
      <c r="HW146" s="22"/>
      <c r="HX146" s="22"/>
      <c r="HY146" s="22"/>
      <c r="HZ146" s="22"/>
      <c r="IA146" s="22"/>
      <c r="IB146" s="22"/>
      <c r="IC146" s="22"/>
      <c r="ID146" s="22"/>
      <c r="IE146" s="22"/>
      <c r="IF146" s="22"/>
      <c r="IG146" s="22"/>
      <c r="IH146" s="22"/>
      <c r="II146" s="22"/>
      <c r="IJ146" s="22"/>
      <c r="IK146" s="22"/>
      <c r="IL146" s="22"/>
      <c r="IM146" s="22"/>
      <c r="IN146" s="22"/>
      <c r="IO146" s="22"/>
      <c r="IP146" s="22"/>
      <c r="IQ146" s="22"/>
      <c r="IR146" s="22"/>
      <c r="IS146" s="22"/>
      <c r="IT146" s="22"/>
      <c r="IU146" s="22"/>
      <c r="IV146" s="22"/>
      <c r="IW146" s="22"/>
      <c r="IX146" s="22"/>
      <c r="IY146" s="22"/>
      <c r="IZ146" s="22"/>
      <c r="JA146" s="22"/>
      <c r="JB146" s="22"/>
      <c r="JC146" s="22"/>
      <c r="JD146" s="22"/>
      <c r="JE146" s="22"/>
      <c r="JF146" s="22"/>
      <c r="JG146" s="22"/>
      <c r="JH146" s="22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2"/>
      <c r="LK146" s="22"/>
      <c r="LL146" s="22"/>
      <c r="LM146" s="22"/>
      <c r="LN146" s="22"/>
      <c r="LO146" s="22"/>
      <c r="LP146" s="22"/>
      <c r="LQ146" s="22"/>
      <c r="LR146" s="22"/>
      <c r="LS146" s="22"/>
      <c r="LT146" s="22"/>
      <c r="LU146" s="22"/>
      <c r="LV146" s="22"/>
      <c r="LW146" s="22"/>
      <c r="LX146" s="22"/>
      <c r="LY146" s="22"/>
      <c r="LZ146" s="22"/>
      <c r="MA146" s="22"/>
      <c r="MB146" s="22"/>
      <c r="MC146" s="22"/>
      <c r="MD146" s="22"/>
      <c r="ME146" s="22"/>
      <c r="MF146" s="22"/>
      <c r="MG146" s="22"/>
      <c r="MH146" s="22"/>
      <c r="MI146" s="22"/>
      <c r="MJ146" s="22"/>
      <c r="MK146" s="22"/>
      <c r="ML146" s="22"/>
      <c r="MM146" s="22"/>
      <c r="MN146" s="22"/>
      <c r="MO146" s="22"/>
      <c r="MP146" s="22"/>
      <c r="MQ146" s="22"/>
      <c r="MR146" s="22"/>
      <c r="MS146" s="22"/>
      <c r="MT146" s="22"/>
      <c r="MU146" s="22"/>
      <c r="MV146" s="22"/>
      <c r="MW146" s="22"/>
      <c r="MX146" s="22"/>
      <c r="MY146" s="22"/>
      <c r="MZ146" s="22"/>
      <c r="NA146" s="22"/>
      <c r="NB146" s="22"/>
      <c r="NC146" s="22"/>
      <c r="ND146" s="22"/>
      <c r="NE146" s="22"/>
      <c r="NF146" s="22"/>
      <c r="NG146" s="22"/>
      <c r="NH146" s="22"/>
      <c r="NI146" s="22"/>
      <c r="NJ146" s="22"/>
      <c r="NK146" s="22"/>
      <c r="NL146" s="22"/>
      <c r="NM146" s="22"/>
      <c r="NN146" s="22"/>
      <c r="NO146" s="22"/>
      <c r="NP146" s="22"/>
      <c r="NQ146" s="22"/>
      <c r="NR146" s="22"/>
      <c r="NS146" s="22"/>
      <c r="NT146" s="22"/>
      <c r="NU146" s="22"/>
      <c r="NV146" s="22"/>
      <c r="NW146" s="22"/>
      <c r="NX146" s="22"/>
      <c r="NY146" s="22"/>
      <c r="NZ146" s="22"/>
      <c r="OA146" s="22"/>
      <c r="OB146" s="22"/>
      <c r="OC146" s="22"/>
      <c r="OD146" s="22"/>
      <c r="OE146" s="22"/>
      <c r="OF146" s="22"/>
      <c r="OG146" s="22"/>
      <c r="OH146" s="22"/>
      <c r="OI146" s="22"/>
      <c r="OJ146" s="22"/>
      <c r="OK146" s="22"/>
      <c r="OL146" s="22"/>
      <c r="OM146" s="22"/>
      <c r="ON146" s="22"/>
      <c r="OO146" s="22"/>
      <c r="OP146" s="22"/>
      <c r="OQ146" s="22"/>
      <c r="OR146" s="22"/>
      <c r="OS146" s="22"/>
      <c r="OT146" s="22"/>
      <c r="OU146" s="22"/>
      <c r="OV146" s="22"/>
      <c r="OW146" s="22"/>
      <c r="OX146" s="22"/>
      <c r="OY146" s="22"/>
      <c r="OZ146" s="22"/>
      <c r="PA146" s="22"/>
      <c r="PB146" s="22"/>
      <c r="PC146" s="22"/>
      <c r="PD146" s="22"/>
      <c r="PE146" s="22"/>
      <c r="PF146" s="22"/>
      <c r="PG146" s="22"/>
      <c r="PH146" s="22"/>
      <c r="PI146" s="22"/>
      <c r="PJ146" s="22"/>
      <c r="PK146" s="22"/>
      <c r="PL146" s="22"/>
      <c r="PM146" s="22"/>
      <c r="PN146" s="22"/>
      <c r="PO146" s="22"/>
      <c r="PP146" s="22"/>
      <c r="PQ146" s="22"/>
      <c r="PR146" s="22"/>
      <c r="PS146" s="22"/>
      <c r="PT146" s="22"/>
      <c r="PU146" s="22"/>
      <c r="PV146" s="22"/>
      <c r="PW146" s="22"/>
      <c r="PX146" s="22"/>
      <c r="PY146" s="22"/>
      <c r="PZ146" s="22"/>
      <c r="QA146" s="22"/>
      <c r="QB146" s="22"/>
      <c r="QC146" s="22"/>
      <c r="QD146" s="22"/>
      <c r="QE146" s="22"/>
      <c r="QF146" s="22"/>
      <c r="QG146" s="22"/>
      <c r="QH146" s="22"/>
      <c r="QI146" s="22"/>
      <c r="QJ146" s="22"/>
      <c r="QK146" s="22"/>
      <c r="QL146" s="22"/>
      <c r="QM146" s="22"/>
      <c r="QN146" s="22"/>
      <c r="QO146" s="22"/>
      <c r="QP146" s="22"/>
      <c r="QQ146" s="22"/>
      <c r="QR146" s="22"/>
      <c r="QS146" s="22"/>
      <c r="QT146" s="22"/>
      <c r="QU146" s="22"/>
      <c r="QV146" s="22"/>
      <c r="QW146" s="22"/>
      <c r="QX146" s="22"/>
      <c r="QY146" s="22"/>
      <c r="QZ146" s="22"/>
      <c r="RA146" s="22"/>
      <c r="RB146" s="22"/>
      <c r="RC146" s="22"/>
      <c r="RD146" s="22"/>
      <c r="RE146" s="22"/>
      <c r="RF146" s="22"/>
      <c r="RG146" s="22"/>
      <c r="RH146" s="22"/>
      <c r="RI146" s="22"/>
      <c r="RJ146" s="22"/>
      <c r="RK146" s="22"/>
      <c r="RL146" s="22"/>
      <c r="RM146" s="22"/>
      <c r="RN146" s="22"/>
      <c r="RO146" s="22"/>
      <c r="RP146" s="22"/>
      <c r="RQ146" s="22"/>
      <c r="RR146" s="22"/>
      <c r="RS146" s="22"/>
      <c r="RT146" s="22"/>
      <c r="RU146" s="22"/>
      <c r="RV146" s="22"/>
      <c r="RW146" s="22"/>
      <c r="RX146" s="22"/>
      <c r="RY146" s="22"/>
      <c r="RZ146" s="22"/>
      <c r="SA146" s="22"/>
      <c r="SB146" s="22"/>
      <c r="SC146" s="22"/>
      <c r="SD146" s="22"/>
      <c r="SE146" s="22"/>
      <c r="SF146" s="22"/>
      <c r="SG146" s="22"/>
      <c r="SH146" s="22"/>
      <c r="SI146" s="22"/>
      <c r="SJ146" s="22"/>
      <c r="SK146" s="22"/>
      <c r="SL146" s="22"/>
      <c r="SM146" s="22"/>
      <c r="SN146" s="22"/>
      <c r="SO146" s="22"/>
      <c r="SP146" s="22"/>
      <c r="SQ146" s="22"/>
      <c r="SR146" s="22"/>
      <c r="SS146" s="22"/>
      <c r="ST146" s="22"/>
      <c r="SU146" s="22"/>
      <c r="SV146" s="22"/>
      <c r="SW146" s="22"/>
      <c r="SX146" s="22"/>
      <c r="SY146" s="22"/>
      <c r="SZ146" s="22"/>
      <c r="TA146" s="22"/>
      <c r="TB146" s="22"/>
      <c r="TC146" s="22"/>
      <c r="TD146" s="22"/>
      <c r="TE146" s="22"/>
      <c r="TF146" s="22"/>
      <c r="TG146" s="22"/>
      <c r="TH146" s="22"/>
      <c r="TI146" s="22"/>
      <c r="TJ146" s="22"/>
      <c r="TK146" s="22"/>
      <c r="TL146" s="22"/>
      <c r="TM146" s="22"/>
      <c r="TN146" s="22"/>
      <c r="TO146" s="22"/>
      <c r="TP146" s="22"/>
      <c r="TQ146" s="22"/>
      <c r="TR146" s="22"/>
      <c r="TS146" s="22"/>
      <c r="TT146" s="22"/>
      <c r="TU146" s="22"/>
      <c r="TV146" s="22"/>
      <c r="TW146" s="22"/>
      <c r="TX146" s="22"/>
      <c r="TY146" s="22"/>
      <c r="TZ146" s="22"/>
      <c r="UA146" s="22"/>
      <c r="UB146" s="22"/>
      <c r="UC146" s="22"/>
      <c r="UD146" s="22"/>
      <c r="UE146" s="22"/>
      <c r="UF146" s="22"/>
      <c r="UG146" s="22"/>
      <c r="UH146" s="22"/>
      <c r="UI146" s="22"/>
      <c r="UJ146" s="22"/>
      <c r="UK146" s="22"/>
      <c r="UL146" s="22"/>
      <c r="UM146" s="22"/>
      <c r="UN146" s="22"/>
      <c r="UO146" s="22"/>
      <c r="UP146" s="22"/>
      <c r="UQ146" s="22"/>
      <c r="UR146" s="22"/>
      <c r="US146" s="22"/>
      <c r="UT146" s="22"/>
      <c r="UU146" s="22"/>
      <c r="UV146" s="22"/>
      <c r="UW146" s="22"/>
      <c r="UX146" s="22"/>
      <c r="UY146" s="22"/>
      <c r="UZ146" s="22"/>
      <c r="VA146" s="22"/>
      <c r="VB146" s="22"/>
      <c r="VC146" s="22"/>
      <c r="VD146" s="22"/>
      <c r="VE146" s="22"/>
      <c r="VF146" s="22"/>
      <c r="VG146" s="22"/>
      <c r="VH146" s="22"/>
      <c r="VI146" s="22"/>
      <c r="VJ146" s="22"/>
      <c r="VK146" s="22"/>
      <c r="VL146" s="22"/>
      <c r="VM146" s="22"/>
      <c r="VN146" s="22"/>
      <c r="VO146" s="22"/>
      <c r="VP146" s="22"/>
      <c r="VQ146" s="22"/>
      <c r="VR146" s="22"/>
      <c r="VS146" s="22"/>
      <c r="VT146" s="22"/>
      <c r="VU146" s="22"/>
      <c r="VV146" s="22"/>
      <c r="VW146" s="22"/>
      <c r="VX146" s="22"/>
      <c r="VY146" s="22"/>
      <c r="VZ146" s="22"/>
      <c r="WA146" s="22"/>
      <c r="WB146" s="22"/>
      <c r="WC146" s="22"/>
      <c r="WD146" s="22"/>
      <c r="WE146" s="22"/>
      <c r="WF146" s="22"/>
      <c r="WG146" s="22"/>
      <c r="WH146" s="22"/>
      <c r="WI146" s="22"/>
      <c r="WJ146" s="22"/>
      <c r="WK146" s="22"/>
      <c r="WL146" s="22"/>
      <c r="WM146" s="22"/>
      <c r="WN146" s="22"/>
      <c r="WO146" s="22"/>
      <c r="WP146" s="22"/>
      <c r="WQ146" s="22"/>
      <c r="WR146" s="22"/>
      <c r="WS146" s="22"/>
      <c r="WT146" s="22"/>
      <c r="WU146" s="22"/>
      <c r="WV146" s="22"/>
      <c r="WW146" s="22"/>
      <c r="WX146" s="22"/>
      <c r="WY146" s="22"/>
      <c r="WZ146" s="22"/>
      <c r="XA146" s="22"/>
      <c r="XB146" s="22"/>
      <c r="XC146" s="22"/>
      <c r="XD146" s="22"/>
      <c r="XE146" s="22"/>
      <c r="XF146" s="22"/>
      <c r="XG146" s="22"/>
      <c r="XH146" s="22"/>
      <c r="XI146" s="22"/>
      <c r="XJ146" s="22"/>
      <c r="XK146" s="22"/>
      <c r="XL146" s="22"/>
      <c r="XM146" s="22"/>
      <c r="XN146" s="22"/>
      <c r="XO146" s="22"/>
      <c r="XP146" s="22"/>
      <c r="XQ146" s="22"/>
      <c r="XR146" s="22"/>
      <c r="XS146" s="22"/>
      <c r="XT146" s="22"/>
      <c r="XU146" s="22"/>
      <c r="XV146" s="22"/>
      <c r="XW146" s="22"/>
      <c r="XX146" s="22"/>
      <c r="XY146" s="22"/>
      <c r="XZ146" s="22"/>
      <c r="YA146" s="22"/>
      <c r="YB146" s="22"/>
      <c r="YC146" s="22"/>
      <c r="YD146" s="22"/>
      <c r="YE146" s="22"/>
      <c r="YF146" s="22"/>
      <c r="YG146" s="22"/>
      <c r="YH146" s="22"/>
      <c r="YI146" s="22"/>
      <c r="YJ146" s="22"/>
      <c r="YK146" s="22"/>
      <c r="YL146" s="22"/>
      <c r="YM146" s="22"/>
      <c r="YN146" s="22"/>
      <c r="YO146" s="22"/>
      <c r="YP146" s="22"/>
      <c r="YQ146" s="22"/>
      <c r="YR146" s="22"/>
      <c r="YS146" s="22"/>
      <c r="YT146" s="22"/>
      <c r="YU146" s="22"/>
      <c r="YV146" s="22"/>
      <c r="YW146" s="22"/>
      <c r="YX146" s="22"/>
      <c r="YY146" s="22"/>
      <c r="YZ146" s="22"/>
      <c r="ZA146" s="22"/>
      <c r="ZB146" s="22"/>
      <c r="ZC146" s="22"/>
      <c r="ZD146" s="22"/>
      <c r="ZE146" s="22"/>
      <c r="ZF146" s="22"/>
      <c r="ZG146" s="22"/>
      <c r="ZH146" s="22"/>
      <c r="ZI146" s="22"/>
      <c r="ZJ146" s="22"/>
      <c r="ZK146" s="22"/>
      <c r="ZL146" s="22"/>
      <c r="ZM146" s="22"/>
      <c r="ZN146" s="22"/>
      <c r="ZO146" s="22"/>
      <c r="ZP146" s="22"/>
      <c r="ZQ146" s="22"/>
      <c r="ZR146" s="22"/>
      <c r="ZS146" s="22"/>
      <c r="ZT146" s="22"/>
      <c r="ZU146" s="22"/>
      <c r="ZV146" s="22"/>
      <c r="ZW146" s="22"/>
      <c r="ZX146" s="22"/>
      <c r="ZY146" s="22"/>
      <c r="ZZ146" s="22"/>
      <c r="AAA146" s="22"/>
      <c r="AAB146" s="22"/>
      <c r="AAC146" s="22"/>
      <c r="AAD146" s="22"/>
      <c r="AAE146" s="22"/>
      <c r="AAF146" s="22"/>
      <c r="AAG146" s="22"/>
      <c r="AAH146" s="22"/>
      <c r="AAI146" s="22"/>
      <c r="AAJ146" s="22"/>
      <c r="AAK146" s="22"/>
      <c r="AAL146" s="22"/>
      <c r="AAM146" s="22"/>
      <c r="AAN146" s="22"/>
      <c r="AAO146" s="22"/>
      <c r="AAP146" s="22"/>
      <c r="AAQ146" s="22"/>
      <c r="AAR146" s="22"/>
      <c r="AAS146" s="22"/>
      <c r="AAT146" s="22"/>
      <c r="AAU146" s="22"/>
      <c r="AAV146" s="22"/>
      <c r="AAW146" s="22"/>
      <c r="AAX146" s="22"/>
      <c r="AAY146" s="22"/>
      <c r="AAZ146" s="22"/>
      <c r="ABA146" s="22"/>
      <c r="ABB146" s="22"/>
      <c r="ABC146" s="22"/>
      <c r="ABD146" s="22"/>
      <c r="ABE146" s="22"/>
      <c r="ABF146" s="22"/>
      <c r="ABG146" s="22"/>
      <c r="ABH146" s="22"/>
      <c r="ABI146" s="22"/>
      <c r="ABJ146" s="22"/>
      <c r="ABK146" s="22"/>
      <c r="ABL146" s="22"/>
      <c r="ABM146" s="22"/>
      <c r="ABN146" s="22"/>
      <c r="ABO146" s="22"/>
      <c r="ABP146" s="22"/>
      <c r="ABQ146" s="22"/>
      <c r="ABR146" s="22"/>
      <c r="ABS146" s="22"/>
      <c r="ABT146" s="22"/>
      <c r="ABU146" s="22"/>
      <c r="ABV146" s="22"/>
      <c r="ABW146" s="22"/>
      <c r="ABX146" s="22"/>
      <c r="ABY146" s="22"/>
      <c r="ABZ146" s="22"/>
      <c r="ACA146" s="22"/>
      <c r="ACB146" s="22"/>
      <c r="ACC146" s="22"/>
      <c r="ACD146" s="22"/>
      <c r="ACE146" s="22"/>
      <c r="ACF146" s="22"/>
      <c r="ACG146" s="22"/>
      <c r="ACH146" s="22"/>
      <c r="ACI146" s="22"/>
      <c r="ACJ146" s="22"/>
      <c r="ACK146" s="22"/>
      <c r="ACL146" s="22"/>
      <c r="ACM146" s="22"/>
      <c r="ACN146" s="22"/>
      <c r="ACO146" s="22"/>
      <c r="ACP146" s="22"/>
      <c r="ACQ146" s="22"/>
      <c r="ACR146" s="22"/>
      <c r="ACS146" s="22"/>
      <c r="ACT146" s="22"/>
      <c r="ACU146" s="22"/>
      <c r="ACV146" s="22"/>
      <c r="ACW146" s="22"/>
      <c r="ACX146" s="22"/>
      <c r="ACY146" s="22"/>
      <c r="ACZ146" s="22"/>
      <c r="ADA146" s="22"/>
      <c r="ADB146" s="22"/>
      <c r="ADC146" s="22"/>
      <c r="ADD146" s="22"/>
      <c r="ADE146" s="22"/>
      <c r="ADF146" s="22"/>
      <c r="ADG146" s="22"/>
      <c r="ADH146" s="22"/>
      <c r="ADI146" s="22"/>
      <c r="ADJ146" s="22"/>
      <c r="ADK146" s="22"/>
      <c r="ADL146" s="22"/>
      <c r="ADM146" s="22"/>
      <c r="ADN146" s="22"/>
      <c r="ADO146" s="22"/>
      <c r="ADP146" s="22"/>
      <c r="ADQ146" s="22"/>
      <c r="ADR146" s="22"/>
      <c r="ADS146" s="22"/>
      <c r="ADT146" s="22"/>
      <c r="ADU146" s="22"/>
      <c r="ADV146" s="22"/>
      <c r="ADW146" s="22"/>
      <c r="ADX146" s="22"/>
      <c r="ADY146" s="22"/>
      <c r="ADZ146" s="22"/>
      <c r="AEA146" s="22"/>
      <c r="AEB146" s="22"/>
      <c r="AEC146" s="22"/>
      <c r="AED146" s="22"/>
      <c r="AEE146" s="22"/>
      <c r="AEF146" s="22"/>
      <c r="AEG146" s="22"/>
      <c r="AEH146" s="22"/>
      <c r="AEI146" s="22"/>
      <c r="AEJ146" s="22"/>
      <c r="AEK146" s="22"/>
      <c r="AEL146" s="22"/>
      <c r="AEM146" s="22"/>
      <c r="AEN146" s="22"/>
      <c r="AEO146" s="22"/>
      <c r="AEP146" s="22"/>
      <c r="AEQ146" s="22"/>
      <c r="AER146" s="22"/>
      <c r="AES146" s="22"/>
      <c r="AET146" s="22"/>
      <c r="AEU146" s="22"/>
      <c r="AEV146" s="22"/>
      <c r="AEW146" s="22"/>
      <c r="AEX146" s="22"/>
      <c r="AEY146" s="22"/>
      <c r="AEZ146" s="22"/>
      <c r="AFA146" s="22"/>
      <c r="AFB146" s="22"/>
      <c r="AFC146" s="22"/>
      <c r="AFD146" s="22"/>
      <c r="AFE146" s="22"/>
      <c r="AFF146" s="22"/>
      <c r="AFG146" s="22"/>
      <c r="AFH146" s="22"/>
      <c r="AFI146" s="22"/>
      <c r="AFJ146" s="22"/>
      <c r="AFK146" s="22"/>
      <c r="AFL146" s="22"/>
      <c r="AFM146" s="22"/>
      <c r="AFN146" s="22"/>
      <c r="AFO146" s="22"/>
      <c r="AFP146" s="22"/>
      <c r="AFQ146" s="22"/>
      <c r="AFR146" s="22"/>
      <c r="AFS146" s="22"/>
      <c r="AFT146" s="22"/>
      <c r="AFU146" s="22"/>
      <c r="AFV146" s="22"/>
      <c r="AFW146" s="22"/>
      <c r="AFX146" s="22"/>
      <c r="AFY146" s="22"/>
      <c r="AFZ146" s="22"/>
      <c r="AGA146" s="22"/>
      <c r="AGB146" s="22"/>
      <c r="AGC146" s="22"/>
      <c r="AGD146" s="22"/>
      <c r="AGE146" s="22"/>
      <c r="AGF146" s="22"/>
      <c r="AGG146" s="22"/>
      <c r="AGH146" s="22"/>
      <c r="AGI146" s="22"/>
      <c r="AGJ146" s="22"/>
      <c r="AGK146" s="22"/>
      <c r="AGL146" s="22"/>
      <c r="AGM146" s="22"/>
      <c r="AGN146" s="22"/>
      <c r="AGO146" s="22"/>
      <c r="AGP146" s="22"/>
      <c r="AGQ146" s="22"/>
      <c r="AGR146" s="22"/>
      <c r="AGS146" s="22"/>
      <c r="AGT146" s="22"/>
      <c r="AGU146" s="22"/>
      <c r="AGV146" s="22"/>
      <c r="AGW146" s="22"/>
      <c r="AGX146" s="22"/>
      <c r="AGY146" s="22"/>
      <c r="AGZ146" s="22"/>
      <c r="AHA146" s="22"/>
      <c r="AHB146" s="22"/>
      <c r="AHC146" s="22"/>
      <c r="AHD146" s="22"/>
      <c r="AHE146" s="22"/>
      <c r="AHF146" s="22"/>
      <c r="AHG146" s="22"/>
      <c r="AHH146" s="22"/>
      <c r="AHI146" s="22"/>
      <c r="AHJ146" s="22"/>
      <c r="AHK146" s="22"/>
      <c r="AHL146" s="22"/>
      <c r="AHM146" s="22"/>
      <c r="AHN146" s="22"/>
      <c r="AHO146" s="22"/>
      <c r="AHP146" s="22"/>
      <c r="AHQ146" s="22"/>
      <c r="AHR146" s="22"/>
      <c r="AHS146" s="22"/>
      <c r="AHT146" s="22"/>
      <c r="AHU146" s="22"/>
      <c r="AHV146" s="22"/>
      <c r="AHW146" s="22"/>
      <c r="AHX146" s="22"/>
      <c r="AHY146" s="22"/>
      <c r="AHZ146" s="22"/>
      <c r="AIA146" s="22"/>
      <c r="AIB146" s="22"/>
      <c r="AIC146" s="22"/>
      <c r="AID146" s="22"/>
      <c r="AIE146" s="22"/>
      <c r="AIF146" s="22"/>
      <c r="AIG146" s="22"/>
      <c r="AIH146" s="22"/>
      <c r="AII146" s="22"/>
      <c r="AIJ146" s="22"/>
      <c r="AIK146" s="22"/>
      <c r="AIL146" s="22"/>
      <c r="AIM146" s="22"/>
      <c r="AIN146" s="22"/>
      <c r="AIO146" s="22"/>
      <c r="AIP146" s="22"/>
      <c r="AIQ146" s="22"/>
      <c r="AIR146" s="22"/>
      <c r="AIS146" s="22"/>
      <c r="AIT146" s="22"/>
      <c r="AIU146" s="22"/>
      <c r="AIV146" s="22"/>
      <c r="AIW146" s="22"/>
      <c r="AIX146" s="22"/>
      <c r="AIY146" s="22"/>
      <c r="AIZ146" s="22"/>
      <c r="AJA146" s="22"/>
      <c r="AJB146" s="22"/>
      <c r="AJC146" s="22"/>
      <c r="AJD146" s="22"/>
      <c r="AJE146" s="22"/>
      <c r="AJF146" s="22"/>
      <c r="AJG146" s="22"/>
      <c r="AJH146" s="22"/>
      <c r="AJI146" s="22"/>
      <c r="AJJ146" s="22"/>
      <c r="AJK146" s="22"/>
      <c r="AJL146" s="22"/>
      <c r="AJM146" s="22"/>
      <c r="AJN146" s="22"/>
      <c r="AJO146" s="22"/>
      <c r="AJP146" s="22"/>
      <c r="AJQ146" s="22"/>
      <c r="AJR146" s="22"/>
      <c r="AJS146" s="22"/>
      <c r="AJT146" s="22"/>
      <c r="AJU146" s="22"/>
      <c r="AJV146" s="22"/>
      <c r="AJW146" s="22"/>
      <c r="AJX146" s="22"/>
      <c r="AJY146" s="22"/>
      <c r="AJZ146" s="22"/>
      <c r="AKA146" s="22"/>
      <c r="AKB146" s="22"/>
      <c r="AKC146" s="22"/>
      <c r="AKD146" s="22"/>
      <c r="AKE146" s="22"/>
      <c r="AKF146" s="22"/>
      <c r="AKG146" s="22"/>
      <c r="AKH146" s="22"/>
      <c r="AKI146" s="22"/>
      <c r="AKJ146" s="22"/>
      <c r="AKK146" s="22"/>
      <c r="AKL146" s="22"/>
      <c r="AKM146" s="22"/>
      <c r="AKN146" s="22"/>
      <c r="AKO146" s="22"/>
      <c r="AKP146" s="22"/>
      <c r="AKQ146" s="22"/>
      <c r="AKR146" s="22"/>
      <c r="AKS146" s="22"/>
      <c r="AKT146" s="22"/>
      <c r="AKU146" s="22"/>
      <c r="AKV146" s="22"/>
      <c r="AKW146" s="22"/>
      <c r="AKX146" s="22"/>
      <c r="AKY146" s="22"/>
      <c r="AKZ146" s="22"/>
      <c r="ALA146" s="22"/>
      <c r="ALB146" s="22"/>
      <c r="ALC146" s="22"/>
      <c r="ALD146" s="22"/>
      <c r="ALE146" s="22"/>
      <c r="ALF146" s="22"/>
      <c r="ALG146" s="22"/>
      <c r="ALH146" s="22"/>
      <c r="ALI146" s="22"/>
      <c r="ALJ146" s="22"/>
      <c r="ALK146" s="22"/>
      <c r="ALL146" s="22"/>
      <c r="ALM146" s="22"/>
      <c r="ALN146" s="22"/>
      <c r="ALO146" s="22"/>
      <c r="ALP146" s="22"/>
      <c r="ALQ146" s="22"/>
      <c r="ALR146" s="22"/>
      <c r="ALS146" s="22"/>
      <c r="ALT146" s="22"/>
      <c r="ALU146" s="22"/>
      <c r="ALV146" s="22"/>
      <c r="ALW146" s="22"/>
      <c r="ALX146" s="22"/>
      <c r="ALY146" s="22"/>
      <c r="ALZ146" s="22"/>
      <c r="AMA146" s="22"/>
      <c r="AMB146" s="22"/>
      <c r="AMC146" s="22"/>
      <c r="AMD146" s="22"/>
      <c r="AME146" s="22"/>
      <c r="AMF146" s="22"/>
      <c r="AMG146" s="22"/>
      <c r="AMH146" s="22"/>
      <c r="AMI146" s="22"/>
      <c r="AMJ146" s="22"/>
      <c r="AMK146" s="22"/>
      <c r="AML146" s="22"/>
      <c r="AMM146" s="22"/>
      <c r="AMN146" s="22"/>
      <c r="AMO146" s="22"/>
      <c r="AMP146" s="22"/>
      <c r="AMQ146" s="22"/>
      <c r="AMR146" s="22"/>
      <c r="AMS146" s="22"/>
      <c r="AMT146" s="22"/>
      <c r="AMU146" s="22"/>
      <c r="AMV146" s="22"/>
      <c r="AMW146" s="22"/>
      <c r="AMX146" s="22"/>
      <c r="AMY146" s="22"/>
      <c r="AMZ146" s="22"/>
      <c r="ANA146" s="22"/>
      <c r="ANB146" s="22"/>
      <c r="ANC146" s="22"/>
      <c r="AND146" s="22"/>
      <c r="ANE146" s="22"/>
      <c r="ANF146" s="22"/>
      <c r="ANG146" s="22"/>
      <c r="ANH146" s="22"/>
      <c r="ANI146" s="22"/>
      <c r="ANJ146" s="22"/>
      <c r="ANK146" s="22"/>
      <c r="ANL146" s="22"/>
      <c r="ANM146" s="22"/>
      <c r="ANN146" s="22"/>
      <c r="ANO146" s="22"/>
      <c r="ANP146" s="22"/>
      <c r="ANQ146" s="22"/>
      <c r="ANR146" s="22"/>
      <c r="ANS146" s="22"/>
      <c r="ANT146" s="22"/>
      <c r="ANU146" s="22"/>
      <c r="ANV146" s="22"/>
      <c r="ANW146" s="22"/>
      <c r="ANX146" s="22"/>
      <c r="ANY146" s="22"/>
      <c r="ANZ146" s="22"/>
      <c r="AOA146" s="22"/>
      <c r="AOB146" s="22"/>
      <c r="AOC146" s="22"/>
      <c r="AOD146" s="22"/>
      <c r="AOE146" s="22"/>
      <c r="AOF146" s="22"/>
      <c r="AOG146" s="22"/>
      <c r="AOH146" s="22"/>
      <c r="AOI146" s="22"/>
      <c r="AOJ146" s="22"/>
      <c r="AOK146" s="22"/>
      <c r="AOL146" s="22"/>
      <c r="AOM146" s="22"/>
      <c r="AON146" s="22"/>
      <c r="AOO146" s="22"/>
      <c r="AOP146" s="22"/>
      <c r="AOQ146" s="22"/>
      <c r="AOR146" s="22"/>
      <c r="AOS146" s="22"/>
      <c r="AOT146" s="22"/>
      <c r="AOU146" s="22"/>
      <c r="AOV146" s="22"/>
      <c r="AOW146" s="22"/>
      <c r="AOX146" s="22"/>
      <c r="AOY146" s="22"/>
      <c r="AOZ146" s="22"/>
      <c r="APA146" s="22"/>
      <c r="APB146" s="22"/>
      <c r="APC146" s="22"/>
      <c r="APD146" s="22"/>
      <c r="APE146" s="22"/>
      <c r="APF146" s="22"/>
      <c r="APG146" s="22"/>
      <c r="APH146" s="22"/>
      <c r="API146" s="22"/>
      <c r="APJ146" s="22"/>
      <c r="APK146" s="22"/>
      <c r="APL146" s="22"/>
      <c r="APM146" s="22"/>
      <c r="APN146" s="22"/>
      <c r="APO146" s="22"/>
      <c r="APP146" s="22"/>
      <c r="APQ146" s="22"/>
      <c r="APR146" s="22"/>
      <c r="APS146" s="22"/>
      <c r="APT146" s="22"/>
      <c r="APU146" s="22"/>
      <c r="APV146" s="22"/>
      <c r="APW146" s="22"/>
      <c r="APX146" s="22"/>
      <c r="APY146" s="22"/>
      <c r="APZ146" s="22"/>
      <c r="AQA146" s="22"/>
      <c r="AQB146" s="22"/>
      <c r="AQC146" s="22"/>
      <c r="AQD146" s="22"/>
      <c r="AQE146" s="22"/>
      <c r="AQF146" s="22"/>
      <c r="AQG146" s="22"/>
      <c r="AQH146" s="22"/>
      <c r="AQI146" s="22"/>
      <c r="AQJ146" s="22"/>
      <c r="AQK146" s="22"/>
      <c r="AQL146" s="22"/>
      <c r="AQM146" s="22"/>
      <c r="AQN146" s="22"/>
      <c r="AQO146" s="22"/>
      <c r="AQP146" s="22"/>
      <c r="AQQ146" s="22"/>
      <c r="AQR146" s="22"/>
      <c r="AQS146" s="22"/>
      <c r="AQT146" s="22"/>
      <c r="AQU146" s="22"/>
      <c r="AQV146" s="22"/>
      <c r="AQW146" s="22"/>
      <c r="AQX146" s="22"/>
      <c r="AQY146" s="22"/>
      <c r="AQZ146" s="22"/>
      <c r="ARA146" s="22"/>
      <c r="ARB146" s="22"/>
      <c r="ARC146" s="22"/>
      <c r="ARD146" s="22"/>
      <c r="ARE146" s="22"/>
      <c r="ARF146" s="22"/>
      <c r="ARG146" s="22"/>
      <c r="ARH146" s="22"/>
      <c r="ARI146" s="22"/>
      <c r="ARJ146" s="22"/>
      <c r="ARK146" s="22"/>
      <c r="ARL146" s="22"/>
      <c r="ARM146" s="22"/>
      <c r="ARN146" s="22"/>
      <c r="ARO146" s="22"/>
      <c r="ARP146" s="22"/>
      <c r="ARQ146" s="22"/>
      <c r="ARR146" s="22"/>
      <c r="ARS146" s="22"/>
      <c r="ART146" s="22"/>
      <c r="ARU146" s="22"/>
      <c r="ARV146" s="22"/>
      <c r="ARW146" s="22"/>
      <c r="ARX146" s="22"/>
      <c r="ARY146" s="22"/>
      <c r="ARZ146" s="22"/>
      <c r="ASA146" s="22"/>
      <c r="ASB146" s="22"/>
      <c r="ASC146" s="22"/>
      <c r="ASD146" s="22"/>
      <c r="ASE146" s="22"/>
      <c r="ASF146" s="22"/>
      <c r="ASG146" s="22"/>
      <c r="ASH146" s="22"/>
      <c r="ASI146" s="22"/>
      <c r="ASJ146" s="22"/>
      <c r="ASK146" s="22"/>
      <c r="ASL146" s="22"/>
      <c r="ASM146" s="22"/>
      <c r="ASN146" s="22"/>
      <c r="ASO146" s="22"/>
      <c r="ASP146" s="22"/>
      <c r="ASQ146" s="22"/>
      <c r="ASR146" s="22"/>
      <c r="ASS146" s="22"/>
      <c r="AST146" s="22"/>
      <c r="ASU146" s="22"/>
      <c r="ASV146" s="22"/>
      <c r="ASW146" s="22"/>
      <c r="ASX146" s="22"/>
      <c r="ASY146" s="22"/>
      <c r="ASZ146" s="22"/>
      <c r="ATA146" s="22"/>
      <c r="ATB146" s="22"/>
      <c r="ATC146" s="22"/>
      <c r="ATD146" s="22"/>
      <c r="ATE146" s="22"/>
      <c r="ATF146" s="22"/>
      <c r="ATG146" s="22"/>
      <c r="ATH146" s="22"/>
      <c r="ATI146" s="22"/>
      <c r="ATJ146" s="22"/>
      <c r="ATK146" s="22"/>
      <c r="ATL146" s="22"/>
      <c r="ATM146" s="22"/>
      <c r="ATN146" s="22"/>
      <c r="ATO146" s="22"/>
      <c r="ATP146" s="22"/>
      <c r="ATQ146" s="22"/>
      <c r="ATR146" s="22"/>
      <c r="ATS146" s="22"/>
      <c r="ATT146" s="22"/>
      <c r="ATU146" s="22"/>
      <c r="ATV146" s="22"/>
      <c r="ATW146" s="22"/>
      <c r="ATX146" s="22"/>
      <c r="ATY146" s="22"/>
      <c r="ATZ146" s="22"/>
      <c r="AUA146" s="22"/>
      <c r="AUB146" s="22"/>
      <c r="AUC146" s="22"/>
      <c r="AUD146" s="22"/>
      <c r="AUE146" s="22"/>
      <c r="AUF146" s="22"/>
      <c r="AUG146" s="22"/>
      <c r="AUH146" s="22"/>
      <c r="AUI146" s="22"/>
      <c r="AUJ146" s="22"/>
      <c r="AUK146" s="22"/>
      <c r="AUL146" s="22"/>
      <c r="AUM146" s="22"/>
      <c r="AUN146" s="22"/>
      <c r="AUO146" s="22"/>
      <c r="AUP146" s="22"/>
      <c r="AUQ146" s="22"/>
      <c r="AUR146" s="22"/>
      <c r="AUS146" s="22"/>
      <c r="AUT146" s="22"/>
      <c r="AUU146" s="22"/>
      <c r="AUV146" s="22"/>
      <c r="AUW146" s="22"/>
      <c r="AUX146" s="22"/>
      <c r="AUY146" s="22"/>
      <c r="AUZ146" s="22"/>
      <c r="AVA146" s="22"/>
      <c r="AVB146" s="22"/>
      <c r="AVC146" s="22"/>
      <c r="AVD146" s="22"/>
      <c r="AVE146" s="22"/>
      <c r="AVF146" s="22"/>
      <c r="AVG146" s="22"/>
      <c r="AVH146" s="22"/>
      <c r="AVI146" s="22"/>
      <c r="AVJ146" s="22"/>
      <c r="AVK146" s="22"/>
      <c r="AVL146" s="22"/>
      <c r="AVM146" s="22"/>
      <c r="AVN146" s="22"/>
      <c r="AVO146" s="22"/>
      <c r="AVP146" s="22"/>
      <c r="AVQ146" s="22"/>
      <c r="AVR146" s="22"/>
      <c r="AVS146" s="22"/>
      <c r="AVT146" s="22"/>
      <c r="AVU146" s="22"/>
      <c r="AVV146" s="22"/>
      <c r="AVW146" s="22"/>
      <c r="AVX146" s="22"/>
      <c r="AVY146" s="22"/>
      <c r="AVZ146" s="22"/>
      <c r="AWA146" s="22"/>
      <c r="AWB146" s="22"/>
      <c r="AWC146" s="22"/>
      <c r="AWD146" s="22"/>
      <c r="AWE146" s="22"/>
      <c r="AWF146" s="22"/>
      <c r="AWG146" s="22"/>
      <c r="AWH146" s="22"/>
      <c r="AWI146" s="22"/>
      <c r="AWJ146" s="22"/>
      <c r="AWK146" s="22"/>
      <c r="AWL146" s="22"/>
      <c r="AWM146" s="22"/>
      <c r="AWN146" s="22"/>
      <c r="AWO146" s="22"/>
      <c r="AWP146" s="22"/>
      <c r="AWQ146" s="22"/>
      <c r="AWR146" s="22"/>
      <c r="AWS146" s="22"/>
      <c r="AWT146" s="22"/>
      <c r="AWU146" s="22"/>
      <c r="AWV146" s="22"/>
      <c r="AWW146" s="22"/>
      <c r="AWX146" s="22"/>
      <c r="AWY146" s="22"/>
      <c r="AWZ146" s="22"/>
      <c r="AXA146" s="22"/>
      <c r="AXB146" s="22"/>
      <c r="AXC146" s="22"/>
      <c r="AXD146" s="22"/>
      <c r="AXE146" s="22"/>
      <c r="AXF146" s="22"/>
      <c r="AXG146" s="22"/>
      <c r="AXH146" s="22"/>
      <c r="AXI146" s="22"/>
      <c r="AXJ146" s="22"/>
      <c r="AXK146" s="22"/>
      <c r="AXL146" s="22"/>
      <c r="AXM146" s="22"/>
      <c r="AXN146" s="22"/>
      <c r="AXO146" s="22"/>
      <c r="AXP146" s="22"/>
      <c r="AXQ146" s="22"/>
      <c r="AXR146" s="22"/>
      <c r="AXS146" s="22"/>
      <c r="AXT146" s="22"/>
      <c r="AXU146" s="22"/>
      <c r="AXV146" s="22"/>
      <c r="AXW146" s="22"/>
      <c r="AXX146" s="22"/>
      <c r="AXY146" s="22"/>
      <c r="AXZ146" s="22"/>
      <c r="AYA146" s="22"/>
      <c r="AYB146" s="22"/>
      <c r="AYC146" s="22"/>
      <c r="AYD146" s="22"/>
      <c r="AYE146" s="22"/>
      <c r="AYF146" s="22"/>
      <c r="AYG146" s="22"/>
      <c r="AYH146" s="22"/>
      <c r="AYI146" s="22"/>
      <c r="AYJ146" s="22"/>
      <c r="AYK146" s="22"/>
      <c r="AYL146" s="22"/>
      <c r="AYM146" s="22"/>
      <c r="AYN146" s="22"/>
      <c r="AYO146" s="22"/>
      <c r="AYP146" s="22"/>
      <c r="AYQ146" s="22"/>
      <c r="AYR146" s="22"/>
      <c r="AYS146" s="22"/>
      <c r="AYT146" s="22"/>
      <c r="AYU146" s="22"/>
      <c r="AYV146" s="22"/>
      <c r="AYW146" s="22"/>
      <c r="AYX146" s="22"/>
      <c r="AYY146" s="22"/>
      <c r="AYZ146" s="22"/>
      <c r="AZA146" s="22"/>
      <c r="AZB146" s="22"/>
      <c r="AZC146" s="22"/>
      <c r="AZD146" s="22"/>
      <c r="AZE146" s="22"/>
      <c r="AZF146" s="22"/>
      <c r="AZG146" s="22"/>
      <c r="AZH146" s="22"/>
      <c r="AZI146" s="22"/>
      <c r="AZJ146" s="22"/>
      <c r="AZK146" s="22"/>
      <c r="AZL146" s="22"/>
      <c r="AZM146" s="22"/>
      <c r="AZN146" s="22"/>
      <c r="AZO146" s="22"/>
      <c r="AZP146" s="22"/>
      <c r="AZQ146" s="22"/>
      <c r="AZR146" s="22"/>
      <c r="AZS146" s="22"/>
      <c r="AZT146" s="22"/>
      <c r="AZU146" s="22"/>
      <c r="AZV146" s="22"/>
      <c r="AZW146" s="22"/>
      <c r="AZX146" s="22"/>
      <c r="AZY146" s="22"/>
      <c r="AZZ146" s="22"/>
      <c r="BAA146" s="22"/>
      <c r="BAB146" s="22"/>
      <c r="BAC146" s="22"/>
      <c r="BAD146" s="22"/>
      <c r="BAE146" s="22"/>
      <c r="BAF146" s="22"/>
      <c r="BAG146" s="22"/>
      <c r="BAH146" s="22"/>
      <c r="BAI146" s="22"/>
      <c r="BAJ146" s="22"/>
      <c r="BAK146" s="22"/>
      <c r="BAL146" s="22"/>
      <c r="BAM146" s="22"/>
      <c r="BAN146" s="22"/>
      <c r="BAO146" s="22"/>
      <c r="BAP146" s="22"/>
      <c r="BAQ146" s="22"/>
      <c r="BAR146" s="22"/>
      <c r="BAS146" s="22"/>
      <c r="BAT146" s="22"/>
      <c r="BAU146" s="22"/>
      <c r="BAV146" s="22"/>
      <c r="BAW146" s="22"/>
      <c r="BAX146" s="22"/>
      <c r="BAY146" s="22"/>
      <c r="BAZ146" s="22"/>
      <c r="BBA146" s="22"/>
      <c r="BBB146" s="22"/>
      <c r="BBC146" s="22"/>
      <c r="BBD146" s="22"/>
      <c r="BBE146" s="22"/>
      <c r="BBF146" s="22"/>
      <c r="BBG146" s="22"/>
      <c r="BBH146" s="22"/>
      <c r="BBI146" s="22"/>
      <c r="BBJ146" s="22"/>
      <c r="BBK146" s="22"/>
      <c r="BBL146" s="22"/>
      <c r="BBM146" s="22"/>
      <c r="BBN146" s="22"/>
      <c r="BBO146" s="22"/>
      <c r="BBP146" s="22"/>
      <c r="BBQ146" s="22"/>
      <c r="BBR146" s="22"/>
      <c r="BBS146" s="22"/>
      <c r="BBT146" s="22"/>
      <c r="BBU146" s="22"/>
      <c r="BBV146" s="22"/>
      <c r="BBW146" s="22"/>
      <c r="BBX146" s="22"/>
      <c r="BBY146" s="22"/>
      <c r="BBZ146" s="22"/>
      <c r="BCA146" s="22"/>
      <c r="BCB146" s="22"/>
      <c r="BCC146" s="22"/>
      <c r="BCD146" s="22"/>
      <c r="BCE146" s="22"/>
      <c r="BCF146" s="22"/>
      <c r="BCG146" s="22"/>
      <c r="BCH146" s="22"/>
      <c r="BCI146" s="22"/>
      <c r="BCJ146" s="22"/>
      <c r="BCK146" s="22"/>
      <c r="BCL146" s="22"/>
      <c r="BCM146" s="22"/>
      <c r="BCN146" s="22"/>
      <c r="BCO146" s="22"/>
      <c r="BCP146" s="22"/>
      <c r="BCQ146" s="22"/>
      <c r="BCR146" s="22"/>
      <c r="BCS146" s="22"/>
      <c r="BCT146" s="22"/>
      <c r="BCU146" s="22"/>
      <c r="BCV146" s="22"/>
      <c r="BCW146" s="22"/>
      <c r="BCX146" s="22"/>
      <c r="BCY146" s="22"/>
      <c r="BCZ146" s="22"/>
      <c r="BDA146" s="22"/>
      <c r="BDB146" s="22"/>
      <c r="BDC146" s="22"/>
      <c r="BDD146" s="22"/>
      <c r="BDE146" s="22"/>
      <c r="BDF146" s="22"/>
      <c r="BDG146" s="22"/>
      <c r="BDH146" s="22"/>
      <c r="BDI146" s="22"/>
      <c r="BDJ146" s="22"/>
      <c r="BDK146" s="22"/>
      <c r="BDL146" s="22"/>
      <c r="BDM146" s="22"/>
      <c r="BDN146" s="22"/>
      <c r="BDO146" s="22"/>
      <c r="BDP146" s="22"/>
      <c r="BDQ146" s="22"/>
      <c r="BDR146" s="22"/>
      <c r="BDS146" s="22"/>
      <c r="BDT146" s="22"/>
      <c r="BDU146" s="22"/>
      <c r="BDV146" s="22"/>
      <c r="BDW146" s="22"/>
      <c r="BDX146" s="22"/>
      <c r="BDY146" s="22"/>
      <c r="BDZ146" s="22"/>
      <c r="BEA146" s="22"/>
      <c r="BEB146" s="22"/>
      <c r="BEC146" s="22"/>
      <c r="BED146" s="22"/>
      <c r="BEE146" s="22"/>
      <c r="BEF146" s="22"/>
      <c r="BEG146" s="22"/>
      <c r="BEH146" s="22"/>
      <c r="BEI146" s="22"/>
      <c r="BEJ146" s="22"/>
      <c r="BEK146" s="22"/>
      <c r="BEL146" s="22"/>
      <c r="BEM146" s="22"/>
      <c r="BEN146" s="22"/>
      <c r="BEO146" s="22"/>
      <c r="BEP146" s="22"/>
      <c r="BEQ146" s="22"/>
      <c r="BER146" s="22"/>
      <c r="BES146" s="22"/>
      <c r="BET146" s="22"/>
      <c r="BEU146" s="22"/>
      <c r="BEV146" s="22"/>
      <c r="BEW146" s="22"/>
      <c r="BEX146" s="22"/>
      <c r="BEY146" s="22"/>
      <c r="BEZ146" s="22"/>
      <c r="BFA146" s="22"/>
      <c r="BFB146" s="22"/>
      <c r="BFC146" s="22"/>
      <c r="BFD146" s="22"/>
      <c r="BFE146" s="22"/>
      <c r="BFF146" s="22"/>
      <c r="BFG146" s="22"/>
      <c r="BFH146" s="22"/>
      <c r="BFI146" s="22"/>
      <c r="BFJ146" s="22"/>
      <c r="BFK146" s="22"/>
      <c r="BFL146" s="22"/>
      <c r="BFM146" s="22"/>
      <c r="BFN146" s="22"/>
      <c r="BFO146" s="22"/>
      <c r="BFP146" s="22"/>
      <c r="BFQ146" s="22"/>
      <c r="BFR146" s="22"/>
      <c r="BFS146" s="22"/>
      <c r="BFT146" s="22"/>
      <c r="BFU146" s="22"/>
      <c r="BFV146" s="22"/>
      <c r="BFW146" s="22"/>
      <c r="BFX146" s="22"/>
      <c r="BFY146" s="22"/>
      <c r="BFZ146" s="22"/>
      <c r="BGA146" s="22"/>
      <c r="BGB146" s="22"/>
      <c r="BGC146" s="22"/>
      <c r="BGD146" s="22"/>
      <c r="BGE146" s="22"/>
      <c r="BGF146" s="22"/>
      <c r="BGG146" s="22"/>
      <c r="BGH146" s="22"/>
      <c r="BGI146" s="22"/>
      <c r="BGJ146" s="22"/>
      <c r="BGK146" s="22"/>
      <c r="BGL146" s="22"/>
      <c r="BGM146" s="22"/>
      <c r="BGN146" s="22"/>
      <c r="BGO146" s="22"/>
      <c r="BGP146" s="22"/>
      <c r="BGQ146" s="22"/>
      <c r="BGR146" s="22"/>
      <c r="BGS146" s="22"/>
      <c r="BGT146" s="22"/>
      <c r="BGU146" s="22"/>
      <c r="BGV146" s="22"/>
      <c r="BGW146" s="22"/>
      <c r="BGX146" s="22"/>
      <c r="BGY146" s="22"/>
      <c r="BGZ146" s="22"/>
      <c r="BHA146" s="22"/>
      <c r="BHB146" s="22"/>
      <c r="BHC146" s="22"/>
      <c r="BHD146" s="22"/>
      <c r="BHE146" s="22"/>
      <c r="BHF146" s="22"/>
      <c r="BHG146" s="22"/>
      <c r="BHH146" s="22"/>
      <c r="BHI146" s="22"/>
      <c r="BHJ146" s="22"/>
      <c r="BHK146" s="22"/>
      <c r="BHL146" s="22"/>
      <c r="BHM146" s="22"/>
      <c r="BHN146" s="22"/>
      <c r="BHO146" s="22"/>
      <c r="BHP146" s="22"/>
      <c r="BHQ146" s="22"/>
      <c r="BHR146" s="22"/>
      <c r="BHS146" s="22"/>
      <c r="BHT146" s="22"/>
      <c r="BHU146" s="22"/>
      <c r="BHV146" s="22"/>
      <c r="BHW146" s="22"/>
      <c r="BHX146" s="22"/>
      <c r="BHY146" s="22"/>
      <c r="BHZ146" s="22"/>
      <c r="BIA146" s="22"/>
      <c r="BIB146" s="22"/>
      <c r="BIC146" s="22"/>
      <c r="BID146" s="22"/>
      <c r="BIE146" s="22"/>
      <c r="BIF146" s="22"/>
      <c r="BIG146" s="22"/>
      <c r="BIH146" s="22"/>
      <c r="BII146" s="22"/>
      <c r="BIJ146" s="22"/>
      <c r="BIK146" s="22"/>
      <c r="BIL146" s="22"/>
      <c r="BIM146" s="22"/>
      <c r="BIN146" s="22"/>
      <c r="BIO146" s="22"/>
      <c r="BIP146" s="22"/>
      <c r="BIQ146" s="22"/>
      <c r="BIR146" s="22"/>
      <c r="BIS146" s="22"/>
      <c r="BIT146" s="22"/>
      <c r="BIU146" s="22"/>
      <c r="BIV146" s="22"/>
      <c r="BIW146" s="22"/>
      <c r="BIX146" s="22"/>
      <c r="BIY146" s="22"/>
      <c r="BIZ146" s="22"/>
      <c r="BJA146" s="22"/>
      <c r="BJB146" s="22"/>
      <c r="BJC146" s="22"/>
      <c r="BJD146" s="22"/>
      <c r="BJE146" s="22"/>
      <c r="BJF146" s="22"/>
      <c r="BJG146" s="22"/>
      <c r="BJH146" s="22"/>
      <c r="BJI146" s="22"/>
      <c r="BJJ146" s="22"/>
      <c r="BJK146" s="22"/>
      <c r="BJL146" s="22"/>
      <c r="BJM146" s="22"/>
      <c r="BJN146" s="22"/>
      <c r="BJO146" s="22"/>
      <c r="BJP146" s="22"/>
      <c r="BJQ146" s="22"/>
      <c r="BJR146" s="22"/>
      <c r="BJS146" s="22"/>
      <c r="BJT146" s="22"/>
      <c r="BJU146" s="22"/>
      <c r="BJV146" s="22"/>
      <c r="BJW146" s="22"/>
      <c r="BJX146" s="22"/>
      <c r="BJY146" s="22"/>
      <c r="BJZ146" s="22"/>
      <c r="BKA146" s="22"/>
      <c r="BKB146" s="22"/>
      <c r="BKC146" s="22"/>
      <c r="BKD146" s="22"/>
      <c r="BKE146" s="22"/>
      <c r="BKF146" s="22"/>
      <c r="BKG146" s="22"/>
      <c r="BKH146" s="22"/>
      <c r="BKI146" s="22"/>
      <c r="BKJ146" s="22"/>
      <c r="BKK146" s="22"/>
      <c r="BKL146" s="22"/>
      <c r="BKM146" s="22"/>
      <c r="BKN146" s="22"/>
      <c r="BKO146" s="22"/>
      <c r="BKP146" s="22"/>
      <c r="BKQ146" s="22"/>
      <c r="BKR146" s="22"/>
      <c r="BKS146" s="22"/>
      <c r="BKT146" s="22"/>
      <c r="BKU146" s="22"/>
      <c r="BKV146" s="22"/>
      <c r="BKW146" s="22"/>
      <c r="BKX146" s="22"/>
      <c r="BKY146" s="22"/>
      <c r="BKZ146" s="22"/>
      <c r="BLA146" s="22"/>
      <c r="BLB146" s="22"/>
      <c r="BLC146" s="22"/>
      <c r="BLD146" s="22"/>
      <c r="BLE146" s="22"/>
      <c r="BLF146" s="22"/>
      <c r="BLG146" s="22"/>
      <c r="BLH146" s="22"/>
      <c r="BLI146" s="22"/>
      <c r="BLJ146" s="22"/>
      <c r="BLK146" s="22"/>
      <c r="BLL146" s="22"/>
      <c r="BLM146" s="22"/>
      <c r="BLN146" s="22"/>
      <c r="BLO146" s="22"/>
      <c r="BLP146" s="22"/>
      <c r="BLQ146" s="22"/>
      <c r="BLR146" s="22"/>
      <c r="BLS146" s="22"/>
      <c r="BLT146" s="22"/>
      <c r="BLU146" s="22"/>
      <c r="BLV146" s="22"/>
      <c r="BLW146" s="22"/>
      <c r="BLX146" s="22"/>
      <c r="BLY146" s="22"/>
      <c r="BLZ146" s="22"/>
      <c r="BMA146" s="22"/>
      <c r="BMB146" s="22"/>
      <c r="BMC146" s="22"/>
      <c r="BMD146" s="22"/>
      <c r="BME146" s="22"/>
      <c r="BMF146" s="22"/>
      <c r="BMG146" s="22"/>
      <c r="BMH146" s="22"/>
      <c r="BMI146" s="22"/>
      <c r="BMJ146" s="22"/>
      <c r="BMK146" s="22"/>
      <c r="BML146" s="22"/>
      <c r="BMM146" s="22"/>
      <c r="BMN146" s="22"/>
      <c r="BMO146" s="22"/>
      <c r="BMP146" s="22"/>
      <c r="BMQ146" s="22"/>
      <c r="BMR146" s="22"/>
      <c r="BMS146" s="22"/>
      <c r="BMT146" s="22"/>
      <c r="BMU146" s="22"/>
      <c r="BMV146" s="22"/>
      <c r="BMW146" s="22"/>
      <c r="BMX146" s="22"/>
      <c r="BMY146" s="22"/>
      <c r="BMZ146" s="22"/>
      <c r="BNA146" s="22"/>
      <c r="BNB146" s="22"/>
      <c r="BNC146" s="22"/>
      <c r="BND146" s="22"/>
      <c r="BNE146" s="22"/>
      <c r="BNF146" s="22"/>
      <c r="BNG146" s="22"/>
      <c r="BNH146" s="22"/>
      <c r="BNI146" s="22"/>
      <c r="BNJ146" s="22"/>
      <c r="BNK146" s="22"/>
      <c r="BNL146" s="22"/>
      <c r="BNM146" s="22"/>
      <c r="BNN146" s="22"/>
      <c r="BNO146" s="22"/>
      <c r="BNP146" s="22"/>
      <c r="BNQ146" s="22"/>
      <c r="BNR146" s="22"/>
      <c r="BNS146" s="22"/>
      <c r="BNT146" s="22"/>
      <c r="BNU146" s="22"/>
      <c r="BNV146" s="22"/>
      <c r="BNW146" s="22"/>
      <c r="BNX146" s="22"/>
      <c r="BNY146" s="22"/>
      <c r="BNZ146" s="22"/>
      <c r="BOA146" s="22"/>
      <c r="BOB146" s="22"/>
      <c r="BOC146" s="22"/>
      <c r="BOD146" s="22"/>
      <c r="BOE146" s="22"/>
      <c r="BOF146" s="22"/>
      <c r="BOG146" s="22"/>
      <c r="BOH146" s="22"/>
      <c r="BOI146" s="22"/>
      <c r="BOJ146" s="22"/>
      <c r="BOK146" s="22"/>
      <c r="BOL146" s="22"/>
      <c r="BOM146" s="22"/>
      <c r="BON146" s="22"/>
      <c r="BOO146" s="22"/>
      <c r="BOP146" s="22"/>
      <c r="BOQ146" s="22"/>
      <c r="BOR146" s="22"/>
      <c r="BOS146" s="22"/>
      <c r="BOT146" s="22"/>
      <c r="BOU146" s="22"/>
      <c r="BOV146" s="22"/>
      <c r="BOW146" s="22"/>
      <c r="BOX146" s="22"/>
      <c r="BOY146" s="22"/>
      <c r="BOZ146" s="22"/>
      <c r="BPA146" s="22"/>
      <c r="BPB146" s="22"/>
      <c r="BPC146" s="22"/>
      <c r="BPD146" s="22"/>
      <c r="BPE146" s="22"/>
      <c r="BPF146" s="22"/>
      <c r="BPG146" s="22"/>
      <c r="BPH146" s="22"/>
      <c r="BPI146" s="22"/>
      <c r="BPJ146" s="22"/>
      <c r="BPK146" s="22"/>
      <c r="BPL146" s="22"/>
      <c r="BPM146" s="22"/>
      <c r="BPN146" s="22"/>
      <c r="BPO146" s="22"/>
      <c r="BPP146" s="22"/>
      <c r="BPQ146" s="22"/>
      <c r="BPR146" s="22"/>
      <c r="BPS146" s="22"/>
      <c r="BPT146" s="22"/>
      <c r="BPU146" s="22"/>
      <c r="BPV146" s="22"/>
      <c r="BPW146" s="22"/>
      <c r="BPX146" s="22"/>
      <c r="BPY146" s="22"/>
      <c r="BPZ146" s="22"/>
      <c r="BQA146" s="22"/>
      <c r="BQB146" s="22"/>
      <c r="BQC146" s="22"/>
      <c r="BQD146" s="22"/>
      <c r="BQE146" s="22"/>
      <c r="BQF146" s="22"/>
      <c r="BQG146" s="22"/>
      <c r="BQH146" s="22"/>
      <c r="BQI146" s="22"/>
      <c r="BQJ146" s="22"/>
      <c r="BQK146" s="22"/>
      <c r="BQL146" s="22"/>
      <c r="BQM146" s="22"/>
      <c r="BQN146" s="22"/>
      <c r="BQO146" s="22"/>
      <c r="BQP146" s="22"/>
      <c r="BQQ146" s="22"/>
      <c r="BQR146" s="22"/>
      <c r="BQS146" s="22"/>
      <c r="BQT146" s="22"/>
      <c r="BQU146" s="22"/>
      <c r="BQV146" s="22"/>
      <c r="BQW146" s="22"/>
      <c r="BQX146" s="22"/>
      <c r="BQY146" s="22"/>
      <c r="BQZ146" s="22"/>
      <c r="BRA146" s="22"/>
      <c r="BRB146" s="22"/>
      <c r="BRC146" s="22"/>
      <c r="BRD146" s="22"/>
      <c r="BRE146" s="22"/>
      <c r="BRF146" s="22"/>
      <c r="BRG146" s="22"/>
      <c r="BRH146" s="22"/>
      <c r="BRI146" s="22"/>
      <c r="BRJ146" s="22"/>
      <c r="BRK146" s="22"/>
      <c r="BRL146" s="22"/>
      <c r="BRM146" s="22"/>
      <c r="BRN146" s="22"/>
      <c r="BRO146" s="22"/>
      <c r="BRP146" s="22"/>
      <c r="BRQ146" s="22"/>
      <c r="BRR146" s="22"/>
      <c r="BRS146" s="22"/>
      <c r="BRT146" s="22"/>
      <c r="BRU146" s="22"/>
      <c r="BRV146" s="22"/>
      <c r="BRW146" s="22"/>
      <c r="BRX146" s="22"/>
      <c r="BRY146" s="22"/>
      <c r="BRZ146" s="22"/>
      <c r="BSA146" s="22"/>
      <c r="BSB146" s="22"/>
      <c r="BSC146" s="22"/>
      <c r="BSD146" s="22"/>
      <c r="BSE146" s="22"/>
      <c r="BSF146" s="22"/>
      <c r="BSG146" s="22"/>
      <c r="BSH146" s="22"/>
      <c r="BSI146" s="22"/>
      <c r="BSJ146" s="22"/>
      <c r="BSK146" s="22"/>
      <c r="BSL146" s="22"/>
      <c r="BSM146" s="22"/>
      <c r="BSN146" s="22"/>
      <c r="BSO146" s="22"/>
      <c r="BSP146" s="22"/>
      <c r="BSQ146" s="22"/>
      <c r="BSR146" s="22"/>
      <c r="BSS146" s="22"/>
      <c r="BST146" s="22"/>
      <c r="BSU146" s="22"/>
      <c r="BSV146" s="22"/>
      <c r="BSW146" s="22"/>
      <c r="BSX146" s="22"/>
      <c r="BSY146" s="22"/>
      <c r="BSZ146" s="22"/>
      <c r="BTA146" s="22"/>
      <c r="BTB146" s="22"/>
      <c r="BTC146" s="22"/>
      <c r="BTD146" s="22"/>
      <c r="BTE146" s="22"/>
      <c r="BTF146" s="22"/>
      <c r="BTG146" s="22"/>
      <c r="BTH146" s="22"/>
      <c r="BTI146" s="22"/>
      <c r="BTJ146" s="22"/>
      <c r="BTK146" s="22"/>
      <c r="BTL146" s="22"/>
      <c r="BTM146" s="22"/>
      <c r="BTN146" s="22"/>
      <c r="BTO146" s="22"/>
      <c r="BTP146" s="22"/>
      <c r="BTQ146" s="22"/>
      <c r="BTR146" s="22"/>
      <c r="BTS146" s="22"/>
      <c r="BTT146" s="22"/>
      <c r="BTU146" s="22"/>
      <c r="BTV146" s="22"/>
      <c r="BTW146" s="22"/>
      <c r="BTX146" s="22"/>
      <c r="BTY146" s="22"/>
      <c r="BTZ146" s="22"/>
      <c r="BUA146" s="22"/>
      <c r="BUB146" s="22"/>
      <c r="BUC146" s="22"/>
      <c r="BUD146" s="22"/>
      <c r="BUE146" s="22"/>
      <c r="BUF146" s="22"/>
      <c r="BUG146" s="22"/>
      <c r="BUH146" s="22"/>
      <c r="BUI146" s="22"/>
      <c r="BUJ146" s="22"/>
      <c r="BUK146" s="22"/>
      <c r="BUL146" s="22"/>
      <c r="BUM146" s="22"/>
      <c r="BUN146" s="22"/>
      <c r="BUO146" s="22"/>
      <c r="BUP146" s="22"/>
      <c r="BUQ146" s="22"/>
      <c r="BUR146" s="22"/>
      <c r="BUS146" s="22"/>
      <c r="BUT146" s="22"/>
      <c r="BUU146" s="22"/>
      <c r="BUV146" s="22"/>
      <c r="BUW146" s="22"/>
      <c r="BUX146" s="22"/>
      <c r="BUY146" s="22"/>
      <c r="BUZ146" s="22"/>
      <c r="BVA146" s="22"/>
      <c r="BVB146" s="22"/>
      <c r="BVC146" s="22"/>
      <c r="BVD146" s="22"/>
      <c r="BVE146" s="22"/>
      <c r="BVF146" s="22"/>
      <c r="BVG146" s="22"/>
      <c r="BVH146" s="22"/>
      <c r="BVI146" s="22"/>
      <c r="BVJ146" s="22"/>
      <c r="BVK146" s="22"/>
      <c r="BVL146" s="22"/>
      <c r="BVM146" s="22"/>
      <c r="BVN146" s="22"/>
      <c r="BVO146" s="22"/>
      <c r="BVP146" s="22"/>
      <c r="BVQ146" s="22"/>
      <c r="BVR146" s="22"/>
      <c r="BVS146" s="22"/>
      <c r="BVT146" s="22"/>
      <c r="BVU146" s="22"/>
      <c r="BVV146" s="22"/>
      <c r="BVW146" s="22"/>
      <c r="BVX146" s="22"/>
      <c r="BVY146" s="22"/>
      <c r="BVZ146" s="22"/>
      <c r="BWA146" s="22"/>
      <c r="BWB146" s="22"/>
      <c r="BWC146" s="22"/>
      <c r="BWD146" s="22"/>
      <c r="BWE146" s="22"/>
      <c r="BWF146" s="22"/>
      <c r="BWG146" s="22"/>
      <c r="BWH146" s="22"/>
      <c r="BWI146" s="22"/>
      <c r="BWJ146" s="22"/>
      <c r="BWK146" s="22"/>
      <c r="BWL146" s="22"/>
      <c r="BWM146" s="22"/>
      <c r="BWN146" s="22"/>
      <c r="BWO146" s="22"/>
      <c r="BWP146" s="22"/>
      <c r="BWQ146" s="22"/>
      <c r="BWR146" s="22"/>
      <c r="BWS146" s="22"/>
      <c r="BWT146" s="22"/>
      <c r="BWU146" s="22"/>
      <c r="BWV146" s="22"/>
      <c r="BWW146" s="22"/>
      <c r="BWX146" s="22"/>
      <c r="BWY146" s="22"/>
      <c r="BWZ146" s="22"/>
      <c r="BXA146" s="22"/>
      <c r="BXB146" s="22"/>
      <c r="BXC146" s="22"/>
      <c r="BXD146" s="22"/>
      <c r="BXE146" s="22"/>
      <c r="BXF146" s="22"/>
      <c r="BXG146" s="22"/>
      <c r="BXH146" s="22"/>
      <c r="BXI146" s="22"/>
      <c r="BXJ146" s="22"/>
      <c r="BXK146" s="22"/>
      <c r="BXL146" s="22"/>
      <c r="BXM146" s="22"/>
      <c r="BXN146" s="22"/>
      <c r="BXO146" s="22"/>
      <c r="BXP146" s="22"/>
      <c r="BXQ146" s="22"/>
      <c r="BXR146" s="22"/>
      <c r="BXS146" s="22"/>
      <c r="BXT146" s="22"/>
      <c r="BXU146" s="22"/>
      <c r="BXV146" s="22"/>
      <c r="BXW146" s="22"/>
      <c r="BXX146" s="22"/>
      <c r="BXY146" s="22"/>
      <c r="BXZ146" s="22"/>
      <c r="BYA146" s="22"/>
      <c r="BYB146" s="22"/>
      <c r="BYC146" s="22"/>
      <c r="BYD146" s="22"/>
      <c r="BYE146" s="22"/>
      <c r="BYF146" s="22"/>
      <c r="BYG146" s="22"/>
      <c r="BYH146" s="22"/>
      <c r="BYI146" s="22"/>
      <c r="BYJ146" s="22"/>
      <c r="BYK146" s="22"/>
      <c r="BYL146" s="22"/>
      <c r="BYM146" s="22"/>
      <c r="BYN146" s="22"/>
      <c r="BYO146" s="22"/>
      <c r="BYP146" s="22"/>
      <c r="BYQ146" s="22"/>
      <c r="BYR146" s="22"/>
      <c r="BYS146" s="22"/>
      <c r="BYT146" s="22"/>
      <c r="BYU146" s="22"/>
      <c r="BYV146" s="22"/>
      <c r="BYW146" s="22"/>
      <c r="BYX146" s="22"/>
      <c r="BYY146" s="22"/>
      <c r="BYZ146" s="22"/>
      <c r="BZA146" s="22"/>
      <c r="BZB146" s="22"/>
      <c r="BZC146" s="22"/>
      <c r="BZD146" s="22"/>
      <c r="BZE146" s="22"/>
      <c r="BZF146" s="22"/>
      <c r="BZG146" s="22"/>
      <c r="BZH146" s="22"/>
      <c r="BZI146" s="22"/>
      <c r="BZJ146" s="22"/>
      <c r="BZK146" s="22"/>
      <c r="BZL146" s="22"/>
      <c r="BZM146" s="22"/>
      <c r="BZN146" s="22"/>
      <c r="BZO146" s="22"/>
      <c r="BZP146" s="22"/>
      <c r="BZQ146" s="22"/>
      <c r="BZR146" s="22"/>
      <c r="BZS146" s="22"/>
      <c r="BZT146" s="22"/>
      <c r="BZU146" s="22"/>
      <c r="BZV146" s="22"/>
      <c r="BZW146" s="22"/>
      <c r="BZX146" s="22"/>
      <c r="BZY146" s="22"/>
      <c r="BZZ146" s="22"/>
      <c r="CAA146" s="22"/>
      <c r="CAB146" s="22"/>
      <c r="CAC146" s="22"/>
      <c r="CAD146" s="22"/>
      <c r="CAE146" s="22"/>
      <c r="CAF146" s="22"/>
      <c r="CAG146" s="22"/>
      <c r="CAH146" s="22"/>
      <c r="CAI146" s="22"/>
      <c r="CAJ146" s="22"/>
      <c r="CAK146" s="22"/>
      <c r="CAL146" s="22"/>
      <c r="CAM146" s="22"/>
      <c r="CAN146" s="22"/>
      <c r="CAO146" s="22"/>
      <c r="CAP146" s="22"/>
      <c r="CAQ146" s="22"/>
      <c r="CAR146" s="22"/>
      <c r="CAS146" s="22"/>
      <c r="CAT146" s="22"/>
      <c r="CAU146" s="22"/>
      <c r="CAV146" s="22"/>
      <c r="CAW146" s="22"/>
      <c r="CAX146" s="22"/>
      <c r="CAY146" s="22"/>
      <c r="CAZ146" s="22"/>
      <c r="CBA146" s="22"/>
      <c r="CBB146" s="22"/>
      <c r="CBC146" s="22"/>
      <c r="CBD146" s="22"/>
      <c r="CBE146" s="22"/>
      <c r="CBF146" s="22"/>
      <c r="CBG146" s="22"/>
      <c r="CBH146" s="22"/>
      <c r="CBI146" s="22"/>
      <c r="CBJ146" s="22"/>
      <c r="CBK146" s="22"/>
      <c r="CBL146" s="22"/>
      <c r="CBM146" s="22"/>
      <c r="CBN146" s="22"/>
      <c r="CBO146" s="22"/>
      <c r="CBP146" s="22"/>
      <c r="CBQ146" s="22"/>
      <c r="CBR146" s="22"/>
      <c r="CBS146" s="22"/>
      <c r="CBT146" s="22"/>
      <c r="CBU146" s="22"/>
      <c r="CBV146" s="22"/>
      <c r="CBW146" s="22"/>
      <c r="CBX146" s="22"/>
      <c r="CBY146" s="22"/>
      <c r="CBZ146" s="22"/>
      <c r="CCA146" s="22"/>
      <c r="CCB146" s="22"/>
      <c r="CCC146" s="22"/>
      <c r="CCD146" s="22"/>
      <c r="CCE146" s="22"/>
      <c r="CCF146" s="22"/>
      <c r="CCG146" s="22"/>
      <c r="CCH146" s="22"/>
      <c r="CCI146" s="22"/>
      <c r="CCJ146" s="22"/>
      <c r="CCK146" s="22"/>
      <c r="CCL146" s="22"/>
      <c r="CCM146" s="22"/>
      <c r="CCN146" s="22"/>
      <c r="CCO146" s="22"/>
      <c r="CCP146" s="22"/>
      <c r="CCQ146" s="22"/>
      <c r="CCR146" s="22"/>
      <c r="CCS146" s="22"/>
      <c r="CCT146" s="22"/>
      <c r="CCU146" s="22"/>
      <c r="CCV146" s="22"/>
      <c r="CCW146" s="22"/>
      <c r="CCX146" s="22"/>
      <c r="CCY146" s="22"/>
      <c r="CCZ146" s="22"/>
      <c r="CDA146" s="22"/>
      <c r="CDB146" s="22"/>
      <c r="CDC146" s="22"/>
      <c r="CDD146" s="22"/>
      <c r="CDE146" s="22"/>
      <c r="CDF146" s="22"/>
      <c r="CDG146" s="22"/>
      <c r="CDH146" s="22"/>
      <c r="CDI146" s="22"/>
      <c r="CDJ146" s="22"/>
      <c r="CDK146" s="22"/>
      <c r="CDL146" s="22"/>
      <c r="CDM146" s="22"/>
      <c r="CDN146" s="22"/>
      <c r="CDO146" s="22"/>
      <c r="CDP146" s="22"/>
      <c r="CDQ146" s="22"/>
      <c r="CDR146" s="22"/>
      <c r="CDS146" s="22"/>
      <c r="CDT146" s="22"/>
      <c r="CDU146" s="22"/>
      <c r="CDV146" s="22"/>
      <c r="CDW146" s="22"/>
      <c r="CDX146" s="22"/>
      <c r="CDY146" s="22"/>
      <c r="CDZ146" s="22"/>
      <c r="CEA146" s="22"/>
      <c r="CEB146" s="22"/>
      <c r="CEC146" s="22"/>
      <c r="CED146" s="22"/>
      <c r="CEE146" s="22"/>
      <c r="CEF146" s="22"/>
      <c r="CEG146" s="22"/>
      <c r="CEH146" s="22"/>
      <c r="CEI146" s="22"/>
      <c r="CEJ146" s="22"/>
      <c r="CEK146" s="22"/>
      <c r="CEL146" s="22"/>
      <c r="CEM146" s="22"/>
      <c r="CEN146" s="22"/>
      <c r="CEO146" s="22"/>
      <c r="CEP146" s="22"/>
      <c r="CEQ146" s="22"/>
      <c r="CER146" s="22"/>
      <c r="CES146" s="22"/>
      <c r="CET146" s="22"/>
      <c r="CEU146" s="22"/>
      <c r="CEV146" s="22"/>
      <c r="CEW146" s="22"/>
      <c r="CEX146" s="22"/>
      <c r="CEY146" s="22"/>
      <c r="CEZ146" s="22"/>
      <c r="CFA146" s="22"/>
      <c r="CFB146" s="22"/>
      <c r="CFC146" s="22"/>
      <c r="CFD146" s="22"/>
      <c r="CFE146" s="22"/>
      <c r="CFF146" s="22"/>
      <c r="CFG146" s="22"/>
      <c r="CFH146" s="22"/>
      <c r="CFI146" s="22"/>
      <c r="CFJ146" s="22"/>
      <c r="CFK146" s="22"/>
      <c r="CFL146" s="22"/>
      <c r="CFM146" s="22"/>
      <c r="CFN146" s="22"/>
      <c r="CFO146" s="22"/>
      <c r="CFP146" s="22"/>
      <c r="CFQ146" s="22"/>
      <c r="CFR146" s="22"/>
      <c r="CFS146" s="22"/>
      <c r="CFT146" s="22"/>
      <c r="CFU146" s="22"/>
      <c r="CFV146" s="22"/>
      <c r="CFW146" s="22"/>
      <c r="CFX146" s="22"/>
      <c r="CFY146" s="22"/>
      <c r="CFZ146" s="22"/>
      <c r="CGA146" s="22"/>
      <c r="CGB146" s="22"/>
      <c r="CGC146" s="22"/>
      <c r="CGD146" s="22"/>
      <c r="CGE146" s="22"/>
      <c r="CGF146" s="22"/>
      <c r="CGG146" s="22"/>
      <c r="CGH146" s="22"/>
      <c r="CGI146" s="22"/>
      <c r="CGJ146" s="22"/>
      <c r="CGK146" s="22"/>
      <c r="CGL146" s="22"/>
      <c r="CGM146" s="22"/>
      <c r="CGN146" s="22"/>
      <c r="CGO146" s="22"/>
      <c r="CGP146" s="22"/>
      <c r="CGQ146" s="22"/>
      <c r="CGR146" s="22"/>
      <c r="CGS146" s="22"/>
      <c r="CGT146" s="22"/>
      <c r="CGU146" s="22"/>
      <c r="CGV146" s="22"/>
      <c r="CGW146" s="22"/>
      <c r="CGX146" s="22"/>
      <c r="CGY146" s="22"/>
      <c r="CGZ146" s="22"/>
      <c r="CHA146" s="22"/>
      <c r="CHB146" s="22"/>
      <c r="CHC146" s="22"/>
      <c r="CHD146" s="22"/>
      <c r="CHE146" s="22"/>
      <c r="CHF146" s="22"/>
      <c r="CHG146" s="22"/>
      <c r="CHH146" s="22"/>
      <c r="CHI146" s="22"/>
      <c r="CHJ146" s="22"/>
      <c r="CHK146" s="22"/>
      <c r="CHL146" s="22"/>
      <c r="CHM146" s="22"/>
      <c r="CHN146" s="22"/>
      <c r="CHO146" s="22"/>
      <c r="CHP146" s="22"/>
      <c r="CHQ146" s="22"/>
      <c r="CHR146" s="22"/>
      <c r="CHS146" s="22"/>
      <c r="CHT146" s="22"/>
      <c r="CHU146" s="22"/>
      <c r="CHV146" s="22"/>
      <c r="CHW146" s="22"/>
      <c r="CHX146" s="22"/>
      <c r="CHY146" s="22"/>
      <c r="CHZ146" s="22"/>
      <c r="CIA146" s="22"/>
      <c r="CIB146" s="22"/>
      <c r="CIC146" s="22"/>
      <c r="CID146" s="22"/>
      <c r="CIE146" s="22"/>
      <c r="CIF146" s="22"/>
      <c r="CIG146" s="22"/>
      <c r="CIH146" s="22"/>
      <c r="CII146" s="22"/>
      <c r="CIJ146" s="22"/>
      <c r="CIK146" s="22"/>
      <c r="CIL146" s="22"/>
      <c r="CIM146" s="22"/>
      <c r="CIN146" s="22"/>
      <c r="CIO146" s="22"/>
      <c r="CIP146" s="22"/>
      <c r="CIQ146" s="22"/>
      <c r="CIR146" s="22"/>
      <c r="CIS146" s="22"/>
      <c r="CIT146" s="22"/>
      <c r="CIU146" s="22"/>
      <c r="CIV146" s="22"/>
      <c r="CIW146" s="22"/>
      <c r="CIX146" s="22"/>
      <c r="CIY146" s="22"/>
      <c r="CIZ146" s="22"/>
      <c r="CJA146" s="22"/>
      <c r="CJB146" s="22"/>
      <c r="CJC146" s="22"/>
      <c r="CJD146" s="22"/>
      <c r="CJE146" s="22"/>
      <c r="CJF146" s="22"/>
      <c r="CJG146" s="22"/>
      <c r="CJH146" s="22"/>
      <c r="CJI146" s="22"/>
      <c r="CJJ146" s="22"/>
      <c r="CJK146" s="22"/>
      <c r="CJL146" s="22"/>
      <c r="CJM146" s="22"/>
      <c r="CJN146" s="22"/>
      <c r="CJO146" s="22"/>
      <c r="CJP146" s="22"/>
      <c r="CJQ146" s="22"/>
      <c r="CJR146" s="22"/>
      <c r="CJS146" s="22"/>
      <c r="CJT146" s="22"/>
      <c r="CJU146" s="22"/>
      <c r="CJV146" s="22"/>
      <c r="CJW146" s="22"/>
      <c r="CJX146" s="22"/>
      <c r="CJY146" s="22"/>
      <c r="CJZ146" s="22"/>
      <c r="CKA146" s="22"/>
      <c r="CKB146" s="22"/>
      <c r="CKC146" s="22"/>
      <c r="CKD146" s="22"/>
      <c r="CKE146" s="22"/>
      <c r="CKF146" s="22"/>
      <c r="CKG146" s="22"/>
      <c r="CKH146" s="22"/>
      <c r="CKI146" s="22"/>
      <c r="CKJ146" s="22"/>
      <c r="CKK146" s="22"/>
      <c r="CKL146" s="22"/>
      <c r="CKM146" s="22"/>
      <c r="CKN146" s="22"/>
      <c r="CKO146" s="22"/>
      <c r="CKP146" s="22"/>
      <c r="CKQ146" s="22"/>
      <c r="CKR146" s="22"/>
      <c r="CKS146" s="22"/>
      <c r="CKT146" s="22"/>
      <c r="CKU146" s="22"/>
      <c r="CKV146" s="22"/>
      <c r="CKW146" s="22"/>
      <c r="CKX146" s="22"/>
      <c r="CKY146" s="22"/>
      <c r="CKZ146" s="22"/>
      <c r="CLA146" s="22"/>
      <c r="CLB146" s="22"/>
      <c r="CLC146" s="22"/>
      <c r="CLD146" s="22"/>
      <c r="CLE146" s="22"/>
      <c r="CLF146" s="22"/>
      <c r="CLG146" s="22"/>
      <c r="CLH146" s="22"/>
      <c r="CLI146" s="22"/>
      <c r="CLJ146" s="22"/>
      <c r="CLK146" s="22"/>
      <c r="CLL146" s="22"/>
      <c r="CLM146" s="22"/>
      <c r="CLN146" s="22"/>
      <c r="CLO146" s="22"/>
      <c r="CLP146" s="22"/>
      <c r="CLQ146" s="22"/>
      <c r="CLR146" s="22"/>
      <c r="CLS146" s="22"/>
      <c r="CLT146" s="22"/>
      <c r="CLU146" s="22"/>
      <c r="CLV146" s="22"/>
      <c r="CLW146" s="22"/>
      <c r="CLX146" s="22"/>
      <c r="CLY146" s="22"/>
      <c r="CLZ146" s="22"/>
      <c r="CMA146" s="22"/>
      <c r="CMB146" s="22"/>
      <c r="CMC146" s="22"/>
      <c r="CMD146" s="22"/>
      <c r="CME146" s="22"/>
      <c r="CMF146" s="22"/>
      <c r="CMG146" s="22"/>
      <c r="CMH146" s="22"/>
      <c r="CMI146" s="22"/>
      <c r="CMJ146" s="22"/>
      <c r="CMK146" s="22"/>
      <c r="CML146" s="22"/>
      <c r="CMM146" s="22"/>
      <c r="CMN146" s="22"/>
      <c r="CMO146" s="22"/>
      <c r="CMP146" s="22"/>
      <c r="CMQ146" s="22"/>
      <c r="CMR146" s="22"/>
      <c r="CMS146" s="22"/>
      <c r="CMT146" s="22"/>
      <c r="CMU146" s="22"/>
      <c r="CMV146" s="22"/>
      <c r="CMW146" s="22"/>
      <c r="CMX146" s="22"/>
      <c r="CMY146" s="22"/>
      <c r="CMZ146" s="22"/>
      <c r="CNA146" s="22"/>
      <c r="CNB146" s="22"/>
      <c r="CNC146" s="22"/>
      <c r="CND146" s="22"/>
      <c r="CNE146" s="22"/>
      <c r="CNF146" s="22"/>
      <c r="CNG146" s="22"/>
      <c r="CNH146" s="22"/>
      <c r="CNI146" s="22"/>
      <c r="CNJ146" s="22"/>
      <c r="CNK146" s="22"/>
      <c r="CNL146" s="22"/>
      <c r="CNM146" s="22"/>
      <c r="CNN146" s="22"/>
      <c r="CNO146" s="22"/>
      <c r="CNP146" s="22"/>
      <c r="CNQ146" s="22"/>
      <c r="CNR146" s="22"/>
      <c r="CNS146" s="22"/>
      <c r="CNT146" s="22"/>
      <c r="CNU146" s="22"/>
      <c r="CNV146" s="22"/>
      <c r="CNW146" s="22"/>
      <c r="CNX146" s="22"/>
      <c r="CNY146" s="22"/>
      <c r="CNZ146" s="22"/>
      <c r="COA146" s="22"/>
      <c r="COB146" s="22"/>
      <c r="COC146" s="22"/>
      <c r="COD146" s="22"/>
      <c r="COE146" s="22"/>
      <c r="COF146" s="22"/>
      <c r="COG146" s="22"/>
      <c r="COH146" s="22"/>
      <c r="COI146" s="22"/>
      <c r="COJ146" s="22"/>
      <c r="COK146" s="22"/>
      <c r="COL146" s="22"/>
      <c r="COM146" s="22"/>
      <c r="CON146" s="22"/>
      <c r="COO146" s="22"/>
      <c r="COP146" s="22"/>
      <c r="COQ146" s="22"/>
      <c r="COR146" s="22"/>
      <c r="COS146" s="22"/>
      <c r="COT146" s="22"/>
      <c r="COU146" s="22"/>
      <c r="COV146" s="22"/>
      <c r="COW146" s="22"/>
      <c r="COX146" s="22"/>
      <c r="COY146" s="22"/>
      <c r="COZ146" s="22"/>
      <c r="CPA146" s="22"/>
      <c r="CPB146" s="22"/>
      <c r="CPC146" s="22"/>
      <c r="CPD146" s="22"/>
      <c r="CPE146" s="22"/>
      <c r="CPF146" s="22"/>
      <c r="CPG146" s="22"/>
      <c r="CPH146" s="22"/>
      <c r="CPI146" s="22"/>
      <c r="CPJ146" s="22"/>
      <c r="CPK146" s="22"/>
      <c r="CPL146" s="22"/>
      <c r="CPM146" s="22"/>
      <c r="CPN146" s="22"/>
      <c r="CPO146" s="22"/>
      <c r="CPP146" s="22"/>
      <c r="CPQ146" s="22"/>
      <c r="CPR146" s="22"/>
      <c r="CPS146" s="22"/>
      <c r="CPT146" s="22"/>
      <c r="CPU146" s="22"/>
      <c r="CPV146" s="22"/>
      <c r="CPW146" s="22"/>
      <c r="CPX146" s="22"/>
      <c r="CPY146" s="22"/>
      <c r="CPZ146" s="22"/>
      <c r="CQA146" s="22"/>
      <c r="CQB146" s="22"/>
      <c r="CQC146" s="22"/>
      <c r="CQD146" s="22"/>
      <c r="CQE146" s="22"/>
      <c r="CQF146" s="22"/>
      <c r="CQG146" s="22"/>
      <c r="CQH146" s="22"/>
      <c r="CQI146" s="22"/>
      <c r="CQJ146" s="22"/>
      <c r="CQK146" s="22"/>
      <c r="CQL146" s="22"/>
      <c r="CQM146" s="22"/>
      <c r="CQN146" s="22"/>
      <c r="CQO146" s="22"/>
      <c r="CQP146" s="22"/>
      <c r="CQQ146" s="22"/>
      <c r="CQR146" s="22"/>
      <c r="CQS146" s="22"/>
      <c r="CQT146" s="22"/>
      <c r="CQU146" s="22"/>
      <c r="CQV146" s="22"/>
      <c r="CQW146" s="22"/>
      <c r="CQX146" s="22"/>
      <c r="CQY146" s="22"/>
      <c r="CQZ146" s="22"/>
      <c r="CRA146" s="22"/>
      <c r="CRB146" s="22"/>
      <c r="CRC146" s="22"/>
      <c r="CRD146" s="22"/>
      <c r="CRE146" s="22"/>
      <c r="CRF146" s="22"/>
      <c r="CRG146" s="22"/>
      <c r="CRH146" s="22"/>
      <c r="CRI146" s="22"/>
      <c r="CRJ146" s="22"/>
      <c r="CRK146" s="22"/>
      <c r="CRL146" s="22"/>
      <c r="CRM146" s="22"/>
      <c r="CRN146" s="22"/>
      <c r="CRO146" s="22"/>
      <c r="CRP146" s="22"/>
      <c r="CRQ146" s="22"/>
      <c r="CRR146" s="22"/>
      <c r="CRS146" s="22"/>
      <c r="CRT146" s="22"/>
      <c r="CRU146" s="22"/>
      <c r="CRV146" s="22"/>
      <c r="CRW146" s="22"/>
      <c r="CRX146" s="22"/>
      <c r="CRY146" s="22"/>
      <c r="CRZ146" s="22"/>
      <c r="CSA146" s="22"/>
      <c r="CSB146" s="22"/>
      <c r="CSC146" s="22"/>
      <c r="CSD146" s="22"/>
      <c r="CSE146" s="22"/>
      <c r="CSF146" s="22"/>
      <c r="CSG146" s="22"/>
      <c r="CSH146" s="22"/>
      <c r="CSI146" s="22"/>
      <c r="CSJ146" s="22"/>
      <c r="CSK146" s="22"/>
      <c r="CSL146" s="22"/>
      <c r="CSM146" s="22"/>
      <c r="CSN146" s="22"/>
      <c r="CSO146" s="22"/>
      <c r="CSP146" s="22"/>
      <c r="CSQ146" s="22"/>
      <c r="CSR146" s="22"/>
      <c r="CSS146" s="22"/>
      <c r="CST146" s="22"/>
      <c r="CSU146" s="22"/>
      <c r="CSV146" s="22"/>
      <c r="CSW146" s="22"/>
      <c r="CSX146" s="22"/>
      <c r="CSY146" s="22"/>
      <c r="CSZ146" s="22"/>
      <c r="CTA146" s="22"/>
      <c r="CTB146" s="22"/>
      <c r="CTC146" s="22"/>
      <c r="CTD146" s="22"/>
      <c r="CTE146" s="22"/>
      <c r="CTF146" s="22"/>
      <c r="CTG146" s="22"/>
      <c r="CTH146" s="22"/>
      <c r="CTI146" s="22"/>
      <c r="CTJ146" s="22"/>
      <c r="CTK146" s="22"/>
      <c r="CTL146" s="22"/>
      <c r="CTM146" s="22"/>
      <c r="CTN146" s="22"/>
      <c r="CTO146" s="22"/>
      <c r="CTP146" s="22"/>
      <c r="CTQ146" s="22"/>
      <c r="CTR146" s="22"/>
      <c r="CTS146" s="22"/>
      <c r="CTT146" s="22"/>
      <c r="CTU146" s="22"/>
      <c r="CTV146" s="22"/>
      <c r="CTW146" s="22"/>
      <c r="CTX146" s="22"/>
      <c r="CTY146" s="22"/>
      <c r="CTZ146" s="22"/>
      <c r="CUA146" s="22"/>
      <c r="CUB146" s="22"/>
      <c r="CUC146" s="22"/>
      <c r="CUD146" s="22"/>
      <c r="CUE146" s="22"/>
      <c r="CUF146" s="22"/>
      <c r="CUG146" s="22"/>
      <c r="CUH146" s="22"/>
      <c r="CUI146" s="22"/>
      <c r="CUJ146" s="22"/>
      <c r="CUK146" s="22"/>
      <c r="CUL146" s="22"/>
      <c r="CUM146" s="22"/>
      <c r="CUN146" s="22"/>
      <c r="CUO146" s="22"/>
      <c r="CUP146" s="22"/>
      <c r="CUQ146" s="22"/>
      <c r="CUR146" s="22"/>
      <c r="CUS146" s="22"/>
      <c r="CUT146" s="22"/>
      <c r="CUU146" s="22"/>
      <c r="CUV146" s="22"/>
      <c r="CUW146" s="22"/>
      <c r="CUX146" s="22"/>
      <c r="CUY146" s="22"/>
      <c r="CUZ146" s="22"/>
      <c r="CVA146" s="22"/>
      <c r="CVB146" s="22"/>
      <c r="CVC146" s="22"/>
      <c r="CVD146" s="22"/>
      <c r="CVE146" s="22"/>
      <c r="CVF146" s="22"/>
      <c r="CVG146" s="22"/>
      <c r="CVH146" s="22"/>
      <c r="CVI146" s="22"/>
      <c r="CVJ146" s="22"/>
      <c r="CVK146" s="22"/>
      <c r="CVL146" s="22"/>
      <c r="CVM146" s="22"/>
      <c r="CVN146" s="22"/>
      <c r="CVO146" s="22"/>
      <c r="CVP146" s="22"/>
      <c r="CVQ146" s="22"/>
      <c r="CVR146" s="22"/>
      <c r="CVS146" s="22"/>
      <c r="CVT146" s="22"/>
      <c r="CVU146" s="22"/>
      <c r="CVV146" s="22"/>
      <c r="CVW146" s="22"/>
      <c r="CVX146" s="22"/>
      <c r="CVY146" s="22"/>
      <c r="CVZ146" s="22"/>
      <c r="CWA146" s="22"/>
      <c r="CWB146" s="22"/>
      <c r="CWC146" s="22"/>
      <c r="CWD146" s="22"/>
      <c r="CWE146" s="22"/>
      <c r="CWF146" s="22"/>
      <c r="CWG146" s="22"/>
      <c r="CWH146" s="22"/>
      <c r="CWI146" s="22"/>
      <c r="CWJ146" s="22"/>
      <c r="CWK146" s="22"/>
      <c r="CWL146" s="22"/>
      <c r="CWM146" s="22"/>
      <c r="CWN146" s="22"/>
      <c r="CWO146" s="22"/>
      <c r="CWP146" s="22"/>
      <c r="CWQ146" s="22"/>
      <c r="CWR146" s="22"/>
      <c r="CWS146" s="22"/>
      <c r="CWT146" s="22"/>
      <c r="CWU146" s="22"/>
      <c r="CWV146" s="22"/>
      <c r="CWW146" s="22"/>
      <c r="CWX146" s="22"/>
      <c r="CWY146" s="22"/>
      <c r="CWZ146" s="22"/>
      <c r="CXA146" s="22"/>
      <c r="CXB146" s="22"/>
      <c r="CXC146" s="22"/>
      <c r="CXD146" s="22"/>
      <c r="CXE146" s="22"/>
      <c r="CXF146" s="22"/>
      <c r="CXG146" s="22"/>
      <c r="CXH146" s="22"/>
      <c r="CXI146" s="22"/>
      <c r="CXJ146" s="22"/>
      <c r="CXK146" s="22"/>
      <c r="CXL146" s="22"/>
      <c r="CXM146" s="22"/>
      <c r="CXN146" s="22"/>
      <c r="CXO146" s="22"/>
      <c r="CXP146" s="22"/>
      <c r="CXQ146" s="22"/>
      <c r="CXR146" s="22"/>
      <c r="CXS146" s="22"/>
      <c r="CXT146" s="22"/>
      <c r="CXU146" s="22"/>
      <c r="CXV146" s="22"/>
      <c r="CXW146" s="22"/>
      <c r="CXX146" s="22"/>
      <c r="CXY146" s="22"/>
      <c r="CXZ146" s="22"/>
      <c r="CYA146" s="22"/>
      <c r="CYB146" s="22"/>
      <c r="CYC146" s="22"/>
      <c r="CYD146" s="22"/>
      <c r="CYE146" s="22"/>
      <c r="CYF146" s="22"/>
      <c r="CYG146" s="22"/>
      <c r="CYH146" s="22"/>
      <c r="CYI146" s="22"/>
      <c r="CYJ146" s="22"/>
      <c r="CYK146" s="22"/>
      <c r="CYL146" s="22"/>
      <c r="CYM146" s="22"/>
      <c r="CYN146" s="22"/>
      <c r="CYO146" s="22"/>
      <c r="CYP146" s="22"/>
      <c r="CYQ146" s="22"/>
      <c r="CYR146" s="22"/>
      <c r="CYS146" s="22"/>
      <c r="CYT146" s="22"/>
      <c r="CYU146" s="22"/>
      <c r="CYV146" s="22"/>
      <c r="CYW146" s="22"/>
      <c r="CYX146" s="22"/>
      <c r="CYY146" s="22"/>
      <c r="CYZ146" s="22"/>
      <c r="CZA146" s="22"/>
      <c r="CZB146" s="22"/>
      <c r="CZC146" s="22"/>
      <c r="CZD146" s="22"/>
      <c r="CZE146" s="22"/>
      <c r="CZF146" s="22"/>
      <c r="CZG146" s="22"/>
      <c r="CZH146" s="22"/>
      <c r="CZI146" s="22"/>
      <c r="CZJ146" s="22"/>
      <c r="CZK146" s="22"/>
      <c r="CZL146" s="22"/>
      <c r="CZM146" s="22"/>
      <c r="CZN146" s="22"/>
      <c r="CZO146" s="22"/>
      <c r="CZP146" s="22"/>
      <c r="CZQ146" s="22"/>
      <c r="CZR146" s="22"/>
      <c r="CZS146" s="22"/>
      <c r="CZT146" s="22"/>
      <c r="CZU146" s="22"/>
      <c r="CZV146" s="22"/>
      <c r="CZW146" s="22"/>
      <c r="CZX146" s="22"/>
      <c r="CZY146" s="22"/>
      <c r="CZZ146" s="22"/>
      <c r="DAA146" s="22"/>
      <c r="DAB146" s="22"/>
      <c r="DAC146" s="22"/>
      <c r="DAD146" s="22"/>
      <c r="DAE146" s="22"/>
      <c r="DAF146" s="22"/>
      <c r="DAG146" s="22"/>
      <c r="DAH146" s="22"/>
      <c r="DAI146" s="22"/>
      <c r="DAJ146" s="22"/>
      <c r="DAK146" s="22"/>
      <c r="DAL146" s="22"/>
      <c r="DAM146" s="22"/>
      <c r="DAN146" s="22"/>
      <c r="DAO146" s="22"/>
      <c r="DAP146" s="22"/>
      <c r="DAQ146" s="22"/>
      <c r="DAR146" s="22"/>
      <c r="DAS146" s="22"/>
      <c r="DAT146" s="22"/>
      <c r="DAU146" s="22"/>
      <c r="DAV146" s="22"/>
      <c r="DAW146" s="22"/>
      <c r="DAX146" s="22"/>
      <c r="DAY146" s="22"/>
      <c r="DAZ146" s="22"/>
      <c r="DBA146" s="22"/>
      <c r="DBB146" s="22"/>
      <c r="DBC146" s="22"/>
      <c r="DBD146" s="22"/>
      <c r="DBE146" s="22"/>
      <c r="DBF146" s="22"/>
      <c r="DBG146" s="22"/>
      <c r="DBH146" s="22"/>
      <c r="DBI146" s="22"/>
      <c r="DBJ146" s="22"/>
      <c r="DBK146" s="22"/>
      <c r="DBL146" s="22"/>
      <c r="DBM146" s="22"/>
      <c r="DBN146" s="22"/>
      <c r="DBO146" s="22"/>
      <c r="DBP146" s="22"/>
      <c r="DBQ146" s="22"/>
      <c r="DBR146" s="22"/>
      <c r="DBS146" s="22"/>
      <c r="DBT146" s="22"/>
      <c r="DBU146" s="22"/>
      <c r="DBV146" s="22"/>
      <c r="DBW146" s="22"/>
      <c r="DBX146" s="22"/>
      <c r="DBY146" s="22"/>
      <c r="DBZ146" s="22"/>
      <c r="DCA146" s="22"/>
      <c r="DCB146" s="22"/>
      <c r="DCC146" s="22"/>
      <c r="DCD146" s="22"/>
      <c r="DCE146" s="22"/>
      <c r="DCF146" s="22"/>
      <c r="DCG146" s="22"/>
      <c r="DCH146" s="22"/>
      <c r="DCI146" s="22"/>
      <c r="DCJ146" s="22"/>
      <c r="DCK146" s="22"/>
      <c r="DCL146" s="22"/>
      <c r="DCM146" s="22"/>
      <c r="DCN146" s="22"/>
      <c r="DCO146" s="22"/>
      <c r="DCP146" s="22"/>
      <c r="DCQ146" s="22"/>
      <c r="DCR146" s="22"/>
      <c r="DCS146" s="22"/>
      <c r="DCT146" s="22"/>
      <c r="DCU146" s="22"/>
      <c r="DCV146" s="22"/>
      <c r="DCW146" s="22"/>
      <c r="DCX146" s="22"/>
      <c r="DCY146" s="22"/>
      <c r="DCZ146" s="22"/>
      <c r="DDA146" s="22"/>
      <c r="DDB146" s="22"/>
      <c r="DDC146" s="22"/>
      <c r="DDD146" s="22"/>
      <c r="DDE146" s="22"/>
      <c r="DDF146" s="22"/>
      <c r="DDG146" s="22"/>
      <c r="DDH146" s="22"/>
      <c r="DDI146" s="22"/>
      <c r="DDJ146" s="22"/>
      <c r="DDK146" s="22"/>
      <c r="DDL146" s="22"/>
      <c r="DDM146" s="22"/>
      <c r="DDN146" s="22"/>
      <c r="DDO146" s="22"/>
      <c r="DDP146" s="22"/>
      <c r="DDQ146" s="22"/>
      <c r="DDR146" s="22"/>
      <c r="DDS146" s="22"/>
      <c r="DDT146" s="22"/>
      <c r="DDU146" s="22"/>
      <c r="DDV146" s="22"/>
      <c r="DDW146" s="22"/>
      <c r="DDX146" s="22"/>
      <c r="DDY146" s="22"/>
      <c r="DDZ146" s="22"/>
      <c r="DEA146" s="22"/>
      <c r="DEB146" s="22"/>
      <c r="DEC146" s="22"/>
      <c r="DED146" s="22"/>
      <c r="DEE146" s="22"/>
      <c r="DEF146" s="22"/>
      <c r="DEG146" s="22"/>
      <c r="DEH146" s="22"/>
      <c r="DEI146" s="22"/>
      <c r="DEJ146" s="22"/>
      <c r="DEK146" s="22"/>
      <c r="DEL146" s="22"/>
      <c r="DEM146" s="22"/>
      <c r="DEN146" s="22"/>
      <c r="DEO146" s="22"/>
      <c r="DEP146" s="22"/>
      <c r="DEQ146" s="22"/>
      <c r="DER146" s="22"/>
      <c r="DES146" s="22"/>
      <c r="DET146" s="22"/>
      <c r="DEU146" s="22"/>
      <c r="DEV146" s="22"/>
      <c r="DEW146" s="22"/>
      <c r="DEX146" s="22"/>
      <c r="DEY146" s="22"/>
      <c r="DEZ146" s="22"/>
      <c r="DFA146" s="22"/>
      <c r="DFB146" s="22"/>
      <c r="DFC146" s="22"/>
      <c r="DFD146" s="22"/>
      <c r="DFE146" s="22"/>
      <c r="DFF146" s="22"/>
      <c r="DFG146" s="22"/>
      <c r="DFH146" s="22"/>
      <c r="DFI146" s="22"/>
      <c r="DFJ146" s="22"/>
      <c r="DFK146" s="22"/>
      <c r="DFL146" s="22"/>
      <c r="DFM146" s="22"/>
      <c r="DFN146" s="22"/>
      <c r="DFO146" s="22"/>
      <c r="DFP146" s="22"/>
      <c r="DFQ146" s="22"/>
      <c r="DFR146" s="22"/>
      <c r="DFS146" s="22"/>
      <c r="DFT146" s="22"/>
      <c r="DFU146" s="22"/>
      <c r="DFV146" s="22"/>
      <c r="DFW146" s="22"/>
      <c r="DFX146" s="22"/>
      <c r="DFY146" s="22"/>
      <c r="DFZ146" s="22"/>
      <c r="DGA146" s="22"/>
      <c r="DGB146" s="22"/>
      <c r="DGC146" s="22"/>
      <c r="DGD146" s="22"/>
      <c r="DGE146" s="22"/>
      <c r="DGF146" s="22"/>
      <c r="DGG146" s="22"/>
      <c r="DGH146" s="22"/>
      <c r="DGI146" s="22"/>
      <c r="DGJ146" s="22"/>
      <c r="DGK146" s="22"/>
      <c r="DGL146" s="22"/>
      <c r="DGM146" s="22"/>
      <c r="DGN146" s="22"/>
      <c r="DGO146" s="22"/>
      <c r="DGP146" s="22"/>
      <c r="DGQ146" s="22"/>
      <c r="DGR146" s="22"/>
      <c r="DGS146" s="22"/>
      <c r="DGT146" s="22"/>
      <c r="DGU146" s="22"/>
      <c r="DGV146" s="22"/>
      <c r="DGW146" s="22"/>
      <c r="DGX146" s="22"/>
      <c r="DGY146" s="22"/>
      <c r="DGZ146" s="22"/>
      <c r="DHA146" s="22"/>
      <c r="DHB146" s="22"/>
      <c r="DHC146" s="22"/>
      <c r="DHD146" s="22"/>
      <c r="DHE146" s="22"/>
      <c r="DHF146" s="22"/>
      <c r="DHG146" s="22"/>
      <c r="DHH146" s="22"/>
      <c r="DHI146" s="22"/>
      <c r="DHJ146" s="22"/>
      <c r="DHK146" s="22"/>
      <c r="DHL146" s="22"/>
      <c r="DHM146" s="22"/>
      <c r="DHN146" s="22"/>
      <c r="DHO146" s="22"/>
      <c r="DHP146" s="22"/>
      <c r="DHQ146" s="22"/>
      <c r="DHR146" s="22"/>
      <c r="DHS146" s="22"/>
      <c r="DHT146" s="22"/>
      <c r="DHU146" s="22"/>
      <c r="DHV146" s="22"/>
      <c r="DHW146" s="22"/>
      <c r="DHX146" s="22"/>
      <c r="DHY146" s="22"/>
      <c r="DHZ146" s="22"/>
      <c r="DIA146" s="22"/>
      <c r="DIB146" s="22"/>
      <c r="DIC146" s="22"/>
      <c r="DID146" s="22"/>
      <c r="DIE146" s="22"/>
      <c r="DIF146" s="22"/>
      <c r="DIG146" s="22"/>
      <c r="DIH146" s="22"/>
      <c r="DII146" s="22"/>
      <c r="DIJ146" s="22"/>
      <c r="DIK146" s="22"/>
      <c r="DIL146" s="22"/>
      <c r="DIM146" s="22"/>
      <c r="DIN146" s="22"/>
      <c r="DIO146" s="22"/>
      <c r="DIP146" s="22"/>
      <c r="DIQ146" s="22"/>
      <c r="DIR146" s="22"/>
      <c r="DIS146" s="22"/>
      <c r="DIT146" s="22"/>
      <c r="DIU146" s="22"/>
      <c r="DIV146" s="22"/>
      <c r="DIW146" s="22"/>
      <c r="DIX146" s="22"/>
      <c r="DIY146" s="22"/>
      <c r="DIZ146" s="22"/>
      <c r="DJA146" s="22"/>
      <c r="DJB146" s="22"/>
      <c r="DJC146" s="22"/>
      <c r="DJD146" s="22"/>
      <c r="DJE146" s="22"/>
      <c r="DJF146" s="22"/>
      <c r="DJG146" s="22"/>
      <c r="DJH146" s="22"/>
      <c r="DJI146" s="22"/>
      <c r="DJJ146" s="22"/>
      <c r="DJK146" s="22"/>
      <c r="DJL146" s="22"/>
      <c r="DJM146" s="22"/>
      <c r="DJN146" s="22"/>
      <c r="DJO146" s="22"/>
      <c r="DJP146" s="22"/>
      <c r="DJQ146" s="22"/>
      <c r="DJR146" s="22"/>
      <c r="DJS146" s="22"/>
      <c r="DJT146" s="22"/>
      <c r="DJU146" s="22"/>
      <c r="DJV146" s="22"/>
      <c r="DJW146" s="22"/>
      <c r="DJX146" s="22"/>
      <c r="DJY146" s="22"/>
      <c r="DJZ146" s="22"/>
      <c r="DKA146" s="22"/>
      <c r="DKB146" s="22"/>
      <c r="DKC146" s="22"/>
      <c r="DKD146" s="22"/>
      <c r="DKE146" s="22"/>
      <c r="DKF146" s="22"/>
      <c r="DKG146" s="22"/>
      <c r="DKH146" s="22"/>
      <c r="DKI146" s="22"/>
      <c r="DKJ146" s="22"/>
      <c r="DKK146" s="22"/>
      <c r="DKL146" s="22"/>
      <c r="DKM146" s="22"/>
      <c r="DKN146" s="22"/>
      <c r="DKO146" s="22"/>
      <c r="DKP146" s="22"/>
      <c r="DKQ146" s="22"/>
      <c r="DKR146" s="22"/>
      <c r="DKS146" s="22"/>
      <c r="DKT146" s="22"/>
      <c r="DKU146" s="22"/>
      <c r="DKV146" s="22"/>
      <c r="DKW146" s="22"/>
      <c r="DKX146" s="22"/>
      <c r="DKY146" s="22"/>
      <c r="DKZ146" s="22"/>
      <c r="DLA146" s="22"/>
      <c r="DLB146" s="22"/>
      <c r="DLC146" s="22"/>
      <c r="DLD146" s="22"/>
      <c r="DLE146" s="22"/>
      <c r="DLF146" s="22"/>
      <c r="DLG146" s="22"/>
      <c r="DLH146" s="22"/>
      <c r="DLI146" s="22"/>
      <c r="DLJ146" s="22"/>
      <c r="DLK146" s="22"/>
      <c r="DLL146" s="22"/>
      <c r="DLM146" s="22"/>
      <c r="DLN146" s="22"/>
      <c r="DLO146" s="22"/>
      <c r="DLP146" s="22"/>
      <c r="DLQ146" s="22"/>
      <c r="DLR146" s="22"/>
      <c r="DLS146" s="22"/>
      <c r="DLT146" s="22"/>
      <c r="DLU146" s="22"/>
      <c r="DLV146" s="22"/>
      <c r="DLW146" s="22"/>
      <c r="DLX146" s="22"/>
      <c r="DLY146" s="22"/>
      <c r="DLZ146" s="22"/>
      <c r="DMA146" s="22"/>
      <c r="DMB146" s="22"/>
      <c r="DMC146" s="22"/>
      <c r="DMD146" s="22"/>
      <c r="DME146" s="22"/>
      <c r="DMF146" s="22"/>
      <c r="DMG146" s="22"/>
      <c r="DMH146" s="22"/>
      <c r="DMI146" s="22"/>
      <c r="DMJ146" s="22"/>
      <c r="DMK146" s="22"/>
      <c r="DML146" s="22"/>
      <c r="DMM146" s="22"/>
      <c r="DMN146" s="22"/>
      <c r="DMO146" s="22"/>
      <c r="DMP146" s="22"/>
      <c r="DMQ146" s="22"/>
      <c r="DMR146" s="22"/>
      <c r="DMS146" s="22"/>
      <c r="DMT146" s="22"/>
      <c r="DMU146" s="22"/>
      <c r="DMV146" s="22"/>
      <c r="DMW146" s="22"/>
      <c r="DMX146" s="22"/>
      <c r="DMY146" s="22"/>
      <c r="DMZ146" s="22"/>
      <c r="DNA146" s="22"/>
      <c r="DNB146" s="22"/>
      <c r="DNC146" s="22"/>
      <c r="DND146" s="22"/>
      <c r="DNE146" s="22"/>
      <c r="DNF146" s="22"/>
      <c r="DNG146" s="22"/>
      <c r="DNH146" s="22"/>
      <c r="DNI146" s="22"/>
      <c r="DNJ146" s="22"/>
      <c r="DNK146" s="22"/>
      <c r="DNL146" s="22"/>
      <c r="DNM146" s="22"/>
      <c r="DNN146" s="22"/>
      <c r="DNO146" s="22"/>
      <c r="DNP146" s="22"/>
      <c r="DNQ146" s="22"/>
      <c r="DNR146" s="22"/>
      <c r="DNS146" s="22"/>
      <c r="DNT146" s="22"/>
      <c r="DNU146" s="22"/>
      <c r="DNV146" s="22"/>
      <c r="DNW146" s="22"/>
      <c r="DNX146" s="22"/>
      <c r="DNY146" s="22"/>
      <c r="DNZ146" s="22"/>
      <c r="DOA146" s="22"/>
      <c r="DOB146" s="22"/>
      <c r="DOC146" s="22"/>
      <c r="DOD146" s="22"/>
      <c r="DOE146" s="22"/>
      <c r="DOF146" s="22"/>
      <c r="DOG146" s="22"/>
      <c r="DOH146" s="22"/>
      <c r="DOI146" s="22"/>
      <c r="DOJ146" s="22"/>
      <c r="DOK146" s="22"/>
      <c r="DOL146" s="22"/>
      <c r="DOM146" s="22"/>
      <c r="DON146" s="22"/>
      <c r="DOO146" s="22"/>
      <c r="DOP146" s="22"/>
      <c r="DOQ146" s="22"/>
      <c r="DOR146" s="22"/>
      <c r="DOS146" s="22"/>
      <c r="DOT146" s="22"/>
      <c r="DOU146" s="22"/>
      <c r="DOV146" s="22"/>
      <c r="DOW146" s="22"/>
      <c r="DOX146" s="22"/>
      <c r="DOY146" s="22"/>
      <c r="DOZ146" s="22"/>
      <c r="DPA146" s="22"/>
      <c r="DPB146" s="22"/>
      <c r="DPC146" s="22"/>
      <c r="DPD146" s="22"/>
      <c r="DPE146" s="22"/>
      <c r="DPF146" s="22"/>
      <c r="DPG146" s="22"/>
      <c r="DPH146" s="22"/>
      <c r="DPI146" s="22"/>
      <c r="DPJ146" s="22"/>
      <c r="DPK146" s="22"/>
      <c r="DPL146" s="22"/>
      <c r="DPM146" s="22"/>
      <c r="DPN146" s="22"/>
      <c r="DPO146" s="22"/>
      <c r="DPP146" s="22"/>
      <c r="DPQ146" s="22"/>
      <c r="DPR146" s="22"/>
      <c r="DPS146" s="22"/>
      <c r="DPT146" s="22"/>
      <c r="DPU146" s="22"/>
      <c r="DPV146" s="22"/>
      <c r="DPW146" s="22"/>
      <c r="DPX146" s="22"/>
      <c r="DPY146" s="22"/>
      <c r="DPZ146" s="22"/>
      <c r="DQA146" s="22"/>
      <c r="DQB146" s="22"/>
      <c r="DQC146" s="22"/>
      <c r="DQD146" s="22"/>
      <c r="DQE146" s="22"/>
      <c r="DQF146" s="22"/>
      <c r="DQG146" s="22"/>
      <c r="DQH146" s="22"/>
      <c r="DQI146" s="22"/>
      <c r="DQJ146" s="22"/>
      <c r="DQK146" s="22"/>
      <c r="DQL146" s="22"/>
      <c r="DQM146" s="22"/>
      <c r="DQN146" s="22"/>
      <c r="DQO146" s="22"/>
      <c r="DQP146" s="22"/>
      <c r="DQQ146" s="22"/>
      <c r="DQR146" s="22"/>
      <c r="DQS146" s="22"/>
      <c r="DQT146" s="22"/>
      <c r="DQU146" s="22"/>
      <c r="DQV146" s="22"/>
      <c r="DQW146" s="22"/>
      <c r="DQX146" s="22"/>
      <c r="DQY146" s="22"/>
      <c r="DQZ146" s="22"/>
      <c r="DRA146" s="22"/>
      <c r="DRB146" s="22"/>
      <c r="DRC146" s="22"/>
      <c r="DRD146" s="22"/>
      <c r="DRE146" s="22"/>
      <c r="DRF146" s="22"/>
      <c r="DRG146" s="22"/>
      <c r="DRH146" s="22"/>
      <c r="DRI146" s="22"/>
      <c r="DRJ146" s="22"/>
      <c r="DRK146" s="22"/>
      <c r="DRL146" s="22"/>
      <c r="DRM146" s="22"/>
      <c r="DRN146" s="22"/>
      <c r="DRO146" s="22"/>
      <c r="DRP146" s="22"/>
      <c r="DRQ146" s="22"/>
      <c r="DRR146" s="22"/>
      <c r="DRS146" s="22"/>
      <c r="DRT146" s="22"/>
      <c r="DRU146" s="22"/>
      <c r="DRV146" s="22"/>
      <c r="DRW146" s="22"/>
      <c r="DRX146" s="22"/>
      <c r="DRY146" s="22"/>
      <c r="DRZ146" s="22"/>
      <c r="DSA146" s="22"/>
      <c r="DSB146" s="22"/>
      <c r="DSC146" s="22"/>
      <c r="DSD146" s="22"/>
      <c r="DSE146" s="22"/>
      <c r="DSF146" s="22"/>
      <c r="DSG146" s="22"/>
      <c r="DSH146" s="22"/>
      <c r="DSI146" s="22"/>
      <c r="DSJ146" s="22"/>
      <c r="DSK146" s="22"/>
      <c r="DSL146" s="22"/>
      <c r="DSM146" s="22"/>
      <c r="DSN146" s="22"/>
      <c r="DSO146" s="22"/>
      <c r="DSP146" s="22"/>
      <c r="DSQ146" s="22"/>
      <c r="DSR146" s="22"/>
      <c r="DSS146" s="22"/>
      <c r="DST146" s="22"/>
      <c r="DSU146" s="22"/>
      <c r="DSV146" s="22"/>
      <c r="DSW146" s="22"/>
      <c r="DSX146" s="22"/>
      <c r="DSY146" s="22"/>
      <c r="DSZ146" s="22"/>
      <c r="DTA146" s="22"/>
      <c r="DTB146" s="22"/>
      <c r="DTC146" s="22"/>
      <c r="DTD146" s="22"/>
      <c r="DTE146" s="22"/>
      <c r="DTF146" s="22"/>
      <c r="DTG146" s="22"/>
      <c r="DTH146" s="22"/>
      <c r="DTI146" s="22"/>
      <c r="DTJ146" s="22"/>
      <c r="DTK146" s="22"/>
      <c r="DTL146" s="22"/>
      <c r="DTM146" s="22"/>
      <c r="DTN146" s="22"/>
      <c r="DTO146" s="22"/>
      <c r="DTP146" s="22"/>
      <c r="DTQ146" s="22"/>
      <c r="DTR146" s="22"/>
      <c r="DTS146" s="22"/>
      <c r="DTT146" s="22"/>
      <c r="DTU146" s="22"/>
      <c r="DTV146" s="22"/>
      <c r="DTW146" s="22"/>
      <c r="DTX146" s="22"/>
      <c r="DTY146" s="22"/>
      <c r="DTZ146" s="22"/>
      <c r="DUA146" s="22"/>
      <c r="DUB146" s="22"/>
      <c r="DUC146" s="22"/>
      <c r="DUD146" s="22"/>
      <c r="DUE146" s="22"/>
      <c r="DUF146" s="22"/>
      <c r="DUG146" s="22"/>
      <c r="DUH146" s="22"/>
      <c r="DUI146" s="22"/>
      <c r="DUJ146" s="22"/>
      <c r="DUK146" s="22"/>
      <c r="DUL146" s="22"/>
      <c r="DUM146" s="22"/>
      <c r="DUN146" s="22"/>
      <c r="DUO146" s="22"/>
      <c r="DUP146" s="22"/>
      <c r="DUQ146" s="22"/>
      <c r="DUR146" s="22"/>
      <c r="DUS146" s="22"/>
      <c r="DUT146" s="22"/>
      <c r="DUU146" s="22"/>
      <c r="DUV146" s="22"/>
      <c r="DUW146" s="22"/>
      <c r="DUX146" s="22"/>
      <c r="DUY146" s="22"/>
      <c r="DUZ146" s="22"/>
      <c r="DVA146" s="22"/>
      <c r="DVB146" s="22"/>
      <c r="DVC146" s="22"/>
      <c r="DVD146" s="22"/>
      <c r="DVE146" s="22"/>
      <c r="DVF146" s="22"/>
      <c r="DVG146" s="22"/>
      <c r="DVH146" s="22"/>
      <c r="DVI146" s="22"/>
      <c r="DVJ146" s="22"/>
      <c r="DVK146" s="22"/>
      <c r="DVL146" s="22"/>
      <c r="DVM146" s="22"/>
      <c r="DVN146" s="22"/>
      <c r="DVO146" s="22"/>
      <c r="DVP146" s="22"/>
      <c r="DVQ146" s="22"/>
      <c r="DVR146" s="22"/>
      <c r="DVS146" s="22"/>
      <c r="DVT146" s="22"/>
      <c r="DVU146" s="22"/>
      <c r="DVV146" s="22"/>
      <c r="DVW146" s="22"/>
      <c r="DVX146" s="22"/>
      <c r="DVY146" s="22"/>
      <c r="DVZ146" s="22"/>
      <c r="DWA146" s="22"/>
      <c r="DWB146" s="22"/>
      <c r="DWC146" s="22"/>
      <c r="DWD146" s="22"/>
      <c r="DWE146" s="22"/>
      <c r="DWF146" s="22"/>
      <c r="DWG146" s="22"/>
      <c r="DWH146" s="22"/>
      <c r="DWI146" s="22"/>
      <c r="DWJ146" s="22"/>
      <c r="DWK146" s="22"/>
      <c r="DWL146" s="22"/>
      <c r="DWM146" s="22"/>
      <c r="DWN146" s="22"/>
      <c r="DWO146" s="22"/>
      <c r="DWP146" s="22"/>
      <c r="DWQ146" s="22"/>
      <c r="DWR146" s="22"/>
      <c r="DWS146" s="22"/>
      <c r="DWT146" s="22"/>
      <c r="DWU146" s="22"/>
      <c r="DWV146" s="22"/>
      <c r="DWW146" s="22"/>
      <c r="DWX146" s="22"/>
      <c r="DWY146" s="22"/>
      <c r="DWZ146" s="22"/>
      <c r="DXA146" s="22"/>
      <c r="DXB146" s="22"/>
      <c r="DXC146" s="22"/>
      <c r="DXD146" s="22"/>
      <c r="DXE146" s="22"/>
      <c r="DXF146" s="22"/>
      <c r="DXG146" s="22"/>
      <c r="DXH146" s="22"/>
      <c r="DXI146" s="22"/>
      <c r="DXJ146" s="22"/>
      <c r="DXK146" s="22"/>
      <c r="DXL146" s="22"/>
      <c r="DXM146" s="22"/>
      <c r="DXN146" s="22"/>
      <c r="DXO146" s="22"/>
      <c r="DXP146" s="22"/>
      <c r="DXQ146" s="22"/>
      <c r="DXR146" s="22"/>
      <c r="DXS146" s="22"/>
      <c r="DXT146" s="22"/>
      <c r="DXU146" s="22"/>
      <c r="DXV146" s="22"/>
      <c r="DXW146" s="22"/>
      <c r="DXX146" s="22"/>
      <c r="DXY146" s="22"/>
      <c r="DXZ146" s="22"/>
      <c r="DYA146" s="22"/>
      <c r="DYB146" s="22"/>
      <c r="DYC146" s="22"/>
      <c r="DYD146" s="22"/>
      <c r="DYE146" s="22"/>
      <c r="DYF146" s="22"/>
      <c r="DYG146" s="22"/>
      <c r="DYH146" s="22"/>
      <c r="DYI146" s="22"/>
      <c r="DYJ146" s="22"/>
      <c r="DYK146" s="22"/>
      <c r="DYL146" s="22"/>
      <c r="DYM146" s="22"/>
      <c r="DYN146" s="22"/>
      <c r="DYO146" s="22"/>
      <c r="DYP146" s="22"/>
      <c r="DYQ146" s="22"/>
      <c r="DYR146" s="22"/>
      <c r="DYS146" s="22"/>
      <c r="DYT146" s="22"/>
      <c r="DYU146" s="22"/>
      <c r="DYV146" s="22"/>
      <c r="DYW146" s="22"/>
      <c r="DYX146" s="22"/>
      <c r="DYY146" s="22"/>
      <c r="DYZ146" s="22"/>
      <c r="DZA146" s="22"/>
      <c r="DZB146" s="22"/>
      <c r="DZC146" s="22"/>
      <c r="DZD146" s="22"/>
      <c r="DZE146" s="22"/>
      <c r="DZF146" s="22"/>
      <c r="DZG146" s="22"/>
      <c r="DZH146" s="22"/>
      <c r="DZI146" s="22"/>
      <c r="DZJ146" s="22"/>
      <c r="DZK146" s="22"/>
      <c r="DZL146" s="22"/>
      <c r="DZM146" s="22"/>
      <c r="DZN146" s="22"/>
      <c r="DZO146" s="22"/>
      <c r="DZP146" s="22"/>
      <c r="DZQ146" s="22"/>
      <c r="DZR146" s="22"/>
      <c r="DZS146" s="22"/>
      <c r="DZT146" s="22"/>
      <c r="DZU146" s="22"/>
      <c r="DZV146" s="22"/>
      <c r="DZW146" s="22"/>
      <c r="DZX146" s="22"/>
      <c r="DZY146" s="22"/>
      <c r="DZZ146" s="22"/>
      <c r="EAA146" s="22"/>
      <c r="EAB146" s="22"/>
      <c r="EAC146" s="22"/>
      <c r="EAD146" s="22"/>
      <c r="EAE146" s="22"/>
      <c r="EAF146" s="22"/>
      <c r="EAG146" s="22"/>
      <c r="EAH146" s="22"/>
      <c r="EAI146" s="22"/>
      <c r="EAJ146" s="22"/>
      <c r="EAK146" s="22"/>
      <c r="EAL146" s="22"/>
      <c r="EAM146" s="22"/>
      <c r="EAN146" s="22"/>
      <c r="EAO146" s="22"/>
      <c r="EAP146" s="22"/>
      <c r="EAQ146" s="22"/>
      <c r="EAR146" s="22"/>
      <c r="EAS146" s="22"/>
      <c r="EAT146" s="22"/>
      <c r="EAU146" s="22"/>
      <c r="EAV146" s="22"/>
      <c r="EAW146" s="22"/>
      <c r="EAX146" s="22"/>
      <c r="EAY146" s="22"/>
      <c r="EAZ146" s="22"/>
      <c r="EBA146" s="22"/>
      <c r="EBB146" s="22"/>
      <c r="EBC146" s="22"/>
      <c r="EBD146" s="22"/>
      <c r="EBE146" s="22"/>
      <c r="EBF146" s="22"/>
      <c r="EBG146" s="22"/>
      <c r="EBH146" s="22"/>
      <c r="EBI146" s="22"/>
      <c r="EBJ146" s="22"/>
      <c r="EBK146" s="22"/>
      <c r="EBL146" s="22"/>
      <c r="EBM146" s="22"/>
      <c r="EBN146" s="22"/>
      <c r="EBO146" s="22"/>
      <c r="EBP146" s="22"/>
      <c r="EBQ146" s="22"/>
      <c r="EBR146" s="22"/>
      <c r="EBS146" s="22"/>
      <c r="EBT146" s="22"/>
      <c r="EBU146" s="22"/>
      <c r="EBV146" s="22"/>
      <c r="EBW146" s="22"/>
      <c r="EBX146" s="22"/>
      <c r="EBY146" s="22"/>
      <c r="EBZ146" s="22"/>
      <c r="ECA146" s="22"/>
      <c r="ECB146" s="22"/>
      <c r="ECC146" s="22"/>
      <c r="ECD146" s="22"/>
      <c r="ECE146" s="22"/>
      <c r="ECF146" s="22"/>
      <c r="ECG146" s="22"/>
      <c r="ECH146" s="22"/>
      <c r="ECI146" s="22"/>
      <c r="ECJ146" s="22"/>
      <c r="ECK146" s="22"/>
      <c r="ECL146" s="22"/>
      <c r="ECM146" s="22"/>
      <c r="ECN146" s="22"/>
      <c r="ECO146" s="22"/>
      <c r="ECP146" s="22"/>
      <c r="ECQ146" s="22"/>
      <c r="ECR146" s="22"/>
      <c r="ECS146" s="22"/>
      <c r="ECT146" s="22"/>
      <c r="ECU146" s="22"/>
      <c r="ECV146" s="22"/>
      <c r="ECW146" s="22"/>
      <c r="ECX146" s="22"/>
      <c r="ECY146" s="22"/>
      <c r="ECZ146" s="22"/>
      <c r="EDA146" s="22"/>
      <c r="EDB146" s="22"/>
      <c r="EDC146" s="22"/>
      <c r="EDD146" s="22"/>
      <c r="EDE146" s="22"/>
      <c r="EDF146" s="22"/>
      <c r="EDG146" s="22"/>
      <c r="EDH146" s="22"/>
      <c r="EDI146" s="22"/>
      <c r="EDJ146" s="22"/>
      <c r="EDK146" s="22"/>
      <c r="EDL146" s="22"/>
      <c r="EDM146" s="22"/>
      <c r="EDN146" s="22"/>
      <c r="EDO146" s="22"/>
      <c r="EDP146" s="22"/>
      <c r="EDQ146" s="22"/>
      <c r="EDR146" s="22"/>
      <c r="EDS146" s="22"/>
      <c r="EDT146" s="22"/>
      <c r="EDU146" s="22"/>
      <c r="EDV146" s="22"/>
      <c r="EDW146" s="22"/>
      <c r="EDX146" s="22"/>
      <c r="EDY146" s="22"/>
      <c r="EDZ146" s="22"/>
      <c r="EEA146" s="22"/>
      <c r="EEB146" s="22"/>
      <c r="EEC146" s="22"/>
      <c r="EED146" s="22"/>
      <c r="EEE146" s="22"/>
      <c r="EEF146" s="22"/>
      <c r="EEG146" s="22"/>
      <c r="EEH146" s="22"/>
      <c r="EEI146" s="22"/>
      <c r="EEJ146" s="22"/>
      <c r="EEK146" s="22"/>
      <c r="EEL146" s="22"/>
      <c r="EEM146" s="22"/>
      <c r="EEN146" s="22"/>
      <c r="EEO146" s="22"/>
      <c r="EEP146" s="22"/>
      <c r="EEQ146" s="22"/>
      <c r="EER146" s="22"/>
      <c r="EES146" s="22"/>
      <c r="EET146" s="22"/>
      <c r="EEU146" s="22"/>
      <c r="EEV146" s="22"/>
      <c r="EEW146" s="22"/>
      <c r="EEX146" s="22"/>
      <c r="EEY146" s="22"/>
      <c r="EEZ146" s="22"/>
      <c r="EFA146" s="22"/>
      <c r="EFB146" s="22"/>
      <c r="EFC146" s="22"/>
      <c r="EFD146" s="22"/>
      <c r="EFE146" s="22"/>
      <c r="EFF146" s="22"/>
      <c r="EFG146" s="22"/>
      <c r="EFH146" s="22"/>
      <c r="EFI146" s="22"/>
      <c r="EFJ146" s="22"/>
      <c r="EFK146" s="22"/>
      <c r="EFL146" s="22"/>
      <c r="EFM146" s="22"/>
      <c r="EFN146" s="22"/>
      <c r="EFO146" s="22"/>
      <c r="EFP146" s="22"/>
      <c r="EFQ146" s="22"/>
      <c r="EFR146" s="22"/>
      <c r="EFS146" s="22"/>
      <c r="EFT146" s="22"/>
      <c r="EFU146" s="22"/>
      <c r="EFV146" s="22"/>
      <c r="EFW146" s="22"/>
      <c r="EFX146" s="22"/>
      <c r="EFY146" s="22"/>
      <c r="EFZ146" s="22"/>
      <c r="EGA146" s="22"/>
      <c r="EGB146" s="22"/>
      <c r="EGC146" s="22"/>
      <c r="EGD146" s="22"/>
      <c r="EGE146" s="22"/>
      <c r="EGF146" s="22"/>
      <c r="EGG146" s="22"/>
      <c r="EGH146" s="22"/>
      <c r="EGI146" s="22"/>
      <c r="EGJ146" s="22"/>
      <c r="EGK146" s="22"/>
      <c r="EGL146" s="22"/>
      <c r="EGM146" s="22"/>
      <c r="EGN146" s="22"/>
      <c r="EGO146" s="22"/>
      <c r="EGP146" s="22"/>
      <c r="EGQ146" s="22"/>
      <c r="EGR146" s="22"/>
      <c r="EGS146" s="22"/>
      <c r="EGT146" s="22"/>
      <c r="EGU146" s="22"/>
      <c r="EGV146" s="22"/>
      <c r="EGW146" s="22"/>
      <c r="EGX146" s="22"/>
      <c r="EGY146" s="22"/>
      <c r="EGZ146" s="22"/>
      <c r="EHA146" s="22"/>
      <c r="EHB146" s="22"/>
      <c r="EHC146" s="22"/>
      <c r="EHD146" s="22"/>
      <c r="EHE146" s="22"/>
      <c r="EHF146" s="22"/>
      <c r="EHG146" s="22"/>
      <c r="EHH146" s="22"/>
      <c r="EHI146" s="22"/>
      <c r="EHJ146" s="22"/>
      <c r="EHK146" s="22"/>
      <c r="EHL146" s="22"/>
      <c r="EHM146" s="22"/>
      <c r="EHN146" s="22"/>
      <c r="EHO146" s="22"/>
      <c r="EHP146" s="22"/>
      <c r="EHQ146" s="22"/>
      <c r="EHR146" s="22"/>
      <c r="EHS146" s="22"/>
      <c r="EHT146" s="22"/>
      <c r="EHU146" s="22"/>
      <c r="EHV146" s="22"/>
      <c r="EHW146" s="22"/>
      <c r="EHX146" s="22"/>
      <c r="EHY146" s="22"/>
      <c r="EHZ146" s="22"/>
      <c r="EIA146" s="22"/>
      <c r="EIB146" s="22"/>
      <c r="EIC146" s="22"/>
      <c r="EID146" s="22"/>
      <c r="EIE146" s="22"/>
      <c r="EIF146" s="22"/>
      <c r="EIG146" s="22"/>
      <c r="EIH146" s="22"/>
      <c r="EII146" s="22"/>
      <c r="EIJ146" s="22"/>
      <c r="EIK146" s="22"/>
      <c r="EIL146" s="22"/>
      <c r="EIM146" s="22"/>
      <c r="EIN146" s="22"/>
      <c r="EIO146" s="22"/>
      <c r="EIP146" s="22"/>
      <c r="EIQ146" s="22"/>
      <c r="EIR146" s="22"/>
      <c r="EIS146" s="22"/>
      <c r="EIT146" s="22"/>
      <c r="EIU146" s="22"/>
      <c r="EIV146" s="22"/>
      <c r="EIW146" s="22"/>
      <c r="EIX146" s="22"/>
      <c r="EIY146" s="22"/>
      <c r="EIZ146" s="22"/>
      <c r="EJA146" s="22"/>
      <c r="EJB146" s="22"/>
      <c r="EJC146" s="22"/>
      <c r="EJD146" s="22"/>
      <c r="EJE146" s="22"/>
      <c r="EJF146" s="22"/>
      <c r="EJG146" s="22"/>
      <c r="EJH146" s="22"/>
      <c r="EJI146" s="22"/>
      <c r="EJJ146" s="22"/>
      <c r="EJK146" s="22"/>
      <c r="EJL146" s="22"/>
      <c r="EJM146" s="22"/>
      <c r="EJN146" s="22"/>
      <c r="EJO146" s="22"/>
      <c r="EJP146" s="22"/>
      <c r="EJQ146" s="22"/>
      <c r="EJR146" s="22"/>
      <c r="EJS146" s="22"/>
      <c r="EJT146" s="22"/>
      <c r="EJU146" s="22"/>
      <c r="EJV146" s="22"/>
      <c r="EJW146" s="22"/>
      <c r="EJX146" s="22"/>
      <c r="EJY146" s="22"/>
      <c r="EJZ146" s="22"/>
      <c r="EKA146" s="22"/>
      <c r="EKB146" s="22"/>
      <c r="EKC146" s="22"/>
      <c r="EKD146" s="22"/>
      <c r="EKE146" s="22"/>
      <c r="EKF146" s="22"/>
      <c r="EKG146" s="22"/>
      <c r="EKH146" s="22"/>
      <c r="EKI146" s="22"/>
      <c r="EKJ146" s="22"/>
      <c r="EKK146" s="22"/>
      <c r="EKL146" s="22"/>
      <c r="EKM146" s="22"/>
      <c r="EKN146" s="22"/>
      <c r="EKO146" s="22"/>
      <c r="EKP146" s="22"/>
      <c r="EKQ146" s="22"/>
      <c r="EKR146" s="22"/>
      <c r="EKS146" s="22"/>
      <c r="EKT146" s="22"/>
      <c r="EKU146" s="22"/>
      <c r="EKV146" s="22"/>
      <c r="EKW146" s="22"/>
      <c r="EKX146" s="22"/>
      <c r="EKY146" s="22"/>
      <c r="EKZ146" s="22"/>
      <c r="ELA146" s="22"/>
      <c r="ELB146" s="22"/>
      <c r="ELC146" s="22"/>
      <c r="ELD146" s="22"/>
      <c r="ELE146" s="22"/>
      <c r="ELF146" s="22"/>
      <c r="ELG146" s="22"/>
      <c r="ELH146" s="22"/>
      <c r="ELI146" s="22"/>
      <c r="ELJ146" s="22"/>
      <c r="ELK146" s="22"/>
      <c r="ELL146" s="22"/>
      <c r="ELM146" s="22"/>
      <c r="ELN146" s="22"/>
      <c r="ELO146" s="22"/>
      <c r="ELP146" s="22"/>
      <c r="ELQ146" s="22"/>
      <c r="ELR146" s="22"/>
      <c r="ELS146" s="22"/>
      <c r="ELT146" s="22"/>
      <c r="ELU146" s="22"/>
      <c r="ELV146" s="22"/>
      <c r="ELW146" s="22"/>
      <c r="ELX146" s="22"/>
      <c r="ELY146" s="22"/>
      <c r="ELZ146" s="22"/>
      <c r="EMA146" s="22"/>
      <c r="EMB146" s="22"/>
      <c r="EMC146" s="22"/>
      <c r="EMD146" s="22"/>
      <c r="EME146" s="22"/>
      <c r="EMF146" s="22"/>
      <c r="EMG146" s="22"/>
      <c r="EMH146" s="22"/>
      <c r="EMI146" s="22"/>
      <c r="EMJ146" s="22"/>
      <c r="EMK146" s="22"/>
      <c r="EML146" s="22"/>
      <c r="EMM146" s="22"/>
      <c r="EMN146" s="22"/>
      <c r="EMO146" s="22"/>
      <c r="EMP146" s="22"/>
      <c r="EMQ146" s="22"/>
      <c r="EMR146" s="22"/>
      <c r="EMS146" s="22"/>
      <c r="EMT146" s="22"/>
      <c r="EMU146" s="22"/>
      <c r="EMV146" s="22"/>
      <c r="EMW146" s="22"/>
      <c r="EMX146" s="22"/>
      <c r="EMY146" s="22"/>
      <c r="EMZ146" s="22"/>
      <c r="ENA146" s="22"/>
      <c r="ENB146" s="22"/>
      <c r="ENC146" s="22"/>
      <c r="END146" s="22"/>
      <c r="ENE146" s="22"/>
      <c r="ENF146" s="22"/>
      <c r="ENG146" s="22"/>
      <c r="ENH146" s="22"/>
      <c r="ENI146" s="22"/>
      <c r="ENJ146" s="22"/>
      <c r="ENK146" s="22"/>
      <c r="ENL146" s="22"/>
      <c r="ENM146" s="22"/>
      <c r="ENN146" s="22"/>
      <c r="ENO146" s="22"/>
      <c r="ENP146" s="22"/>
      <c r="ENQ146" s="22"/>
      <c r="ENR146" s="22"/>
      <c r="ENS146" s="22"/>
      <c r="ENT146" s="22"/>
      <c r="ENU146" s="22"/>
      <c r="ENV146" s="22"/>
      <c r="ENW146" s="22"/>
      <c r="ENX146" s="22"/>
      <c r="ENY146" s="22"/>
      <c r="ENZ146" s="22"/>
      <c r="EOA146" s="22"/>
      <c r="EOB146" s="22"/>
      <c r="EOC146" s="22"/>
      <c r="EOD146" s="22"/>
      <c r="EOE146" s="22"/>
      <c r="EOF146" s="22"/>
      <c r="EOG146" s="22"/>
      <c r="EOH146" s="22"/>
      <c r="EOI146" s="22"/>
      <c r="EOJ146" s="22"/>
      <c r="EOK146" s="22"/>
      <c r="EOL146" s="22"/>
      <c r="EOM146" s="22"/>
      <c r="EON146" s="22"/>
      <c r="EOO146" s="22"/>
      <c r="EOP146" s="22"/>
      <c r="EOQ146" s="22"/>
      <c r="EOR146" s="22"/>
      <c r="EOS146" s="22"/>
      <c r="EOT146" s="22"/>
      <c r="EOU146" s="22"/>
      <c r="EOV146" s="22"/>
      <c r="EOW146" s="22"/>
      <c r="EOX146" s="22"/>
      <c r="EOY146" s="22"/>
      <c r="EOZ146" s="22"/>
      <c r="EPA146" s="22"/>
      <c r="EPB146" s="22"/>
      <c r="EPC146" s="22"/>
      <c r="EPD146" s="22"/>
      <c r="EPE146" s="22"/>
      <c r="EPF146" s="22"/>
      <c r="EPG146" s="22"/>
      <c r="EPH146" s="22"/>
      <c r="EPI146" s="22"/>
      <c r="EPJ146" s="22"/>
      <c r="EPK146" s="22"/>
      <c r="EPL146" s="22"/>
      <c r="EPM146" s="22"/>
      <c r="EPN146" s="22"/>
      <c r="EPO146" s="22"/>
      <c r="EPP146" s="22"/>
      <c r="EPQ146" s="22"/>
      <c r="EPR146" s="22"/>
      <c r="EPS146" s="22"/>
      <c r="EPT146" s="22"/>
      <c r="EPU146" s="22"/>
      <c r="EPV146" s="22"/>
      <c r="EPW146" s="22"/>
      <c r="EPX146" s="22"/>
      <c r="EPY146" s="22"/>
      <c r="EPZ146" s="22"/>
      <c r="EQA146" s="22"/>
      <c r="EQB146" s="22"/>
      <c r="EQC146" s="22"/>
      <c r="EQD146" s="22"/>
      <c r="EQE146" s="22"/>
      <c r="EQF146" s="22"/>
      <c r="EQG146" s="22"/>
      <c r="EQH146" s="22"/>
      <c r="EQI146" s="22"/>
      <c r="EQJ146" s="22"/>
      <c r="EQK146" s="22"/>
      <c r="EQL146" s="22"/>
      <c r="EQM146" s="22"/>
      <c r="EQN146" s="22"/>
      <c r="EQO146" s="22"/>
      <c r="EQP146" s="22"/>
      <c r="EQQ146" s="22"/>
      <c r="EQR146" s="22"/>
      <c r="EQS146" s="22"/>
      <c r="EQT146" s="22"/>
      <c r="EQU146" s="22"/>
      <c r="EQV146" s="22"/>
      <c r="EQW146" s="22"/>
      <c r="EQX146" s="22"/>
      <c r="EQY146" s="22"/>
      <c r="EQZ146" s="22"/>
      <c r="ERA146" s="22"/>
      <c r="ERB146" s="22"/>
      <c r="ERC146" s="22"/>
      <c r="ERD146" s="22"/>
      <c r="ERE146" s="22"/>
      <c r="ERF146" s="22"/>
      <c r="ERG146" s="22"/>
      <c r="ERH146" s="22"/>
      <c r="ERI146" s="22"/>
      <c r="ERJ146" s="22"/>
      <c r="ERK146" s="22"/>
      <c r="ERL146" s="22"/>
      <c r="ERM146" s="22"/>
      <c r="ERN146" s="22"/>
      <c r="ERO146" s="22"/>
      <c r="ERP146" s="22"/>
      <c r="ERQ146" s="22"/>
      <c r="ERR146" s="22"/>
      <c r="ERS146" s="22"/>
      <c r="ERT146" s="22"/>
      <c r="ERU146" s="22"/>
      <c r="ERV146" s="22"/>
      <c r="ERW146" s="22"/>
      <c r="ERX146" s="22"/>
      <c r="ERY146" s="22"/>
      <c r="ERZ146" s="22"/>
      <c r="ESA146" s="22"/>
      <c r="ESB146" s="22"/>
      <c r="ESC146" s="22"/>
      <c r="ESD146" s="22"/>
      <c r="ESE146" s="22"/>
      <c r="ESF146" s="22"/>
      <c r="ESG146" s="22"/>
      <c r="ESH146" s="22"/>
      <c r="ESI146" s="22"/>
      <c r="ESJ146" s="22"/>
      <c r="ESK146" s="22"/>
      <c r="ESL146" s="22"/>
      <c r="ESM146" s="22"/>
      <c r="ESN146" s="22"/>
      <c r="ESO146" s="22"/>
      <c r="ESP146" s="22"/>
      <c r="ESQ146" s="22"/>
      <c r="ESR146" s="22"/>
      <c r="ESS146" s="22"/>
      <c r="EST146" s="22"/>
      <c r="ESU146" s="22"/>
      <c r="ESV146" s="22"/>
      <c r="ESW146" s="22"/>
      <c r="ESX146" s="22"/>
      <c r="ESY146" s="22"/>
      <c r="ESZ146" s="22"/>
      <c r="ETA146" s="22"/>
      <c r="ETB146" s="22"/>
      <c r="ETC146" s="22"/>
      <c r="ETD146" s="22"/>
      <c r="ETE146" s="22"/>
      <c r="ETF146" s="22"/>
      <c r="ETG146" s="22"/>
      <c r="ETH146" s="22"/>
      <c r="ETI146" s="22"/>
      <c r="ETJ146" s="22"/>
      <c r="ETK146" s="22"/>
      <c r="ETL146" s="22"/>
      <c r="ETM146" s="22"/>
      <c r="ETN146" s="22"/>
      <c r="ETO146" s="22"/>
      <c r="ETP146" s="22"/>
      <c r="ETQ146" s="22"/>
      <c r="ETR146" s="22"/>
      <c r="ETS146" s="22"/>
      <c r="ETT146" s="22"/>
      <c r="ETU146" s="22"/>
      <c r="ETV146" s="22"/>
      <c r="ETW146" s="22"/>
      <c r="ETX146" s="22"/>
      <c r="ETY146" s="22"/>
      <c r="ETZ146" s="22"/>
      <c r="EUA146" s="22"/>
      <c r="EUB146" s="22"/>
      <c r="EUC146" s="22"/>
      <c r="EUD146" s="22"/>
      <c r="EUE146" s="22"/>
      <c r="EUF146" s="22"/>
      <c r="EUG146" s="22"/>
      <c r="EUH146" s="22"/>
      <c r="EUI146" s="22"/>
      <c r="EUJ146" s="22"/>
      <c r="EUK146" s="22"/>
      <c r="EUL146" s="22"/>
      <c r="EUM146" s="22"/>
      <c r="EUN146" s="22"/>
      <c r="EUO146" s="22"/>
      <c r="EUP146" s="22"/>
      <c r="EUQ146" s="22"/>
      <c r="EUR146" s="22"/>
      <c r="EUS146" s="22"/>
      <c r="EUT146" s="22"/>
      <c r="EUU146" s="22"/>
      <c r="EUV146" s="22"/>
      <c r="EUW146" s="22"/>
      <c r="EUX146" s="22"/>
      <c r="EUY146" s="22"/>
      <c r="EUZ146" s="22"/>
      <c r="EVA146" s="22"/>
      <c r="EVB146" s="22"/>
      <c r="EVC146" s="22"/>
      <c r="EVD146" s="22"/>
      <c r="EVE146" s="22"/>
      <c r="EVF146" s="22"/>
      <c r="EVG146" s="22"/>
      <c r="EVH146" s="22"/>
      <c r="EVI146" s="22"/>
      <c r="EVJ146" s="22"/>
      <c r="EVK146" s="22"/>
      <c r="EVL146" s="22"/>
      <c r="EVM146" s="22"/>
      <c r="EVN146" s="22"/>
      <c r="EVO146" s="22"/>
      <c r="EVP146" s="22"/>
      <c r="EVQ146" s="22"/>
      <c r="EVR146" s="22"/>
      <c r="EVS146" s="22"/>
      <c r="EVT146" s="22"/>
      <c r="EVU146" s="22"/>
      <c r="EVV146" s="22"/>
      <c r="EVW146" s="22"/>
      <c r="EVX146" s="22"/>
      <c r="EVY146" s="22"/>
      <c r="EVZ146" s="22"/>
      <c r="EWA146" s="22"/>
      <c r="EWB146" s="22"/>
      <c r="EWC146" s="22"/>
      <c r="EWD146" s="22"/>
      <c r="EWE146" s="22"/>
      <c r="EWF146" s="22"/>
      <c r="EWG146" s="22"/>
      <c r="EWH146" s="22"/>
      <c r="EWI146" s="22"/>
      <c r="EWJ146" s="22"/>
      <c r="EWK146" s="22"/>
      <c r="EWL146" s="22"/>
      <c r="EWM146" s="22"/>
      <c r="EWN146" s="22"/>
      <c r="EWO146" s="22"/>
      <c r="EWP146" s="22"/>
      <c r="EWQ146" s="22"/>
      <c r="EWR146" s="22"/>
      <c r="EWS146" s="22"/>
      <c r="EWT146" s="22"/>
      <c r="EWU146" s="22"/>
      <c r="EWV146" s="22"/>
      <c r="EWW146" s="22"/>
      <c r="EWX146" s="22"/>
      <c r="EWY146" s="22"/>
      <c r="EWZ146" s="22"/>
      <c r="EXA146" s="22"/>
      <c r="EXB146" s="22"/>
      <c r="EXC146" s="22"/>
      <c r="EXD146" s="22"/>
      <c r="EXE146" s="22"/>
      <c r="EXF146" s="22"/>
      <c r="EXG146" s="22"/>
      <c r="EXH146" s="22"/>
      <c r="EXI146" s="22"/>
      <c r="EXJ146" s="22"/>
      <c r="EXK146" s="22"/>
      <c r="EXL146" s="22"/>
      <c r="EXM146" s="22"/>
      <c r="EXN146" s="22"/>
      <c r="EXO146" s="22"/>
      <c r="EXP146" s="22"/>
      <c r="EXQ146" s="22"/>
      <c r="EXR146" s="22"/>
      <c r="EXS146" s="22"/>
      <c r="EXT146" s="22"/>
      <c r="EXU146" s="22"/>
      <c r="EXV146" s="22"/>
      <c r="EXW146" s="22"/>
      <c r="EXX146" s="22"/>
      <c r="EXY146" s="22"/>
      <c r="EXZ146" s="22"/>
      <c r="EYA146" s="22"/>
      <c r="EYB146" s="22"/>
      <c r="EYC146" s="22"/>
      <c r="EYD146" s="22"/>
      <c r="EYE146" s="22"/>
      <c r="EYF146" s="22"/>
      <c r="EYG146" s="22"/>
      <c r="EYH146" s="22"/>
      <c r="EYI146" s="22"/>
      <c r="EYJ146" s="22"/>
      <c r="EYK146" s="22"/>
      <c r="EYL146" s="22"/>
      <c r="EYM146" s="22"/>
      <c r="EYN146" s="22"/>
      <c r="EYO146" s="22"/>
      <c r="EYP146" s="22"/>
      <c r="EYQ146" s="22"/>
      <c r="EYR146" s="22"/>
      <c r="EYS146" s="22"/>
      <c r="EYT146" s="22"/>
      <c r="EYU146" s="22"/>
      <c r="EYV146" s="22"/>
      <c r="EYW146" s="22"/>
      <c r="EYX146" s="22"/>
      <c r="EYY146" s="22"/>
      <c r="EYZ146" s="22"/>
      <c r="EZA146" s="22"/>
      <c r="EZB146" s="22"/>
      <c r="EZC146" s="22"/>
      <c r="EZD146" s="22"/>
      <c r="EZE146" s="22"/>
      <c r="EZF146" s="22"/>
      <c r="EZG146" s="22"/>
      <c r="EZH146" s="22"/>
      <c r="EZI146" s="22"/>
      <c r="EZJ146" s="22"/>
      <c r="EZK146" s="22"/>
      <c r="EZL146" s="22"/>
      <c r="EZM146" s="22"/>
      <c r="EZN146" s="22"/>
      <c r="EZO146" s="22"/>
      <c r="EZP146" s="22"/>
      <c r="EZQ146" s="22"/>
      <c r="EZR146" s="22"/>
      <c r="EZS146" s="22"/>
      <c r="EZT146" s="22"/>
      <c r="EZU146" s="22"/>
      <c r="EZV146" s="22"/>
      <c r="EZW146" s="22"/>
      <c r="EZX146" s="22"/>
      <c r="EZY146" s="22"/>
      <c r="EZZ146" s="22"/>
      <c r="FAA146" s="22"/>
      <c r="FAB146" s="22"/>
      <c r="FAC146" s="22"/>
      <c r="FAD146" s="22"/>
      <c r="FAE146" s="22"/>
      <c r="FAF146" s="22"/>
      <c r="FAG146" s="22"/>
      <c r="FAH146" s="22"/>
      <c r="FAI146" s="22"/>
      <c r="FAJ146" s="22"/>
      <c r="FAK146" s="22"/>
      <c r="FAL146" s="22"/>
      <c r="FAM146" s="22"/>
      <c r="FAN146" s="22"/>
      <c r="FAO146" s="22"/>
      <c r="FAP146" s="22"/>
      <c r="FAQ146" s="22"/>
      <c r="FAR146" s="22"/>
      <c r="FAS146" s="22"/>
      <c r="FAT146" s="22"/>
      <c r="FAU146" s="22"/>
      <c r="FAV146" s="22"/>
      <c r="FAW146" s="22"/>
      <c r="FAX146" s="22"/>
      <c r="FAY146" s="22"/>
      <c r="FAZ146" s="22"/>
      <c r="FBA146" s="22"/>
      <c r="FBB146" s="22"/>
      <c r="FBC146" s="22"/>
      <c r="FBD146" s="22"/>
      <c r="FBE146" s="22"/>
      <c r="FBF146" s="22"/>
      <c r="FBG146" s="22"/>
      <c r="FBH146" s="22"/>
      <c r="FBI146" s="22"/>
      <c r="FBJ146" s="22"/>
      <c r="FBK146" s="22"/>
      <c r="FBL146" s="22"/>
      <c r="FBM146" s="22"/>
      <c r="FBN146" s="22"/>
      <c r="FBO146" s="22"/>
      <c r="FBP146" s="22"/>
      <c r="FBQ146" s="22"/>
      <c r="FBR146" s="22"/>
      <c r="FBS146" s="22"/>
      <c r="FBT146" s="22"/>
      <c r="FBU146" s="22"/>
      <c r="FBV146" s="22"/>
      <c r="FBW146" s="22"/>
      <c r="FBX146" s="22"/>
      <c r="FBY146" s="22"/>
      <c r="FBZ146" s="22"/>
      <c r="FCA146" s="22"/>
      <c r="FCB146" s="22"/>
      <c r="FCC146" s="22"/>
      <c r="FCD146" s="22"/>
      <c r="FCE146" s="22"/>
      <c r="FCF146" s="22"/>
      <c r="FCG146" s="22"/>
      <c r="FCH146" s="22"/>
      <c r="FCI146" s="22"/>
      <c r="FCJ146" s="22"/>
      <c r="FCK146" s="22"/>
      <c r="FCL146" s="22"/>
      <c r="FCM146" s="22"/>
      <c r="FCN146" s="22"/>
      <c r="FCO146" s="22"/>
      <c r="FCP146" s="22"/>
      <c r="FCQ146" s="22"/>
      <c r="FCR146" s="22"/>
      <c r="FCS146" s="22"/>
      <c r="FCT146" s="22"/>
      <c r="FCU146" s="22"/>
      <c r="FCV146" s="22"/>
      <c r="FCW146" s="22"/>
      <c r="FCX146" s="22"/>
      <c r="FCY146" s="22"/>
      <c r="FCZ146" s="22"/>
      <c r="FDA146" s="22"/>
      <c r="FDB146" s="22"/>
      <c r="FDC146" s="22"/>
      <c r="FDD146" s="22"/>
      <c r="FDE146" s="22"/>
      <c r="FDF146" s="22"/>
      <c r="FDG146" s="22"/>
      <c r="FDH146" s="22"/>
      <c r="FDI146" s="22"/>
      <c r="FDJ146" s="22"/>
      <c r="FDK146" s="22"/>
      <c r="FDL146" s="22"/>
      <c r="FDM146" s="22"/>
      <c r="FDN146" s="22"/>
      <c r="FDO146" s="22"/>
      <c r="FDP146" s="22"/>
      <c r="FDQ146" s="22"/>
      <c r="FDR146" s="22"/>
      <c r="FDS146" s="22"/>
      <c r="FDT146" s="22"/>
      <c r="FDU146" s="22"/>
      <c r="FDV146" s="22"/>
      <c r="FDW146" s="22"/>
      <c r="FDX146" s="22"/>
      <c r="FDY146" s="22"/>
      <c r="FDZ146" s="22"/>
      <c r="FEA146" s="22"/>
      <c r="FEB146" s="22"/>
      <c r="FEC146" s="22"/>
      <c r="FED146" s="22"/>
      <c r="FEE146" s="22"/>
      <c r="FEF146" s="22"/>
      <c r="FEG146" s="22"/>
      <c r="FEH146" s="22"/>
      <c r="FEI146" s="22"/>
      <c r="FEJ146" s="22"/>
      <c r="FEK146" s="22"/>
      <c r="FEL146" s="22"/>
      <c r="FEM146" s="22"/>
      <c r="FEN146" s="22"/>
      <c r="FEO146" s="22"/>
      <c r="FEP146" s="22"/>
      <c r="FEQ146" s="22"/>
      <c r="FER146" s="22"/>
      <c r="FES146" s="22"/>
      <c r="FET146" s="22"/>
      <c r="FEU146" s="22"/>
      <c r="FEV146" s="22"/>
      <c r="FEW146" s="22"/>
      <c r="FEX146" s="22"/>
      <c r="FEY146" s="22"/>
      <c r="FEZ146" s="22"/>
      <c r="FFA146" s="22"/>
      <c r="FFB146" s="22"/>
      <c r="FFC146" s="22"/>
      <c r="FFD146" s="22"/>
      <c r="FFE146" s="22"/>
      <c r="FFF146" s="22"/>
      <c r="FFG146" s="22"/>
      <c r="FFH146" s="22"/>
      <c r="FFI146" s="22"/>
      <c r="FFJ146" s="22"/>
      <c r="FFK146" s="22"/>
      <c r="FFL146" s="22"/>
      <c r="FFM146" s="22"/>
      <c r="FFN146" s="22"/>
      <c r="FFO146" s="22"/>
      <c r="FFP146" s="22"/>
      <c r="FFQ146" s="22"/>
      <c r="FFR146" s="22"/>
      <c r="FFS146" s="22"/>
      <c r="FFT146" s="22"/>
      <c r="FFU146" s="22"/>
      <c r="FFV146" s="22"/>
      <c r="FFW146" s="22"/>
      <c r="FFX146" s="22"/>
      <c r="FFY146" s="22"/>
      <c r="FFZ146" s="22"/>
      <c r="FGA146" s="22"/>
      <c r="FGB146" s="22"/>
      <c r="FGC146" s="22"/>
      <c r="FGD146" s="22"/>
      <c r="FGE146" s="22"/>
      <c r="FGF146" s="22"/>
      <c r="FGG146" s="22"/>
      <c r="FGH146" s="22"/>
      <c r="FGI146" s="22"/>
      <c r="FGJ146" s="22"/>
      <c r="FGK146" s="22"/>
      <c r="FGL146" s="22"/>
      <c r="FGM146" s="22"/>
      <c r="FGN146" s="22"/>
      <c r="FGO146" s="22"/>
      <c r="FGP146" s="22"/>
      <c r="FGQ146" s="22"/>
      <c r="FGR146" s="22"/>
      <c r="FGS146" s="22"/>
      <c r="FGT146" s="22"/>
      <c r="FGU146" s="22"/>
      <c r="FGV146" s="22"/>
      <c r="FGW146" s="22"/>
      <c r="FGX146" s="22"/>
      <c r="FGY146" s="22"/>
      <c r="FGZ146" s="22"/>
      <c r="FHA146" s="22"/>
      <c r="FHB146" s="22"/>
      <c r="FHC146" s="22"/>
      <c r="FHD146" s="22"/>
      <c r="FHE146" s="22"/>
      <c r="FHF146" s="22"/>
      <c r="FHG146" s="22"/>
      <c r="FHH146" s="22"/>
      <c r="FHI146" s="22"/>
      <c r="FHJ146" s="22"/>
      <c r="FHK146" s="22"/>
      <c r="FHL146" s="22"/>
      <c r="FHM146" s="22"/>
      <c r="FHN146" s="22"/>
      <c r="FHO146" s="22"/>
      <c r="FHP146" s="22"/>
      <c r="FHQ146" s="22"/>
      <c r="FHR146" s="22"/>
      <c r="FHS146" s="22"/>
      <c r="FHT146" s="22"/>
      <c r="FHU146" s="22"/>
      <c r="FHV146" s="22"/>
      <c r="FHW146" s="22"/>
      <c r="FHX146" s="22"/>
      <c r="FHY146" s="22"/>
      <c r="FHZ146" s="22"/>
      <c r="FIA146" s="22"/>
      <c r="FIB146" s="22"/>
      <c r="FIC146" s="22"/>
      <c r="FID146" s="22"/>
      <c r="FIE146" s="22"/>
      <c r="FIF146" s="22"/>
      <c r="FIG146" s="22"/>
      <c r="FIH146" s="22"/>
      <c r="FII146" s="22"/>
      <c r="FIJ146" s="22"/>
      <c r="FIK146" s="22"/>
      <c r="FIL146" s="22"/>
      <c r="FIM146" s="22"/>
      <c r="FIN146" s="22"/>
      <c r="FIO146" s="22"/>
      <c r="FIP146" s="22"/>
      <c r="FIQ146" s="22"/>
      <c r="FIR146" s="22"/>
      <c r="FIS146" s="22"/>
      <c r="FIT146" s="22"/>
      <c r="FIU146" s="22"/>
      <c r="FIV146" s="22"/>
      <c r="FIW146" s="22"/>
      <c r="FIX146" s="22"/>
      <c r="FIY146" s="22"/>
      <c r="FIZ146" s="22"/>
      <c r="FJA146" s="22"/>
      <c r="FJB146" s="22"/>
      <c r="FJC146" s="22"/>
      <c r="FJD146" s="22"/>
      <c r="FJE146" s="22"/>
      <c r="FJF146" s="22"/>
      <c r="FJG146" s="22"/>
      <c r="FJH146" s="22"/>
      <c r="FJI146" s="22"/>
      <c r="FJJ146" s="22"/>
      <c r="FJK146" s="22"/>
      <c r="FJL146" s="22"/>
      <c r="FJM146" s="22"/>
      <c r="FJN146" s="22"/>
      <c r="FJO146" s="22"/>
      <c r="FJP146" s="22"/>
      <c r="FJQ146" s="22"/>
      <c r="FJR146" s="22"/>
      <c r="FJS146" s="22"/>
      <c r="FJT146" s="22"/>
      <c r="FJU146" s="22"/>
      <c r="FJV146" s="22"/>
      <c r="FJW146" s="22"/>
      <c r="FJX146" s="22"/>
      <c r="FJY146" s="22"/>
      <c r="FJZ146" s="22"/>
      <c r="FKA146" s="22"/>
      <c r="FKB146" s="22"/>
      <c r="FKC146" s="22"/>
      <c r="FKD146" s="22"/>
      <c r="FKE146" s="22"/>
      <c r="FKF146" s="22"/>
      <c r="FKG146" s="22"/>
      <c r="FKH146" s="22"/>
      <c r="FKI146" s="22"/>
      <c r="FKJ146" s="22"/>
      <c r="FKK146" s="22"/>
      <c r="FKL146" s="22"/>
      <c r="FKM146" s="22"/>
      <c r="FKN146" s="22"/>
      <c r="FKO146" s="22"/>
      <c r="FKP146" s="22"/>
      <c r="FKQ146" s="22"/>
      <c r="FKR146" s="22"/>
      <c r="FKS146" s="22"/>
      <c r="FKT146" s="22"/>
      <c r="FKU146" s="22"/>
      <c r="FKV146" s="22"/>
      <c r="FKW146" s="22"/>
      <c r="FKX146" s="22"/>
      <c r="FKY146" s="22"/>
      <c r="FKZ146" s="22"/>
      <c r="FLA146" s="22"/>
      <c r="FLB146" s="22"/>
      <c r="FLC146" s="22"/>
      <c r="FLD146" s="22"/>
      <c r="FLE146" s="22"/>
      <c r="FLF146" s="22"/>
      <c r="FLG146" s="22"/>
      <c r="FLH146" s="22"/>
      <c r="FLI146" s="22"/>
      <c r="FLJ146" s="22"/>
      <c r="FLK146" s="22"/>
      <c r="FLL146" s="22"/>
      <c r="FLM146" s="22"/>
      <c r="FLN146" s="22"/>
      <c r="FLO146" s="22"/>
      <c r="FLP146" s="22"/>
      <c r="FLQ146" s="22"/>
      <c r="FLR146" s="22"/>
      <c r="FLS146" s="22"/>
      <c r="FLT146" s="22"/>
      <c r="FLU146" s="22"/>
      <c r="FLV146" s="22"/>
      <c r="FLW146" s="22"/>
      <c r="FLX146" s="22"/>
      <c r="FLY146" s="22"/>
      <c r="FLZ146" s="22"/>
      <c r="FMA146" s="22"/>
      <c r="FMB146" s="22"/>
      <c r="FMC146" s="22"/>
      <c r="FMD146" s="22"/>
      <c r="FME146" s="22"/>
      <c r="FMF146" s="22"/>
      <c r="FMG146" s="22"/>
      <c r="FMH146" s="22"/>
      <c r="FMI146" s="22"/>
      <c r="FMJ146" s="22"/>
      <c r="FMK146" s="22"/>
      <c r="FML146" s="22"/>
      <c r="FMM146" s="22"/>
      <c r="FMN146" s="22"/>
      <c r="FMO146" s="22"/>
      <c r="FMP146" s="22"/>
      <c r="FMQ146" s="22"/>
      <c r="FMR146" s="22"/>
      <c r="FMS146" s="22"/>
      <c r="FMT146" s="22"/>
      <c r="FMU146" s="22"/>
      <c r="FMV146" s="22"/>
      <c r="FMW146" s="22"/>
      <c r="FMX146" s="22"/>
      <c r="FMY146" s="22"/>
      <c r="FMZ146" s="22"/>
      <c r="FNA146" s="22"/>
      <c r="FNB146" s="22"/>
      <c r="FNC146" s="22"/>
      <c r="FND146" s="22"/>
      <c r="FNE146" s="22"/>
      <c r="FNF146" s="22"/>
      <c r="FNG146" s="22"/>
      <c r="FNH146" s="22"/>
      <c r="FNI146" s="22"/>
      <c r="FNJ146" s="22"/>
      <c r="FNK146" s="22"/>
      <c r="FNL146" s="22"/>
      <c r="FNM146" s="22"/>
      <c r="FNN146" s="22"/>
      <c r="FNO146" s="22"/>
      <c r="FNP146" s="22"/>
      <c r="FNQ146" s="22"/>
      <c r="FNR146" s="22"/>
      <c r="FNS146" s="22"/>
      <c r="FNT146" s="22"/>
      <c r="FNU146" s="22"/>
      <c r="FNV146" s="22"/>
      <c r="FNW146" s="22"/>
      <c r="FNX146" s="22"/>
      <c r="FNY146" s="22"/>
      <c r="FNZ146" s="22"/>
      <c r="FOA146" s="22"/>
      <c r="FOB146" s="22"/>
      <c r="FOC146" s="22"/>
      <c r="FOD146" s="22"/>
      <c r="FOE146" s="22"/>
      <c r="FOF146" s="22"/>
      <c r="FOG146" s="22"/>
      <c r="FOH146" s="22"/>
      <c r="FOI146" s="22"/>
      <c r="FOJ146" s="22"/>
      <c r="FOK146" s="22"/>
      <c r="FOL146" s="22"/>
      <c r="FOM146" s="22"/>
      <c r="FON146" s="22"/>
      <c r="FOO146" s="22"/>
      <c r="FOP146" s="22"/>
      <c r="FOQ146" s="22"/>
      <c r="FOR146" s="22"/>
      <c r="FOS146" s="22"/>
      <c r="FOT146" s="22"/>
      <c r="FOU146" s="22"/>
      <c r="FOV146" s="22"/>
      <c r="FOW146" s="22"/>
      <c r="FOX146" s="22"/>
      <c r="FOY146" s="22"/>
      <c r="FOZ146" s="22"/>
      <c r="FPA146" s="22"/>
      <c r="FPB146" s="22"/>
      <c r="FPC146" s="22"/>
      <c r="FPD146" s="22"/>
      <c r="FPE146" s="22"/>
      <c r="FPF146" s="22"/>
      <c r="FPG146" s="22"/>
      <c r="FPH146" s="22"/>
      <c r="FPI146" s="22"/>
      <c r="FPJ146" s="22"/>
      <c r="FPK146" s="22"/>
      <c r="FPL146" s="22"/>
      <c r="FPM146" s="22"/>
      <c r="FPN146" s="22"/>
      <c r="FPO146" s="22"/>
      <c r="FPP146" s="22"/>
      <c r="FPQ146" s="22"/>
      <c r="FPR146" s="22"/>
      <c r="FPS146" s="22"/>
      <c r="FPT146" s="22"/>
      <c r="FPU146" s="22"/>
      <c r="FPV146" s="22"/>
      <c r="FPW146" s="22"/>
      <c r="FPX146" s="22"/>
      <c r="FPY146" s="22"/>
      <c r="FPZ146" s="22"/>
      <c r="FQA146" s="22"/>
      <c r="FQB146" s="22"/>
      <c r="FQC146" s="22"/>
      <c r="FQD146" s="22"/>
      <c r="FQE146" s="22"/>
      <c r="FQF146" s="22"/>
      <c r="FQG146" s="22"/>
      <c r="FQH146" s="22"/>
      <c r="FQI146" s="22"/>
      <c r="FQJ146" s="22"/>
      <c r="FQK146" s="22"/>
      <c r="FQL146" s="22"/>
      <c r="FQM146" s="22"/>
      <c r="FQN146" s="22"/>
      <c r="FQO146" s="22"/>
      <c r="FQP146" s="22"/>
      <c r="FQQ146" s="22"/>
      <c r="FQR146" s="22"/>
      <c r="FQS146" s="22"/>
      <c r="FQT146" s="22"/>
      <c r="FQU146" s="22"/>
      <c r="FQV146" s="22"/>
      <c r="FQW146" s="22"/>
      <c r="FQX146" s="22"/>
      <c r="FQY146" s="22"/>
      <c r="FQZ146" s="22"/>
      <c r="FRA146" s="22"/>
      <c r="FRB146" s="22"/>
      <c r="FRC146" s="22"/>
      <c r="FRD146" s="22"/>
      <c r="FRE146" s="22"/>
      <c r="FRF146" s="22"/>
      <c r="FRG146" s="22"/>
      <c r="FRH146" s="22"/>
      <c r="FRI146" s="22"/>
      <c r="FRJ146" s="22"/>
      <c r="FRK146" s="22"/>
      <c r="FRL146" s="22"/>
      <c r="FRM146" s="22"/>
      <c r="FRN146" s="22"/>
      <c r="FRO146" s="22"/>
      <c r="FRP146" s="22"/>
      <c r="FRQ146" s="22"/>
      <c r="FRR146" s="22"/>
      <c r="FRS146" s="22"/>
      <c r="FRT146" s="22"/>
      <c r="FRU146" s="22"/>
      <c r="FRV146" s="22"/>
      <c r="FRW146" s="22"/>
      <c r="FRX146" s="22"/>
      <c r="FRY146" s="22"/>
      <c r="FRZ146" s="22"/>
      <c r="FSA146" s="22"/>
      <c r="FSB146" s="22"/>
      <c r="FSC146" s="22"/>
      <c r="FSD146" s="22"/>
      <c r="FSE146" s="22"/>
      <c r="FSF146" s="22"/>
      <c r="FSG146" s="22"/>
      <c r="FSH146" s="22"/>
      <c r="FSI146" s="22"/>
      <c r="FSJ146" s="22"/>
      <c r="FSK146" s="22"/>
      <c r="FSL146" s="22"/>
      <c r="FSM146" s="22"/>
      <c r="FSN146" s="22"/>
      <c r="FSO146" s="22"/>
      <c r="FSP146" s="22"/>
      <c r="FSQ146" s="22"/>
      <c r="FSR146" s="22"/>
      <c r="FSS146" s="22"/>
      <c r="FST146" s="22"/>
      <c r="FSU146" s="22"/>
      <c r="FSV146" s="22"/>
      <c r="FSW146" s="22"/>
      <c r="FSX146" s="22"/>
      <c r="FSY146" s="22"/>
      <c r="FSZ146" s="22"/>
      <c r="FTA146" s="22"/>
      <c r="FTB146" s="22"/>
      <c r="FTC146" s="22"/>
      <c r="FTD146" s="22"/>
      <c r="FTE146" s="22"/>
      <c r="FTF146" s="22"/>
      <c r="FTG146" s="22"/>
      <c r="FTH146" s="22"/>
      <c r="FTI146" s="22"/>
      <c r="FTJ146" s="22"/>
      <c r="FTK146" s="22"/>
      <c r="FTL146" s="22"/>
      <c r="FTM146" s="22"/>
      <c r="FTN146" s="22"/>
      <c r="FTO146" s="22"/>
      <c r="FTP146" s="22"/>
      <c r="FTQ146" s="22"/>
      <c r="FTR146" s="22"/>
      <c r="FTS146" s="22"/>
      <c r="FTT146" s="22"/>
      <c r="FTU146" s="22"/>
      <c r="FTV146" s="22"/>
      <c r="FTW146" s="22"/>
      <c r="FTX146" s="22"/>
      <c r="FTY146" s="22"/>
      <c r="FTZ146" s="22"/>
      <c r="FUA146" s="22"/>
      <c r="FUB146" s="22"/>
      <c r="FUC146" s="22"/>
      <c r="FUD146" s="22"/>
      <c r="FUE146" s="22"/>
      <c r="FUF146" s="22"/>
      <c r="FUG146" s="22"/>
      <c r="FUH146" s="22"/>
      <c r="FUI146" s="22"/>
      <c r="FUJ146" s="22"/>
      <c r="FUK146" s="22"/>
      <c r="FUL146" s="22"/>
      <c r="FUM146" s="22"/>
      <c r="FUN146" s="22"/>
      <c r="FUO146" s="22"/>
      <c r="FUP146" s="22"/>
      <c r="FUQ146" s="22"/>
      <c r="FUR146" s="22"/>
      <c r="FUS146" s="22"/>
      <c r="FUT146" s="22"/>
      <c r="FUU146" s="22"/>
      <c r="FUV146" s="22"/>
      <c r="FUW146" s="22"/>
      <c r="FUX146" s="22"/>
      <c r="FUY146" s="22"/>
      <c r="FUZ146" s="22"/>
      <c r="FVA146" s="22"/>
      <c r="FVB146" s="22"/>
      <c r="FVC146" s="22"/>
      <c r="FVD146" s="22"/>
      <c r="FVE146" s="22"/>
      <c r="FVF146" s="22"/>
      <c r="FVG146" s="22"/>
      <c r="FVH146" s="22"/>
      <c r="FVI146" s="22"/>
      <c r="FVJ146" s="22"/>
      <c r="FVK146" s="22"/>
      <c r="FVL146" s="22"/>
      <c r="FVM146" s="22"/>
      <c r="FVN146" s="22"/>
      <c r="FVO146" s="22"/>
      <c r="FVP146" s="22"/>
      <c r="FVQ146" s="22"/>
      <c r="FVR146" s="22"/>
      <c r="FVS146" s="22"/>
      <c r="FVT146" s="22"/>
      <c r="FVU146" s="22"/>
      <c r="FVV146" s="22"/>
      <c r="FVW146" s="22"/>
      <c r="FVX146" s="22"/>
      <c r="FVY146" s="22"/>
      <c r="FVZ146" s="22"/>
      <c r="FWA146" s="22"/>
      <c r="FWB146" s="22"/>
      <c r="FWC146" s="22"/>
      <c r="FWD146" s="22"/>
      <c r="FWE146" s="22"/>
      <c r="FWF146" s="22"/>
      <c r="FWG146" s="22"/>
      <c r="FWH146" s="22"/>
      <c r="FWI146" s="22"/>
      <c r="FWJ146" s="22"/>
      <c r="FWK146" s="22"/>
      <c r="FWL146" s="22"/>
      <c r="FWM146" s="22"/>
      <c r="FWN146" s="22"/>
      <c r="FWO146" s="22"/>
      <c r="FWP146" s="22"/>
      <c r="FWQ146" s="22"/>
      <c r="FWR146" s="22"/>
      <c r="FWS146" s="22"/>
      <c r="FWT146" s="22"/>
      <c r="FWU146" s="22"/>
      <c r="FWV146" s="22"/>
      <c r="FWW146" s="22"/>
      <c r="FWX146" s="22"/>
      <c r="FWY146" s="22"/>
      <c r="FWZ146" s="22"/>
      <c r="FXA146" s="22"/>
      <c r="FXB146" s="22"/>
      <c r="FXC146" s="22"/>
      <c r="FXD146" s="22"/>
      <c r="FXE146" s="22"/>
      <c r="FXF146" s="22"/>
      <c r="FXG146" s="22"/>
      <c r="FXH146" s="22"/>
      <c r="FXI146" s="22"/>
      <c r="FXJ146" s="22"/>
      <c r="FXK146" s="22"/>
      <c r="FXL146" s="22"/>
      <c r="FXM146" s="22"/>
      <c r="FXN146" s="22"/>
      <c r="FXO146" s="22"/>
      <c r="FXP146" s="22"/>
      <c r="FXQ146" s="22"/>
      <c r="FXR146" s="22"/>
      <c r="FXS146" s="22"/>
      <c r="FXT146" s="22"/>
      <c r="FXU146" s="22"/>
      <c r="FXV146" s="22"/>
      <c r="FXW146" s="22"/>
      <c r="FXX146" s="22"/>
      <c r="FXY146" s="22"/>
      <c r="FXZ146" s="22"/>
      <c r="FYA146" s="22"/>
      <c r="FYB146" s="22"/>
      <c r="FYC146" s="22"/>
      <c r="FYD146" s="22"/>
      <c r="FYE146" s="22"/>
      <c r="FYF146" s="22"/>
      <c r="FYG146" s="22"/>
      <c r="FYH146" s="22"/>
      <c r="FYI146" s="22"/>
      <c r="FYJ146" s="22"/>
      <c r="FYK146" s="22"/>
      <c r="FYL146" s="22"/>
      <c r="FYM146" s="22"/>
      <c r="FYN146" s="22"/>
      <c r="FYO146" s="22"/>
      <c r="FYP146" s="22"/>
      <c r="FYQ146" s="22"/>
      <c r="FYR146" s="22"/>
      <c r="FYS146" s="22"/>
      <c r="FYT146" s="22"/>
      <c r="FYU146" s="22"/>
      <c r="FYV146" s="22"/>
      <c r="FYW146" s="22"/>
      <c r="FYX146" s="22"/>
      <c r="FYY146" s="22"/>
      <c r="FYZ146" s="22"/>
      <c r="FZA146" s="22"/>
      <c r="FZB146" s="22"/>
      <c r="FZC146" s="22"/>
      <c r="FZD146" s="22"/>
      <c r="FZE146" s="22"/>
      <c r="FZF146" s="22"/>
      <c r="FZG146" s="22"/>
      <c r="FZH146" s="22"/>
      <c r="FZI146" s="22"/>
      <c r="FZJ146" s="22"/>
      <c r="FZK146" s="22"/>
      <c r="FZL146" s="22"/>
      <c r="FZM146" s="22"/>
      <c r="FZN146" s="22"/>
      <c r="FZO146" s="22"/>
      <c r="FZP146" s="22"/>
      <c r="FZQ146" s="22"/>
      <c r="FZR146" s="22"/>
      <c r="FZS146" s="22"/>
      <c r="FZT146" s="22"/>
      <c r="FZU146" s="22"/>
      <c r="FZV146" s="22"/>
      <c r="FZW146" s="22"/>
      <c r="FZX146" s="22"/>
      <c r="FZY146" s="22"/>
      <c r="FZZ146" s="22"/>
      <c r="GAA146" s="22"/>
      <c r="GAB146" s="22"/>
      <c r="GAC146" s="22"/>
      <c r="GAD146" s="22"/>
      <c r="GAE146" s="22"/>
      <c r="GAF146" s="22"/>
      <c r="GAG146" s="22"/>
      <c r="GAH146" s="22"/>
      <c r="GAI146" s="22"/>
      <c r="GAJ146" s="22"/>
      <c r="GAK146" s="22"/>
      <c r="GAL146" s="22"/>
      <c r="GAM146" s="22"/>
      <c r="GAN146" s="22"/>
      <c r="GAO146" s="22"/>
      <c r="GAP146" s="22"/>
      <c r="GAQ146" s="22"/>
      <c r="GAR146" s="22"/>
      <c r="GAS146" s="22"/>
      <c r="GAT146" s="22"/>
      <c r="GAU146" s="22"/>
      <c r="GAV146" s="22"/>
      <c r="GAW146" s="22"/>
      <c r="GAX146" s="22"/>
      <c r="GAY146" s="22"/>
      <c r="GAZ146" s="22"/>
      <c r="GBA146" s="22"/>
      <c r="GBB146" s="22"/>
      <c r="GBC146" s="22"/>
      <c r="GBD146" s="22"/>
      <c r="GBE146" s="22"/>
      <c r="GBF146" s="22"/>
      <c r="GBG146" s="22"/>
      <c r="GBH146" s="22"/>
      <c r="GBI146" s="22"/>
      <c r="GBJ146" s="22"/>
      <c r="GBK146" s="22"/>
      <c r="GBL146" s="22"/>
      <c r="GBM146" s="22"/>
      <c r="GBN146" s="22"/>
      <c r="GBO146" s="22"/>
      <c r="GBP146" s="22"/>
      <c r="GBQ146" s="22"/>
      <c r="GBR146" s="22"/>
      <c r="GBS146" s="22"/>
      <c r="GBT146" s="22"/>
      <c r="GBU146" s="22"/>
      <c r="GBV146" s="22"/>
      <c r="GBW146" s="22"/>
      <c r="GBX146" s="22"/>
      <c r="GBY146" s="22"/>
      <c r="GBZ146" s="22"/>
      <c r="GCA146" s="22"/>
      <c r="GCB146" s="22"/>
      <c r="GCC146" s="22"/>
      <c r="GCD146" s="22"/>
      <c r="GCE146" s="22"/>
      <c r="GCF146" s="22"/>
      <c r="GCG146" s="22"/>
      <c r="GCH146" s="22"/>
      <c r="GCI146" s="22"/>
      <c r="GCJ146" s="22"/>
      <c r="GCK146" s="22"/>
      <c r="GCL146" s="22"/>
      <c r="GCM146" s="22"/>
      <c r="GCN146" s="22"/>
      <c r="GCO146" s="22"/>
      <c r="GCP146" s="22"/>
      <c r="GCQ146" s="22"/>
      <c r="GCR146" s="22"/>
      <c r="GCS146" s="22"/>
      <c r="GCT146" s="22"/>
      <c r="GCU146" s="22"/>
      <c r="GCV146" s="22"/>
      <c r="GCW146" s="22"/>
      <c r="GCX146" s="22"/>
      <c r="GCY146" s="22"/>
      <c r="GCZ146" s="22"/>
      <c r="GDA146" s="22"/>
      <c r="GDB146" s="22"/>
      <c r="GDC146" s="22"/>
      <c r="GDD146" s="22"/>
      <c r="GDE146" s="22"/>
      <c r="GDF146" s="22"/>
      <c r="GDG146" s="22"/>
      <c r="GDH146" s="22"/>
      <c r="GDI146" s="22"/>
      <c r="GDJ146" s="22"/>
      <c r="GDK146" s="22"/>
      <c r="GDL146" s="22"/>
      <c r="GDM146" s="22"/>
      <c r="GDN146" s="22"/>
      <c r="GDO146" s="22"/>
      <c r="GDP146" s="22"/>
      <c r="GDQ146" s="22"/>
      <c r="GDR146" s="22"/>
      <c r="GDS146" s="22"/>
      <c r="GDT146" s="22"/>
      <c r="GDU146" s="22"/>
      <c r="GDV146" s="22"/>
      <c r="GDW146" s="22"/>
      <c r="GDX146" s="22"/>
      <c r="GDY146" s="22"/>
      <c r="GDZ146" s="22"/>
      <c r="GEA146" s="22"/>
      <c r="GEB146" s="22"/>
      <c r="GEC146" s="22"/>
      <c r="GED146" s="22"/>
      <c r="GEE146" s="22"/>
      <c r="GEF146" s="22"/>
      <c r="GEG146" s="22"/>
      <c r="GEH146" s="22"/>
      <c r="GEI146" s="22"/>
      <c r="GEJ146" s="22"/>
      <c r="GEK146" s="22"/>
      <c r="GEL146" s="22"/>
      <c r="GEM146" s="22"/>
      <c r="GEN146" s="22"/>
      <c r="GEO146" s="22"/>
      <c r="GEP146" s="22"/>
      <c r="GEQ146" s="22"/>
      <c r="GER146" s="22"/>
      <c r="GES146" s="22"/>
      <c r="GET146" s="22"/>
      <c r="GEU146" s="22"/>
      <c r="GEV146" s="22"/>
      <c r="GEW146" s="22"/>
      <c r="GEX146" s="22"/>
      <c r="GEY146" s="22"/>
      <c r="GEZ146" s="22"/>
      <c r="GFA146" s="22"/>
      <c r="GFB146" s="22"/>
      <c r="GFC146" s="22"/>
      <c r="GFD146" s="22"/>
      <c r="GFE146" s="22"/>
      <c r="GFF146" s="22"/>
      <c r="GFG146" s="22"/>
      <c r="GFH146" s="22"/>
      <c r="GFI146" s="22"/>
      <c r="GFJ146" s="22"/>
      <c r="GFK146" s="22"/>
      <c r="GFL146" s="22"/>
      <c r="GFM146" s="22"/>
      <c r="GFN146" s="22"/>
      <c r="GFO146" s="22"/>
      <c r="GFP146" s="22"/>
      <c r="GFQ146" s="22"/>
      <c r="GFR146" s="22"/>
      <c r="GFS146" s="22"/>
      <c r="GFT146" s="22"/>
      <c r="GFU146" s="22"/>
      <c r="GFV146" s="22"/>
      <c r="GFW146" s="22"/>
      <c r="GFX146" s="22"/>
      <c r="GFY146" s="22"/>
      <c r="GFZ146" s="22"/>
      <c r="GGA146" s="22"/>
      <c r="GGB146" s="22"/>
      <c r="GGC146" s="22"/>
      <c r="GGD146" s="22"/>
      <c r="GGE146" s="22"/>
      <c r="GGF146" s="22"/>
      <c r="GGG146" s="22"/>
      <c r="GGH146" s="22"/>
      <c r="GGI146" s="22"/>
      <c r="GGJ146" s="22"/>
      <c r="GGK146" s="22"/>
      <c r="GGL146" s="22"/>
      <c r="GGM146" s="22"/>
      <c r="GGN146" s="22"/>
      <c r="GGO146" s="22"/>
      <c r="GGP146" s="22"/>
      <c r="GGQ146" s="22"/>
      <c r="GGR146" s="22"/>
      <c r="GGS146" s="22"/>
      <c r="GGT146" s="22"/>
      <c r="GGU146" s="22"/>
      <c r="GGV146" s="22"/>
      <c r="GGW146" s="22"/>
      <c r="GGX146" s="22"/>
      <c r="GGY146" s="22"/>
      <c r="GGZ146" s="22"/>
      <c r="GHA146" s="22"/>
      <c r="GHB146" s="22"/>
      <c r="GHC146" s="22"/>
      <c r="GHD146" s="22"/>
      <c r="GHE146" s="22"/>
      <c r="GHF146" s="22"/>
      <c r="GHG146" s="22"/>
      <c r="GHH146" s="22"/>
      <c r="GHI146" s="22"/>
      <c r="GHJ146" s="22"/>
      <c r="GHK146" s="22"/>
      <c r="GHL146" s="22"/>
      <c r="GHM146" s="22"/>
      <c r="GHN146" s="22"/>
      <c r="GHO146" s="22"/>
      <c r="GHP146" s="22"/>
      <c r="GHQ146" s="22"/>
      <c r="GHR146" s="22"/>
      <c r="GHS146" s="22"/>
      <c r="GHT146" s="22"/>
      <c r="GHU146" s="22"/>
      <c r="GHV146" s="22"/>
      <c r="GHW146" s="22"/>
      <c r="GHX146" s="22"/>
      <c r="GHY146" s="22"/>
      <c r="GHZ146" s="22"/>
      <c r="GIA146" s="22"/>
      <c r="GIB146" s="22"/>
      <c r="GIC146" s="22"/>
      <c r="GID146" s="22"/>
      <c r="GIE146" s="22"/>
      <c r="GIF146" s="22"/>
      <c r="GIG146" s="22"/>
      <c r="GIH146" s="22"/>
      <c r="GII146" s="22"/>
      <c r="GIJ146" s="22"/>
      <c r="GIK146" s="22"/>
      <c r="GIL146" s="22"/>
      <c r="GIM146" s="22"/>
      <c r="GIN146" s="22"/>
      <c r="GIO146" s="22"/>
      <c r="GIP146" s="22"/>
      <c r="GIQ146" s="22"/>
      <c r="GIR146" s="22"/>
      <c r="GIS146" s="22"/>
      <c r="GIT146" s="22"/>
      <c r="GIU146" s="22"/>
      <c r="GIV146" s="22"/>
      <c r="GIW146" s="22"/>
      <c r="GIX146" s="22"/>
      <c r="GIY146" s="22"/>
      <c r="GIZ146" s="22"/>
      <c r="GJA146" s="22"/>
      <c r="GJB146" s="22"/>
      <c r="GJC146" s="22"/>
      <c r="GJD146" s="22"/>
      <c r="GJE146" s="22"/>
      <c r="GJF146" s="22"/>
      <c r="GJG146" s="22"/>
      <c r="GJH146" s="22"/>
      <c r="GJI146" s="22"/>
      <c r="GJJ146" s="22"/>
      <c r="GJK146" s="22"/>
      <c r="GJL146" s="22"/>
      <c r="GJM146" s="22"/>
      <c r="GJN146" s="22"/>
      <c r="GJO146" s="22"/>
      <c r="GJP146" s="22"/>
      <c r="GJQ146" s="22"/>
      <c r="GJR146" s="22"/>
      <c r="GJS146" s="22"/>
      <c r="GJT146" s="22"/>
      <c r="GJU146" s="22"/>
      <c r="GJV146" s="22"/>
      <c r="GJW146" s="22"/>
      <c r="GJX146" s="22"/>
      <c r="GJY146" s="22"/>
      <c r="GJZ146" s="22"/>
      <c r="GKA146" s="22"/>
      <c r="GKB146" s="22"/>
      <c r="GKC146" s="22"/>
      <c r="GKD146" s="22"/>
      <c r="GKE146" s="22"/>
      <c r="GKF146" s="22"/>
      <c r="GKG146" s="22"/>
      <c r="GKH146" s="22"/>
      <c r="GKI146" s="22"/>
      <c r="GKJ146" s="22"/>
      <c r="GKK146" s="22"/>
      <c r="GKL146" s="22"/>
      <c r="GKM146" s="22"/>
      <c r="GKN146" s="22"/>
      <c r="GKO146" s="22"/>
      <c r="GKP146" s="22"/>
      <c r="GKQ146" s="22"/>
      <c r="GKR146" s="22"/>
      <c r="GKS146" s="22"/>
      <c r="GKT146" s="22"/>
      <c r="GKU146" s="22"/>
      <c r="GKV146" s="22"/>
      <c r="GKW146" s="22"/>
      <c r="GKX146" s="22"/>
      <c r="GKY146" s="22"/>
      <c r="GKZ146" s="22"/>
      <c r="GLA146" s="22"/>
      <c r="GLB146" s="22"/>
      <c r="GLC146" s="22"/>
      <c r="GLD146" s="22"/>
      <c r="GLE146" s="22"/>
      <c r="GLF146" s="22"/>
      <c r="GLG146" s="22"/>
      <c r="GLH146" s="22"/>
      <c r="GLI146" s="22"/>
      <c r="GLJ146" s="22"/>
      <c r="GLK146" s="22"/>
      <c r="GLL146" s="22"/>
      <c r="GLM146" s="22"/>
      <c r="GLN146" s="22"/>
      <c r="GLO146" s="22"/>
      <c r="GLP146" s="22"/>
      <c r="GLQ146" s="22"/>
      <c r="GLR146" s="22"/>
      <c r="GLS146" s="22"/>
      <c r="GLT146" s="22"/>
      <c r="GLU146" s="22"/>
      <c r="GLV146" s="22"/>
      <c r="GLW146" s="22"/>
      <c r="GLX146" s="22"/>
      <c r="GLY146" s="22"/>
      <c r="GLZ146" s="22"/>
      <c r="GMA146" s="22"/>
      <c r="GMB146" s="22"/>
      <c r="GMC146" s="22"/>
      <c r="GMD146" s="22"/>
      <c r="GME146" s="22"/>
      <c r="GMF146" s="22"/>
      <c r="GMG146" s="22"/>
      <c r="GMH146" s="22"/>
      <c r="GMI146" s="22"/>
      <c r="GMJ146" s="22"/>
      <c r="GMK146" s="22"/>
      <c r="GML146" s="22"/>
      <c r="GMM146" s="22"/>
      <c r="GMN146" s="22"/>
      <c r="GMO146" s="22"/>
      <c r="GMP146" s="22"/>
      <c r="GMQ146" s="22"/>
      <c r="GMR146" s="22"/>
      <c r="GMS146" s="22"/>
      <c r="GMT146" s="22"/>
      <c r="GMU146" s="22"/>
      <c r="GMV146" s="22"/>
      <c r="GMW146" s="22"/>
      <c r="GMX146" s="22"/>
      <c r="GMY146" s="22"/>
      <c r="GMZ146" s="22"/>
      <c r="GNA146" s="22"/>
      <c r="GNB146" s="22"/>
      <c r="GNC146" s="22"/>
      <c r="GND146" s="22"/>
      <c r="GNE146" s="22"/>
      <c r="GNF146" s="22"/>
      <c r="GNG146" s="22"/>
      <c r="GNH146" s="22"/>
      <c r="GNI146" s="22"/>
      <c r="GNJ146" s="22"/>
      <c r="GNK146" s="22"/>
      <c r="GNL146" s="22"/>
      <c r="GNM146" s="22"/>
      <c r="GNN146" s="22"/>
      <c r="GNO146" s="22"/>
      <c r="GNP146" s="22"/>
      <c r="GNQ146" s="22"/>
      <c r="GNR146" s="22"/>
      <c r="GNS146" s="22"/>
      <c r="GNT146" s="22"/>
      <c r="GNU146" s="22"/>
      <c r="GNV146" s="22"/>
      <c r="GNW146" s="22"/>
      <c r="GNX146" s="22"/>
      <c r="GNY146" s="22"/>
      <c r="GNZ146" s="22"/>
      <c r="GOA146" s="22"/>
      <c r="GOB146" s="22"/>
      <c r="GOC146" s="22"/>
      <c r="GOD146" s="22"/>
      <c r="GOE146" s="22"/>
      <c r="GOF146" s="22"/>
      <c r="GOG146" s="22"/>
      <c r="GOH146" s="22"/>
      <c r="GOI146" s="22"/>
      <c r="GOJ146" s="22"/>
      <c r="GOK146" s="22"/>
      <c r="GOL146" s="22"/>
      <c r="GOM146" s="22"/>
      <c r="GON146" s="22"/>
      <c r="GOO146" s="22"/>
      <c r="GOP146" s="22"/>
      <c r="GOQ146" s="22"/>
      <c r="GOR146" s="22"/>
      <c r="GOS146" s="22"/>
      <c r="GOT146" s="22"/>
      <c r="GOU146" s="22"/>
      <c r="GOV146" s="22"/>
      <c r="GOW146" s="22"/>
      <c r="GOX146" s="22"/>
      <c r="GOY146" s="22"/>
      <c r="GOZ146" s="22"/>
      <c r="GPA146" s="22"/>
      <c r="GPB146" s="22"/>
      <c r="GPC146" s="22"/>
      <c r="GPD146" s="22"/>
      <c r="GPE146" s="22"/>
      <c r="GPF146" s="22"/>
      <c r="GPG146" s="22"/>
      <c r="GPH146" s="22"/>
      <c r="GPI146" s="22"/>
      <c r="GPJ146" s="22"/>
      <c r="GPK146" s="22"/>
      <c r="GPL146" s="22"/>
      <c r="GPM146" s="22"/>
      <c r="GPN146" s="22"/>
      <c r="GPO146" s="22"/>
      <c r="GPP146" s="22"/>
      <c r="GPQ146" s="22"/>
      <c r="GPR146" s="22"/>
      <c r="GPS146" s="22"/>
      <c r="GPT146" s="22"/>
      <c r="GPU146" s="22"/>
      <c r="GPV146" s="22"/>
      <c r="GPW146" s="22"/>
      <c r="GPX146" s="22"/>
      <c r="GPY146" s="22"/>
      <c r="GPZ146" s="22"/>
      <c r="GQA146" s="22"/>
      <c r="GQB146" s="22"/>
      <c r="GQC146" s="22"/>
      <c r="GQD146" s="22"/>
      <c r="GQE146" s="22"/>
      <c r="GQF146" s="22"/>
      <c r="GQG146" s="22"/>
      <c r="GQH146" s="22"/>
      <c r="GQI146" s="22"/>
      <c r="GQJ146" s="22"/>
      <c r="GQK146" s="22"/>
      <c r="GQL146" s="22"/>
      <c r="GQM146" s="22"/>
      <c r="GQN146" s="22"/>
      <c r="GQO146" s="22"/>
      <c r="GQP146" s="22"/>
      <c r="GQQ146" s="22"/>
      <c r="GQR146" s="22"/>
      <c r="GQS146" s="22"/>
      <c r="GQT146" s="22"/>
      <c r="GQU146" s="22"/>
      <c r="GQV146" s="22"/>
      <c r="GQW146" s="22"/>
      <c r="GQX146" s="22"/>
      <c r="GQY146" s="22"/>
      <c r="GQZ146" s="22"/>
      <c r="GRA146" s="22"/>
      <c r="GRB146" s="22"/>
      <c r="GRC146" s="22"/>
      <c r="GRD146" s="22"/>
      <c r="GRE146" s="22"/>
      <c r="GRF146" s="22"/>
      <c r="GRG146" s="22"/>
      <c r="GRH146" s="22"/>
      <c r="GRI146" s="22"/>
      <c r="GRJ146" s="22"/>
      <c r="GRK146" s="22"/>
      <c r="GRL146" s="22"/>
      <c r="GRM146" s="22"/>
      <c r="GRN146" s="22"/>
      <c r="GRO146" s="22"/>
      <c r="GRP146" s="22"/>
      <c r="GRQ146" s="22"/>
      <c r="GRR146" s="22"/>
      <c r="GRS146" s="22"/>
      <c r="GRT146" s="22"/>
      <c r="GRU146" s="22"/>
      <c r="GRV146" s="22"/>
      <c r="GRW146" s="22"/>
      <c r="GRX146" s="22"/>
      <c r="GRY146" s="22"/>
      <c r="GRZ146" s="22"/>
      <c r="GSA146" s="22"/>
      <c r="GSB146" s="22"/>
      <c r="GSC146" s="22"/>
      <c r="GSD146" s="22"/>
      <c r="GSE146" s="22"/>
      <c r="GSF146" s="22"/>
      <c r="GSG146" s="22"/>
      <c r="GSH146" s="22"/>
      <c r="GSI146" s="22"/>
      <c r="GSJ146" s="22"/>
      <c r="GSK146" s="22"/>
      <c r="GSL146" s="22"/>
      <c r="GSM146" s="22"/>
      <c r="GSN146" s="22"/>
      <c r="GSO146" s="22"/>
      <c r="GSP146" s="22"/>
      <c r="GSQ146" s="22"/>
      <c r="GSR146" s="22"/>
      <c r="GSS146" s="22"/>
      <c r="GST146" s="22"/>
      <c r="GSU146" s="22"/>
      <c r="GSV146" s="22"/>
      <c r="GSW146" s="22"/>
      <c r="GSX146" s="22"/>
      <c r="GSY146" s="22"/>
      <c r="GSZ146" s="22"/>
      <c r="GTA146" s="22"/>
      <c r="GTB146" s="22"/>
      <c r="GTC146" s="22"/>
      <c r="GTD146" s="22"/>
      <c r="GTE146" s="22"/>
      <c r="GTF146" s="22"/>
      <c r="GTG146" s="22"/>
      <c r="GTH146" s="22"/>
      <c r="GTI146" s="22"/>
      <c r="GTJ146" s="22"/>
      <c r="GTK146" s="22"/>
      <c r="GTL146" s="22"/>
      <c r="GTM146" s="22"/>
      <c r="GTN146" s="22"/>
      <c r="GTO146" s="22"/>
      <c r="GTP146" s="22"/>
      <c r="GTQ146" s="22"/>
      <c r="GTR146" s="22"/>
      <c r="GTS146" s="22"/>
      <c r="GTT146" s="22"/>
      <c r="GTU146" s="22"/>
      <c r="GTV146" s="22"/>
      <c r="GTW146" s="22"/>
      <c r="GTX146" s="22"/>
      <c r="GTY146" s="22"/>
      <c r="GTZ146" s="22"/>
      <c r="GUA146" s="22"/>
      <c r="GUB146" s="22"/>
      <c r="GUC146" s="22"/>
      <c r="GUD146" s="22"/>
      <c r="GUE146" s="22"/>
      <c r="GUF146" s="22"/>
      <c r="GUG146" s="22"/>
      <c r="GUH146" s="22"/>
      <c r="GUI146" s="22"/>
      <c r="GUJ146" s="22"/>
      <c r="GUK146" s="22"/>
      <c r="GUL146" s="22"/>
      <c r="GUM146" s="22"/>
      <c r="GUN146" s="22"/>
      <c r="GUO146" s="22"/>
      <c r="GUP146" s="22"/>
      <c r="GUQ146" s="22"/>
      <c r="GUR146" s="22"/>
      <c r="GUS146" s="22"/>
      <c r="GUT146" s="22"/>
      <c r="GUU146" s="22"/>
      <c r="GUV146" s="22"/>
      <c r="GUW146" s="22"/>
      <c r="GUX146" s="22"/>
      <c r="GUY146" s="22"/>
      <c r="GUZ146" s="22"/>
      <c r="GVA146" s="22"/>
      <c r="GVB146" s="22"/>
      <c r="GVC146" s="22"/>
      <c r="GVD146" s="22"/>
      <c r="GVE146" s="22"/>
      <c r="GVF146" s="22"/>
      <c r="GVG146" s="22"/>
      <c r="GVH146" s="22"/>
      <c r="GVI146" s="22"/>
      <c r="GVJ146" s="22"/>
      <c r="GVK146" s="22"/>
      <c r="GVL146" s="22"/>
      <c r="GVM146" s="22"/>
      <c r="GVN146" s="22"/>
      <c r="GVO146" s="22"/>
      <c r="GVP146" s="22"/>
      <c r="GVQ146" s="22"/>
      <c r="GVR146" s="22"/>
      <c r="GVS146" s="22"/>
      <c r="GVT146" s="22"/>
      <c r="GVU146" s="22"/>
      <c r="GVV146" s="22"/>
      <c r="GVW146" s="22"/>
      <c r="GVX146" s="22"/>
      <c r="GVY146" s="22"/>
      <c r="GVZ146" s="22"/>
      <c r="GWA146" s="22"/>
      <c r="GWB146" s="22"/>
      <c r="GWC146" s="22"/>
      <c r="GWD146" s="22"/>
      <c r="GWE146" s="22"/>
      <c r="GWF146" s="22"/>
      <c r="GWG146" s="22"/>
      <c r="GWH146" s="22"/>
      <c r="GWI146" s="22"/>
      <c r="GWJ146" s="22"/>
      <c r="GWK146" s="22"/>
      <c r="GWL146" s="22"/>
      <c r="GWM146" s="22"/>
      <c r="GWN146" s="22"/>
      <c r="GWO146" s="22"/>
      <c r="GWP146" s="22"/>
      <c r="GWQ146" s="22"/>
      <c r="GWR146" s="22"/>
      <c r="GWS146" s="22"/>
      <c r="GWT146" s="22"/>
      <c r="GWU146" s="22"/>
      <c r="GWV146" s="22"/>
      <c r="GWW146" s="22"/>
      <c r="GWX146" s="22"/>
      <c r="GWY146" s="22"/>
      <c r="GWZ146" s="22"/>
      <c r="GXA146" s="22"/>
      <c r="GXB146" s="22"/>
      <c r="GXC146" s="22"/>
      <c r="GXD146" s="22"/>
      <c r="GXE146" s="22"/>
      <c r="GXF146" s="22"/>
      <c r="GXG146" s="22"/>
      <c r="GXH146" s="22"/>
      <c r="GXI146" s="22"/>
      <c r="GXJ146" s="22"/>
      <c r="GXK146" s="22"/>
      <c r="GXL146" s="22"/>
      <c r="GXM146" s="22"/>
      <c r="GXN146" s="22"/>
      <c r="GXO146" s="22"/>
      <c r="GXP146" s="22"/>
      <c r="GXQ146" s="22"/>
      <c r="GXR146" s="22"/>
      <c r="GXS146" s="22"/>
      <c r="GXT146" s="22"/>
      <c r="GXU146" s="22"/>
      <c r="GXV146" s="22"/>
      <c r="GXW146" s="22"/>
      <c r="GXX146" s="22"/>
      <c r="GXY146" s="22"/>
      <c r="GXZ146" s="22"/>
      <c r="GYA146" s="22"/>
      <c r="GYB146" s="22"/>
      <c r="GYC146" s="22"/>
      <c r="GYD146" s="22"/>
      <c r="GYE146" s="22"/>
      <c r="GYF146" s="22"/>
      <c r="GYG146" s="22"/>
      <c r="GYH146" s="22"/>
      <c r="GYI146" s="22"/>
      <c r="GYJ146" s="22"/>
      <c r="GYK146" s="22"/>
      <c r="GYL146" s="22"/>
      <c r="GYM146" s="22"/>
      <c r="GYN146" s="22"/>
      <c r="GYO146" s="22"/>
      <c r="GYP146" s="22"/>
      <c r="GYQ146" s="22"/>
      <c r="GYR146" s="22"/>
      <c r="GYS146" s="22"/>
      <c r="GYT146" s="22"/>
      <c r="GYU146" s="22"/>
      <c r="GYV146" s="22"/>
      <c r="GYW146" s="22"/>
      <c r="GYX146" s="22"/>
      <c r="GYY146" s="22"/>
      <c r="GYZ146" s="22"/>
      <c r="GZA146" s="22"/>
      <c r="GZB146" s="22"/>
      <c r="GZC146" s="22"/>
      <c r="GZD146" s="22"/>
      <c r="GZE146" s="22"/>
      <c r="GZF146" s="22"/>
      <c r="GZG146" s="22"/>
      <c r="GZH146" s="22"/>
      <c r="GZI146" s="22"/>
      <c r="GZJ146" s="22"/>
      <c r="GZK146" s="22"/>
      <c r="GZL146" s="22"/>
      <c r="GZM146" s="22"/>
      <c r="GZN146" s="22"/>
      <c r="GZO146" s="22"/>
      <c r="GZP146" s="22"/>
      <c r="GZQ146" s="22"/>
      <c r="GZR146" s="22"/>
      <c r="GZS146" s="22"/>
      <c r="GZT146" s="22"/>
      <c r="GZU146" s="22"/>
      <c r="GZV146" s="22"/>
      <c r="GZW146" s="22"/>
      <c r="GZX146" s="22"/>
      <c r="GZY146" s="22"/>
      <c r="GZZ146" s="22"/>
      <c r="HAA146" s="22"/>
      <c r="HAB146" s="22"/>
      <c r="HAC146" s="22"/>
      <c r="HAD146" s="22"/>
      <c r="HAE146" s="22"/>
      <c r="HAF146" s="22"/>
      <c r="HAG146" s="22"/>
      <c r="HAH146" s="22"/>
      <c r="HAI146" s="22"/>
      <c r="HAJ146" s="22"/>
      <c r="HAK146" s="22"/>
      <c r="HAL146" s="22"/>
      <c r="HAM146" s="22"/>
      <c r="HAN146" s="22"/>
      <c r="HAO146" s="22"/>
      <c r="HAP146" s="22"/>
      <c r="HAQ146" s="22"/>
      <c r="HAR146" s="22"/>
      <c r="HAS146" s="22"/>
      <c r="HAT146" s="22"/>
      <c r="HAU146" s="22"/>
      <c r="HAV146" s="22"/>
      <c r="HAW146" s="22"/>
      <c r="HAX146" s="22"/>
      <c r="HAY146" s="22"/>
      <c r="HAZ146" s="22"/>
      <c r="HBA146" s="22"/>
      <c r="HBB146" s="22"/>
      <c r="HBC146" s="22"/>
      <c r="HBD146" s="22"/>
      <c r="HBE146" s="22"/>
      <c r="HBF146" s="22"/>
      <c r="HBG146" s="22"/>
      <c r="HBH146" s="22"/>
      <c r="HBI146" s="22"/>
      <c r="HBJ146" s="22"/>
      <c r="HBK146" s="22"/>
      <c r="HBL146" s="22"/>
      <c r="HBM146" s="22"/>
      <c r="HBN146" s="22"/>
      <c r="HBO146" s="22"/>
      <c r="HBP146" s="22"/>
      <c r="HBQ146" s="22"/>
      <c r="HBR146" s="22"/>
      <c r="HBS146" s="22"/>
      <c r="HBT146" s="22"/>
      <c r="HBU146" s="22"/>
      <c r="HBV146" s="22"/>
      <c r="HBW146" s="22"/>
      <c r="HBX146" s="22"/>
      <c r="HBY146" s="22"/>
      <c r="HBZ146" s="22"/>
      <c r="HCA146" s="22"/>
      <c r="HCB146" s="22"/>
      <c r="HCC146" s="22"/>
      <c r="HCD146" s="22"/>
      <c r="HCE146" s="22"/>
      <c r="HCF146" s="22"/>
      <c r="HCG146" s="22"/>
      <c r="HCH146" s="22"/>
      <c r="HCI146" s="22"/>
      <c r="HCJ146" s="22"/>
      <c r="HCK146" s="22"/>
      <c r="HCL146" s="22"/>
      <c r="HCM146" s="22"/>
      <c r="HCN146" s="22"/>
      <c r="HCO146" s="22"/>
      <c r="HCP146" s="22"/>
      <c r="HCQ146" s="22"/>
      <c r="HCR146" s="22"/>
      <c r="HCS146" s="22"/>
      <c r="HCT146" s="22"/>
      <c r="HCU146" s="22"/>
      <c r="HCV146" s="22"/>
      <c r="HCW146" s="22"/>
      <c r="HCX146" s="22"/>
      <c r="HCY146" s="22"/>
      <c r="HCZ146" s="22"/>
      <c r="HDA146" s="22"/>
      <c r="HDB146" s="22"/>
      <c r="HDC146" s="22"/>
      <c r="HDD146" s="22"/>
      <c r="HDE146" s="22"/>
      <c r="HDF146" s="22"/>
      <c r="HDG146" s="22"/>
      <c r="HDH146" s="22"/>
      <c r="HDI146" s="22"/>
      <c r="HDJ146" s="22"/>
      <c r="HDK146" s="22"/>
      <c r="HDL146" s="22"/>
      <c r="HDM146" s="22"/>
      <c r="HDN146" s="22"/>
      <c r="HDO146" s="22"/>
      <c r="HDP146" s="22"/>
      <c r="HDQ146" s="22"/>
      <c r="HDR146" s="22"/>
      <c r="HDS146" s="22"/>
      <c r="HDT146" s="22"/>
      <c r="HDU146" s="22"/>
      <c r="HDV146" s="22"/>
      <c r="HDW146" s="22"/>
      <c r="HDX146" s="22"/>
      <c r="HDY146" s="22"/>
      <c r="HDZ146" s="22"/>
      <c r="HEA146" s="22"/>
      <c r="HEB146" s="22"/>
      <c r="HEC146" s="22"/>
      <c r="HED146" s="22"/>
      <c r="HEE146" s="22"/>
      <c r="HEF146" s="22"/>
      <c r="HEG146" s="22"/>
      <c r="HEH146" s="22"/>
      <c r="HEI146" s="22"/>
      <c r="HEJ146" s="22"/>
      <c r="HEK146" s="22"/>
      <c r="HEL146" s="22"/>
      <c r="HEM146" s="22"/>
      <c r="HEN146" s="22"/>
      <c r="HEO146" s="22"/>
      <c r="HEP146" s="22"/>
      <c r="HEQ146" s="22"/>
      <c r="HER146" s="22"/>
      <c r="HES146" s="22"/>
      <c r="HET146" s="22"/>
      <c r="HEU146" s="22"/>
      <c r="HEV146" s="22"/>
      <c r="HEW146" s="22"/>
      <c r="HEX146" s="22"/>
      <c r="HEY146" s="22"/>
      <c r="HEZ146" s="22"/>
      <c r="HFA146" s="22"/>
      <c r="HFB146" s="22"/>
      <c r="HFC146" s="22"/>
      <c r="HFD146" s="22"/>
      <c r="HFE146" s="22"/>
      <c r="HFF146" s="22"/>
      <c r="HFG146" s="22"/>
      <c r="HFH146" s="22"/>
      <c r="HFI146" s="22"/>
      <c r="HFJ146" s="22"/>
      <c r="HFK146" s="22"/>
      <c r="HFL146" s="22"/>
      <c r="HFM146" s="22"/>
      <c r="HFN146" s="22"/>
      <c r="HFO146" s="22"/>
      <c r="HFP146" s="22"/>
      <c r="HFQ146" s="22"/>
      <c r="HFR146" s="22"/>
      <c r="HFS146" s="22"/>
      <c r="HFT146" s="22"/>
      <c r="HFU146" s="22"/>
      <c r="HFV146" s="22"/>
      <c r="HFW146" s="22"/>
      <c r="HFX146" s="22"/>
      <c r="HFY146" s="22"/>
      <c r="HFZ146" s="22"/>
      <c r="HGA146" s="22"/>
      <c r="HGB146" s="22"/>
      <c r="HGC146" s="22"/>
      <c r="HGD146" s="22"/>
      <c r="HGE146" s="22"/>
      <c r="HGF146" s="22"/>
      <c r="HGG146" s="22"/>
      <c r="HGH146" s="22"/>
      <c r="HGI146" s="22"/>
      <c r="HGJ146" s="22"/>
      <c r="HGK146" s="22"/>
      <c r="HGL146" s="22"/>
      <c r="HGM146" s="22"/>
      <c r="HGN146" s="22"/>
      <c r="HGO146" s="22"/>
      <c r="HGP146" s="22"/>
      <c r="HGQ146" s="22"/>
      <c r="HGR146" s="22"/>
      <c r="HGS146" s="22"/>
      <c r="HGT146" s="22"/>
      <c r="HGU146" s="22"/>
      <c r="HGV146" s="22"/>
      <c r="HGW146" s="22"/>
      <c r="HGX146" s="22"/>
      <c r="HGY146" s="22"/>
      <c r="HGZ146" s="22"/>
      <c r="HHA146" s="22"/>
      <c r="HHB146" s="22"/>
      <c r="HHC146" s="22"/>
      <c r="HHD146" s="22"/>
      <c r="HHE146" s="22"/>
      <c r="HHF146" s="22"/>
      <c r="HHG146" s="22"/>
      <c r="HHH146" s="22"/>
      <c r="HHI146" s="22"/>
      <c r="HHJ146" s="22"/>
      <c r="HHK146" s="22"/>
      <c r="HHL146" s="22"/>
      <c r="HHM146" s="22"/>
      <c r="HHN146" s="22"/>
      <c r="HHO146" s="22"/>
      <c r="HHP146" s="22"/>
      <c r="HHQ146" s="22"/>
      <c r="HHR146" s="22"/>
      <c r="HHS146" s="22"/>
      <c r="HHT146" s="22"/>
      <c r="HHU146" s="22"/>
      <c r="HHV146" s="22"/>
      <c r="HHW146" s="22"/>
      <c r="HHX146" s="22"/>
      <c r="HHY146" s="22"/>
      <c r="HHZ146" s="22"/>
      <c r="HIA146" s="22"/>
      <c r="HIB146" s="22"/>
      <c r="HIC146" s="22"/>
      <c r="HID146" s="22"/>
      <c r="HIE146" s="22"/>
      <c r="HIF146" s="22"/>
      <c r="HIG146" s="22"/>
      <c r="HIH146" s="22"/>
      <c r="HII146" s="22"/>
      <c r="HIJ146" s="22"/>
      <c r="HIK146" s="22"/>
      <c r="HIL146" s="22"/>
      <c r="HIM146" s="22"/>
      <c r="HIN146" s="22"/>
      <c r="HIO146" s="22"/>
      <c r="HIP146" s="22"/>
      <c r="HIQ146" s="22"/>
      <c r="HIR146" s="22"/>
      <c r="HIS146" s="22"/>
      <c r="HIT146" s="22"/>
      <c r="HIU146" s="22"/>
      <c r="HIV146" s="22"/>
      <c r="HIW146" s="22"/>
      <c r="HIX146" s="22"/>
      <c r="HIY146" s="22"/>
      <c r="HIZ146" s="22"/>
      <c r="HJA146" s="22"/>
      <c r="HJB146" s="22"/>
      <c r="HJC146" s="22"/>
      <c r="HJD146" s="22"/>
      <c r="HJE146" s="22"/>
      <c r="HJF146" s="22"/>
      <c r="HJG146" s="22"/>
      <c r="HJH146" s="22"/>
      <c r="HJI146" s="22"/>
      <c r="HJJ146" s="22"/>
      <c r="HJK146" s="22"/>
      <c r="HJL146" s="22"/>
      <c r="HJM146" s="22"/>
      <c r="HJN146" s="22"/>
      <c r="HJO146" s="22"/>
      <c r="HJP146" s="22"/>
      <c r="HJQ146" s="22"/>
      <c r="HJR146" s="22"/>
      <c r="HJS146" s="22"/>
      <c r="HJT146" s="22"/>
      <c r="HJU146" s="22"/>
      <c r="HJV146" s="22"/>
      <c r="HJW146" s="22"/>
      <c r="HJX146" s="22"/>
      <c r="HJY146" s="22"/>
      <c r="HJZ146" s="22"/>
      <c r="HKA146" s="22"/>
      <c r="HKB146" s="22"/>
      <c r="HKC146" s="22"/>
      <c r="HKD146" s="22"/>
      <c r="HKE146" s="22"/>
      <c r="HKF146" s="22"/>
      <c r="HKG146" s="22"/>
      <c r="HKH146" s="22"/>
      <c r="HKI146" s="22"/>
      <c r="HKJ146" s="22"/>
      <c r="HKK146" s="22"/>
      <c r="HKL146" s="22"/>
      <c r="HKM146" s="22"/>
      <c r="HKN146" s="22"/>
      <c r="HKO146" s="22"/>
      <c r="HKP146" s="22"/>
      <c r="HKQ146" s="22"/>
      <c r="HKR146" s="22"/>
      <c r="HKS146" s="22"/>
      <c r="HKT146" s="22"/>
      <c r="HKU146" s="22"/>
      <c r="HKV146" s="22"/>
      <c r="HKW146" s="22"/>
      <c r="HKX146" s="22"/>
      <c r="HKY146" s="22"/>
      <c r="HKZ146" s="22"/>
      <c r="HLA146" s="22"/>
      <c r="HLB146" s="22"/>
      <c r="HLC146" s="22"/>
      <c r="HLD146" s="22"/>
      <c r="HLE146" s="22"/>
      <c r="HLF146" s="22"/>
      <c r="HLG146" s="22"/>
      <c r="HLH146" s="22"/>
      <c r="HLI146" s="22"/>
      <c r="HLJ146" s="22"/>
      <c r="HLK146" s="22"/>
      <c r="HLL146" s="22"/>
      <c r="HLM146" s="22"/>
      <c r="HLN146" s="22"/>
      <c r="HLO146" s="22"/>
      <c r="HLP146" s="22"/>
      <c r="HLQ146" s="22"/>
      <c r="HLR146" s="22"/>
      <c r="HLS146" s="22"/>
      <c r="HLT146" s="22"/>
      <c r="HLU146" s="22"/>
      <c r="HLV146" s="22"/>
      <c r="HLW146" s="22"/>
      <c r="HLX146" s="22"/>
      <c r="HLY146" s="22"/>
      <c r="HLZ146" s="22"/>
      <c r="HMA146" s="22"/>
      <c r="HMB146" s="22"/>
      <c r="HMC146" s="22"/>
      <c r="HMD146" s="22"/>
      <c r="HME146" s="22"/>
      <c r="HMF146" s="22"/>
      <c r="HMG146" s="22"/>
      <c r="HMH146" s="22"/>
      <c r="HMI146" s="22"/>
      <c r="HMJ146" s="22"/>
      <c r="HMK146" s="22"/>
      <c r="HML146" s="22"/>
      <c r="HMM146" s="22"/>
      <c r="HMN146" s="22"/>
      <c r="HMO146" s="22"/>
      <c r="HMP146" s="22"/>
      <c r="HMQ146" s="22"/>
      <c r="HMR146" s="22"/>
      <c r="HMS146" s="22"/>
      <c r="HMT146" s="22"/>
      <c r="HMU146" s="22"/>
      <c r="HMV146" s="22"/>
      <c r="HMW146" s="22"/>
      <c r="HMX146" s="22"/>
      <c r="HMY146" s="22"/>
      <c r="HMZ146" s="22"/>
      <c r="HNA146" s="22"/>
      <c r="HNB146" s="22"/>
      <c r="HNC146" s="22"/>
      <c r="HND146" s="22"/>
      <c r="HNE146" s="22"/>
      <c r="HNF146" s="22"/>
      <c r="HNG146" s="22"/>
      <c r="HNH146" s="22"/>
      <c r="HNI146" s="22"/>
      <c r="HNJ146" s="22"/>
      <c r="HNK146" s="22"/>
      <c r="HNL146" s="22"/>
      <c r="HNM146" s="22"/>
      <c r="HNN146" s="22"/>
      <c r="HNO146" s="22"/>
      <c r="HNP146" s="22"/>
      <c r="HNQ146" s="22"/>
      <c r="HNR146" s="22"/>
      <c r="HNS146" s="22"/>
      <c r="HNT146" s="22"/>
      <c r="HNU146" s="22"/>
      <c r="HNV146" s="22"/>
      <c r="HNW146" s="22"/>
      <c r="HNX146" s="22"/>
      <c r="HNY146" s="22"/>
      <c r="HNZ146" s="22"/>
      <c r="HOA146" s="22"/>
      <c r="HOB146" s="22"/>
      <c r="HOC146" s="22"/>
      <c r="HOD146" s="22"/>
      <c r="HOE146" s="22"/>
      <c r="HOF146" s="22"/>
      <c r="HOG146" s="22"/>
      <c r="HOH146" s="22"/>
      <c r="HOI146" s="22"/>
      <c r="HOJ146" s="22"/>
      <c r="HOK146" s="22"/>
      <c r="HOL146" s="22"/>
      <c r="HOM146" s="22"/>
      <c r="HON146" s="22"/>
      <c r="HOO146" s="22"/>
      <c r="HOP146" s="22"/>
      <c r="HOQ146" s="22"/>
      <c r="HOR146" s="22"/>
      <c r="HOS146" s="22"/>
      <c r="HOT146" s="22"/>
      <c r="HOU146" s="22"/>
      <c r="HOV146" s="22"/>
      <c r="HOW146" s="22"/>
      <c r="HOX146" s="22"/>
      <c r="HOY146" s="22"/>
      <c r="HOZ146" s="22"/>
      <c r="HPA146" s="22"/>
      <c r="HPB146" s="22"/>
      <c r="HPC146" s="22"/>
      <c r="HPD146" s="22"/>
      <c r="HPE146" s="22"/>
      <c r="HPF146" s="22"/>
      <c r="HPG146" s="22"/>
      <c r="HPH146" s="22"/>
      <c r="HPI146" s="22"/>
      <c r="HPJ146" s="22"/>
      <c r="HPK146" s="22"/>
      <c r="HPL146" s="22"/>
      <c r="HPM146" s="22"/>
      <c r="HPN146" s="22"/>
      <c r="HPO146" s="22"/>
      <c r="HPP146" s="22"/>
      <c r="HPQ146" s="22"/>
      <c r="HPR146" s="22"/>
      <c r="HPS146" s="22"/>
      <c r="HPT146" s="22"/>
      <c r="HPU146" s="22"/>
      <c r="HPV146" s="22"/>
      <c r="HPW146" s="22"/>
      <c r="HPX146" s="22"/>
      <c r="HPY146" s="22"/>
      <c r="HPZ146" s="22"/>
      <c r="HQA146" s="22"/>
      <c r="HQB146" s="22"/>
      <c r="HQC146" s="22"/>
      <c r="HQD146" s="22"/>
      <c r="HQE146" s="22"/>
      <c r="HQF146" s="22"/>
      <c r="HQG146" s="22"/>
      <c r="HQH146" s="22"/>
      <c r="HQI146" s="22"/>
      <c r="HQJ146" s="22"/>
      <c r="HQK146" s="22"/>
      <c r="HQL146" s="22"/>
      <c r="HQM146" s="22"/>
      <c r="HQN146" s="22"/>
      <c r="HQO146" s="22"/>
      <c r="HQP146" s="22"/>
      <c r="HQQ146" s="22"/>
      <c r="HQR146" s="22"/>
      <c r="HQS146" s="22"/>
      <c r="HQT146" s="22"/>
      <c r="HQU146" s="22"/>
      <c r="HQV146" s="22"/>
      <c r="HQW146" s="22"/>
      <c r="HQX146" s="22"/>
      <c r="HQY146" s="22"/>
      <c r="HQZ146" s="22"/>
      <c r="HRA146" s="22"/>
      <c r="HRB146" s="22"/>
      <c r="HRC146" s="22"/>
      <c r="HRD146" s="22"/>
      <c r="HRE146" s="22"/>
      <c r="HRF146" s="22"/>
      <c r="HRG146" s="22"/>
      <c r="HRH146" s="22"/>
      <c r="HRI146" s="22"/>
      <c r="HRJ146" s="22"/>
      <c r="HRK146" s="22"/>
      <c r="HRL146" s="22"/>
      <c r="HRM146" s="22"/>
      <c r="HRN146" s="22"/>
      <c r="HRO146" s="22"/>
      <c r="HRP146" s="22"/>
      <c r="HRQ146" s="22"/>
      <c r="HRR146" s="22"/>
      <c r="HRS146" s="22"/>
      <c r="HRT146" s="22"/>
      <c r="HRU146" s="22"/>
      <c r="HRV146" s="22"/>
      <c r="HRW146" s="22"/>
      <c r="HRX146" s="22"/>
      <c r="HRY146" s="22"/>
      <c r="HRZ146" s="22"/>
      <c r="HSA146" s="22"/>
      <c r="HSB146" s="22"/>
      <c r="HSC146" s="22"/>
      <c r="HSD146" s="22"/>
      <c r="HSE146" s="22"/>
      <c r="HSF146" s="22"/>
      <c r="HSG146" s="22"/>
      <c r="HSH146" s="22"/>
      <c r="HSI146" s="22"/>
      <c r="HSJ146" s="22"/>
      <c r="HSK146" s="22"/>
      <c r="HSL146" s="22"/>
      <c r="HSM146" s="22"/>
      <c r="HSN146" s="22"/>
      <c r="HSO146" s="22"/>
      <c r="HSP146" s="22"/>
      <c r="HSQ146" s="22"/>
      <c r="HSR146" s="22"/>
      <c r="HSS146" s="22"/>
      <c r="HST146" s="22"/>
      <c r="HSU146" s="22"/>
      <c r="HSV146" s="22"/>
      <c r="HSW146" s="22"/>
      <c r="HSX146" s="22"/>
      <c r="HSY146" s="22"/>
      <c r="HSZ146" s="22"/>
      <c r="HTA146" s="22"/>
      <c r="HTB146" s="22"/>
      <c r="HTC146" s="22"/>
      <c r="HTD146" s="22"/>
      <c r="HTE146" s="22"/>
      <c r="HTF146" s="22"/>
      <c r="HTG146" s="22"/>
      <c r="HTH146" s="22"/>
      <c r="HTI146" s="22"/>
      <c r="HTJ146" s="22"/>
      <c r="HTK146" s="22"/>
      <c r="HTL146" s="22"/>
      <c r="HTM146" s="22"/>
      <c r="HTN146" s="22"/>
      <c r="HTO146" s="22"/>
      <c r="HTP146" s="22"/>
      <c r="HTQ146" s="22"/>
      <c r="HTR146" s="22"/>
      <c r="HTS146" s="22"/>
      <c r="HTT146" s="22"/>
      <c r="HTU146" s="22"/>
      <c r="HTV146" s="22"/>
      <c r="HTW146" s="22"/>
      <c r="HTX146" s="22"/>
      <c r="HTY146" s="22"/>
      <c r="HTZ146" s="22"/>
      <c r="HUA146" s="22"/>
      <c r="HUB146" s="22"/>
      <c r="HUC146" s="22"/>
      <c r="HUD146" s="22"/>
      <c r="HUE146" s="22"/>
      <c r="HUF146" s="22"/>
      <c r="HUG146" s="22"/>
      <c r="HUH146" s="22"/>
      <c r="HUI146" s="22"/>
      <c r="HUJ146" s="22"/>
      <c r="HUK146" s="22"/>
      <c r="HUL146" s="22"/>
      <c r="HUM146" s="22"/>
      <c r="HUN146" s="22"/>
      <c r="HUO146" s="22"/>
      <c r="HUP146" s="22"/>
      <c r="HUQ146" s="22"/>
      <c r="HUR146" s="22"/>
      <c r="HUS146" s="22"/>
      <c r="HUT146" s="22"/>
      <c r="HUU146" s="22"/>
      <c r="HUV146" s="22"/>
      <c r="HUW146" s="22"/>
      <c r="HUX146" s="22"/>
      <c r="HUY146" s="22"/>
      <c r="HUZ146" s="22"/>
      <c r="HVA146" s="22"/>
      <c r="HVB146" s="22"/>
      <c r="HVC146" s="22"/>
      <c r="HVD146" s="22"/>
      <c r="HVE146" s="22"/>
      <c r="HVF146" s="22"/>
      <c r="HVG146" s="22"/>
      <c r="HVH146" s="22"/>
      <c r="HVI146" s="22"/>
      <c r="HVJ146" s="22"/>
      <c r="HVK146" s="22"/>
      <c r="HVL146" s="22"/>
      <c r="HVM146" s="22"/>
      <c r="HVN146" s="22"/>
      <c r="HVO146" s="22"/>
      <c r="HVP146" s="22"/>
      <c r="HVQ146" s="22"/>
      <c r="HVR146" s="22"/>
      <c r="HVS146" s="22"/>
      <c r="HVT146" s="22"/>
      <c r="HVU146" s="22"/>
      <c r="HVV146" s="22"/>
      <c r="HVW146" s="22"/>
      <c r="HVX146" s="22"/>
      <c r="HVY146" s="22"/>
      <c r="HVZ146" s="22"/>
      <c r="HWA146" s="22"/>
      <c r="HWB146" s="22"/>
      <c r="HWC146" s="22"/>
      <c r="HWD146" s="22"/>
      <c r="HWE146" s="22"/>
      <c r="HWF146" s="22"/>
      <c r="HWG146" s="22"/>
      <c r="HWH146" s="22"/>
      <c r="HWI146" s="22"/>
      <c r="HWJ146" s="22"/>
      <c r="HWK146" s="22"/>
      <c r="HWL146" s="22"/>
      <c r="HWM146" s="22"/>
      <c r="HWN146" s="22"/>
      <c r="HWO146" s="22"/>
      <c r="HWP146" s="22"/>
      <c r="HWQ146" s="22"/>
      <c r="HWR146" s="22"/>
      <c r="HWS146" s="22"/>
      <c r="HWT146" s="22"/>
      <c r="HWU146" s="22"/>
      <c r="HWV146" s="22"/>
      <c r="HWW146" s="22"/>
      <c r="HWX146" s="22"/>
      <c r="HWY146" s="22"/>
      <c r="HWZ146" s="22"/>
      <c r="HXA146" s="22"/>
      <c r="HXB146" s="22"/>
      <c r="HXC146" s="22"/>
      <c r="HXD146" s="22"/>
      <c r="HXE146" s="22"/>
      <c r="HXF146" s="22"/>
      <c r="HXG146" s="22"/>
      <c r="HXH146" s="22"/>
      <c r="HXI146" s="22"/>
      <c r="HXJ146" s="22"/>
      <c r="HXK146" s="22"/>
      <c r="HXL146" s="22"/>
      <c r="HXM146" s="22"/>
      <c r="HXN146" s="22"/>
      <c r="HXO146" s="22"/>
      <c r="HXP146" s="22"/>
      <c r="HXQ146" s="22"/>
      <c r="HXR146" s="22"/>
      <c r="HXS146" s="22"/>
      <c r="HXT146" s="22"/>
      <c r="HXU146" s="22"/>
      <c r="HXV146" s="22"/>
      <c r="HXW146" s="22"/>
      <c r="HXX146" s="22"/>
      <c r="HXY146" s="22"/>
      <c r="HXZ146" s="22"/>
      <c r="HYA146" s="22"/>
      <c r="HYB146" s="22"/>
      <c r="HYC146" s="22"/>
      <c r="HYD146" s="22"/>
      <c r="HYE146" s="22"/>
      <c r="HYF146" s="22"/>
      <c r="HYG146" s="22"/>
      <c r="HYH146" s="22"/>
      <c r="HYI146" s="22"/>
      <c r="HYJ146" s="22"/>
      <c r="HYK146" s="22"/>
      <c r="HYL146" s="22"/>
      <c r="HYM146" s="22"/>
      <c r="HYN146" s="22"/>
      <c r="HYO146" s="22"/>
      <c r="HYP146" s="22"/>
      <c r="HYQ146" s="22"/>
      <c r="HYR146" s="22"/>
      <c r="HYS146" s="22"/>
      <c r="HYT146" s="22"/>
      <c r="HYU146" s="22"/>
      <c r="HYV146" s="22"/>
      <c r="HYW146" s="22"/>
      <c r="HYX146" s="22"/>
      <c r="HYY146" s="22"/>
      <c r="HYZ146" s="22"/>
      <c r="HZA146" s="22"/>
      <c r="HZB146" s="22"/>
      <c r="HZC146" s="22"/>
      <c r="HZD146" s="22"/>
      <c r="HZE146" s="22"/>
      <c r="HZF146" s="22"/>
      <c r="HZG146" s="22"/>
      <c r="HZH146" s="22"/>
      <c r="HZI146" s="22"/>
      <c r="HZJ146" s="22"/>
      <c r="HZK146" s="22"/>
      <c r="HZL146" s="22"/>
      <c r="HZM146" s="22"/>
      <c r="HZN146" s="22"/>
      <c r="HZO146" s="22"/>
      <c r="HZP146" s="22"/>
      <c r="HZQ146" s="22"/>
      <c r="HZR146" s="22"/>
      <c r="HZS146" s="22"/>
      <c r="HZT146" s="22"/>
      <c r="HZU146" s="22"/>
      <c r="HZV146" s="22"/>
      <c r="HZW146" s="22"/>
      <c r="HZX146" s="22"/>
      <c r="HZY146" s="22"/>
      <c r="HZZ146" s="22"/>
      <c r="IAA146" s="22"/>
      <c r="IAB146" s="22"/>
      <c r="IAC146" s="22"/>
      <c r="IAD146" s="22"/>
      <c r="IAE146" s="22"/>
      <c r="IAF146" s="22"/>
      <c r="IAG146" s="22"/>
      <c r="IAH146" s="22"/>
      <c r="IAI146" s="22"/>
      <c r="IAJ146" s="22"/>
      <c r="IAK146" s="22"/>
      <c r="IAL146" s="22"/>
      <c r="IAM146" s="22"/>
      <c r="IAN146" s="22"/>
      <c r="IAO146" s="22"/>
      <c r="IAP146" s="22"/>
      <c r="IAQ146" s="22"/>
      <c r="IAR146" s="22"/>
      <c r="IAS146" s="22"/>
      <c r="IAT146" s="22"/>
      <c r="IAU146" s="22"/>
      <c r="IAV146" s="22"/>
      <c r="IAW146" s="22"/>
      <c r="IAX146" s="22"/>
      <c r="IAY146" s="22"/>
      <c r="IAZ146" s="22"/>
      <c r="IBA146" s="22"/>
      <c r="IBB146" s="22"/>
      <c r="IBC146" s="22"/>
      <c r="IBD146" s="22"/>
      <c r="IBE146" s="22"/>
      <c r="IBF146" s="22"/>
      <c r="IBG146" s="22"/>
      <c r="IBH146" s="22"/>
      <c r="IBI146" s="22"/>
      <c r="IBJ146" s="22"/>
      <c r="IBK146" s="22"/>
      <c r="IBL146" s="22"/>
      <c r="IBM146" s="22"/>
      <c r="IBN146" s="22"/>
      <c r="IBO146" s="22"/>
      <c r="IBP146" s="22"/>
      <c r="IBQ146" s="22"/>
      <c r="IBR146" s="22"/>
      <c r="IBS146" s="22"/>
      <c r="IBT146" s="22"/>
      <c r="IBU146" s="22"/>
      <c r="IBV146" s="22"/>
      <c r="IBW146" s="22"/>
      <c r="IBX146" s="22"/>
      <c r="IBY146" s="22"/>
      <c r="IBZ146" s="22"/>
      <c r="ICA146" s="22"/>
      <c r="ICB146" s="22"/>
      <c r="ICC146" s="22"/>
      <c r="ICD146" s="22"/>
      <c r="ICE146" s="22"/>
      <c r="ICF146" s="22"/>
      <c r="ICG146" s="22"/>
      <c r="ICH146" s="22"/>
      <c r="ICI146" s="22"/>
      <c r="ICJ146" s="22"/>
      <c r="ICK146" s="22"/>
      <c r="ICL146" s="22"/>
      <c r="ICM146" s="22"/>
      <c r="ICN146" s="22"/>
      <c r="ICO146" s="22"/>
      <c r="ICP146" s="22"/>
      <c r="ICQ146" s="22"/>
      <c r="ICR146" s="22"/>
      <c r="ICS146" s="22"/>
      <c r="ICT146" s="22"/>
      <c r="ICU146" s="22"/>
      <c r="ICV146" s="22"/>
      <c r="ICW146" s="22"/>
      <c r="ICX146" s="22"/>
      <c r="ICY146" s="22"/>
      <c r="ICZ146" s="22"/>
      <c r="IDA146" s="22"/>
      <c r="IDB146" s="22"/>
      <c r="IDC146" s="22"/>
      <c r="IDD146" s="22"/>
      <c r="IDE146" s="22"/>
      <c r="IDF146" s="22"/>
      <c r="IDG146" s="22"/>
      <c r="IDH146" s="22"/>
      <c r="IDI146" s="22"/>
      <c r="IDJ146" s="22"/>
      <c r="IDK146" s="22"/>
      <c r="IDL146" s="22"/>
      <c r="IDM146" s="22"/>
      <c r="IDN146" s="22"/>
      <c r="IDO146" s="22"/>
      <c r="IDP146" s="22"/>
      <c r="IDQ146" s="22"/>
      <c r="IDR146" s="22"/>
      <c r="IDS146" s="22"/>
      <c r="IDT146" s="22"/>
      <c r="IDU146" s="22"/>
      <c r="IDV146" s="22"/>
      <c r="IDW146" s="22"/>
      <c r="IDX146" s="22"/>
      <c r="IDY146" s="22"/>
      <c r="IDZ146" s="22"/>
      <c r="IEA146" s="22"/>
      <c r="IEB146" s="22"/>
      <c r="IEC146" s="22"/>
      <c r="IED146" s="22"/>
      <c r="IEE146" s="22"/>
      <c r="IEF146" s="22"/>
      <c r="IEG146" s="22"/>
      <c r="IEH146" s="22"/>
      <c r="IEI146" s="22"/>
      <c r="IEJ146" s="22"/>
      <c r="IEK146" s="22"/>
      <c r="IEL146" s="22"/>
      <c r="IEM146" s="22"/>
      <c r="IEN146" s="22"/>
      <c r="IEO146" s="22"/>
      <c r="IEP146" s="22"/>
      <c r="IEQ146" s="22"/>
      <c r="IER146" s="22"/>
      <c r="IES146" s="22"/>
      <c r="IET146" s="22"/>
      <c r="IEU146" s="22"/>
      <c r="IEV146" s="22"/>
      <c r="IEW146" s="22"/>
      <c r="IEX146" s="22"/>
      <c r="IEY146" s="22"/>
      <c r="IEZ146" s="22"/>
      <c r="IFA146" s="22"/>
      <c r="IFB146" s="22"/>
      <c r="IFC146" s="22"/>
      <c r="IFD146" s="22"/>
      <c r="IFE146" s="22"/>
      <c r="IFF146" s="22"/>
      <c r="IFG146" s="22"/>
      <c r="IFH146" s="22"/>
      <c r="IFI146" s="22"/>
      <c r="IFJ146" s="22"/>
      <c r="IFK146" s="22"/>
      <c r="IFL146" s="22"/>
      <c r="IFM146" s="22"/>
      <c r="IFN146" s="22"/>
      <c r="IFO146" s="22"/>
      <c r="IFP146" s="22"/>
      <c r="IFQ146" s="22"/>
      <c r="IFR146" s="22"/>
      <c r="IFS146" s="22"/>
      <c r="IFT146" s="22"/>
      <c r="IFU146" s="22"/>
      <c r="IFV146" s="22"/>
      <c r="IFW146" s="22"/>
      <c r="IFX146" s="22"/>
      <c r="IFY146" s="22"/>
      <c r="IFZ146" s="22"/>
      <c r="IGA146" s="22"/>
      <c r="IGB146" s="22"/>
      <c r="IGC146" s="22"/>
      <c r="IGD146" s="22"/>
      <c r="IGE146" s="22"/>
      <c r="IGF146" s="22"/>
      <c r="IGG146" s="22"/>
      <c r="IGH146" s="22"/>
      <c r="IGI146" s="22"/>
      <c r="IGJ146" s="22"/>
      <c r="IGK146" s="22"/>
      <c r="IGL146" s="22"/>
      <c r="IGM146" s="22"/>
      <c r="IGN146" s="22"/>
      <c r="IGO146" s="22"/>
      <c r="IGP146" s="22"/>
      <c r="IGQ146" s="22"/>
      <c r="IGR146" s="22"/>
      <c r="IGS146" s="22"/>
      <c r="IGT146" s="22"/>
      <c r="IGU146" s="22"/>
      <c r="IGV146" s="22"/>
      <c r="IGW146" s="22"/>
      <c r="IGX146" s="22"/>
      <c r="IGY146" s="22"/>
      <c r="IGZ146" s="22"/>
      <c r="IHA146" s="22"/>
      <c r="IHB146" s="22"/>
      <c r="IHC146" s="22"/>
      <c r="IHD146" s="22"/>
      <c r="IHE146" s="22"/>
      <c r="IHF146" s="22"/>
      <c r="IHG146" s="22"/>
      <c r="IHH146" s="22"/>
      <c r="IHI146" s="22"/>
      <c r="IHJ146" s="22"/>
      <c r="IHK146" s="22"/>
      <c r="IHL146" s="22"/>
      <c r="IHM146" s="22"/>
      <c r="IHN146" s="22"/>
      <c r="IHO146" s="22"/>
      <c r="IHP146" s="22"/>
      <c r="IHQ146" s="22"/>
      <c r="IHR146" s="22"/>
      <c r="IHS146" s="22"/>
      <c r="IHT146" s="22"/>
      <c r="IHU146" s="22"/>
      <c r="IHV146" s="22"/>
      <c r="IHW146" s="22"/>
      <c r="IHX146" s="22"/>
      <c r="IHY146" s="22"/>
      <c r="IHZ146" s="22"/>
      <c r="IIA146" s="22"/>
      <c r="IIB146" s="22"/>
      <c r="IIC146" s="22"/>
      <c r="IID146" s="22"/>
      <c r="IIE146" s="22"/>
      <c r="IIF146" s="22"/>
      <c r="IIG146" s="22"/>
      <c r="IIH146" s="22"/>
      <c r="III146" s="22"/>
      <c r="IIJ146" s="22"/>
      <c r="IIK146" s="22"/>
      <c r="IIL146" s="22"/>
      <c r="IIM146" s="22"/>
      <c r="IIN146" s="22"/>
      <c r="IIO146" s="22"/>
      <c r="IIP146" s="22"/>
      <c r="IIQ146" s="22"/>
      <c r="IIR146" s="22"/>
      <c r="IIS146" s="22"/>
      <c r="IIT146" s="22"/>
      <c r="IIU146" s="22"/>
      <c r="IIV146" s="22"/>
      <c r="IIW146" s="22"/>
      <c r="IIX146" s="22"/>
      <c r="IIY146" s="22"/>
      <c r="IIZ146" s="22"/>
      <c r="IJA146" s="22"/>
      <c r="IJB146" s="22"/>
      <c r="IJC146" s="22"/>
      <c r="IJD146" s="22"/>
      <c r="IJE146" s="22"/>
      <c r="IJF146" s="22"/>
      <c r="IJG146" s="22"/>
      <c r="IJH146" s="22"/>
      <c r="IJI146" s="22"/>
      <c r="IJJ146" s="22"/>
      <c r="IJK146" s="22"/>
      <c r="IJL146" s="22"/>
      <c r="IJM146" s="22"/>
      <c r="IJN146" s="22"/>
      <c r="IJO146" s="22"/>
      <c r="IJP146" s="22"/>
      <c r="IJQ146" s="22"/>
      <c r="IJR146" s="22"/>
      <c r="IJS146" s="22"/>
      <c r="IJT146" s="22"/>
      <c r="IJU146" s="22"/>
      <c r="IJV146" s="22"/>
      <c r="IJW146" s="22"/>
      <c r="IJX146" s="22"/>
      <c r="IJY146" s="22"/>
      <c r="IJZ146" s="22"/>
      <c r="IKA146" s="22"/>
      <c r="IKB146" s="22"/>
      <c r="IKC146" s="22"/>
      <c r="IKD146" s="22"/>
      <c r="IKE146" s="22"/>
      <c r="IKF146" s="22"/>
      <c r="IKG146" s="22"/>
      <c r="IKH146" s="22"/>
      <c r="IKI146" s="22"/>
      <c r="IKJ146" s="22"/>
      <c r="IKK146" s="22"/>
      <c r="IKL146" s="22"/>
      <c r="IKM146" s="22"/>
      <c r="IKN146" s="22"/>
      <c r="IKO146" s="22"/>
      <c r="IKP146" s="22"/>
      <c r="IKQ146" s="22"/>
      <c r="IKR146" s="22"/>
      <c r="IKS146" s="22"/>
      <c r="IKT146" s="22"/>
      <c r="IKU146" s="22"/>
      <c r="IKV146" s="22"/>
      <c r="IKW146" s="22"/>
      <c r="IKX146" s="22"/>
      <c r="IKY146" s="22"/>
      <c r="IKZ146" s="22"/>
      <c r="ILA146" s="22"/>
      <c r="ILB146" s="22"/>
      <c r="ILC146" s="22"/>
      <c r="ILD146" s="22"/>
      <c r="ILE146" s="22"/>
      <c r="ILF146" s="22"/>
      <c r="ILG146" s="22"/>
      <c r="ILH146" s="22"/>
      <c r="ILI146" s="22"/>
      <c r="ILJ146" s="22"/>
      <c r="ILK146" s="22"/>
      <c r="ILL146" s="22"/>
      <c r="ILM146" s="22"/>
      <c r="ILN146" s="22"/>
      <c r="ILO146" s="22"/>
      <c r="ILP146" s="22"/>
      <c r="ILQ146" s="22"/>
      <c r="ILR146" s="22"/>
      <c r="ILS146" s="22"/>
      <c r="ILT146" s="22"/>
      <c r="ILU146" s="22"/>
      <c r="ILV146" s="22"/>
      <c r="ILW146" s="22"/>
      <c r="ILX146" s="22"/>
      <c r="ILY146" s="22"/>
      <c r="ILZ146" s="22"/>
      <c r="IMA146" s="22"/>
      <c r="IMB146" s="22"/>
      <c r="IMC146" s="22"/>
      <c r="IMD146" s="22"/>
      <c r="IME146" s="22"/>
      <c r="IMF146" s="22"/>
      <c r="IMG146" s="22"/>
      <c r="IMH146" s="22"/>
      <c r="IMI146" s="22"/>
      <c r="IMJ146" s="22"/>
      <c r="IMK146" s="22"/>
      <c r="IML146" s="22"/>
      <c r="IMM146" s="22"/>
      <c r="IMN146" s="22"/>
      <c r="IMO146" s="22"/>
      <c r="IMP146" s="22"/>
      <c r="IMQ146" s="22"/>
      <c r="IMR146" s="22"/>
      <c r="IMS146" s="22"/>
      <c r="IMT146" s="22"/>
      <c r="IMU146" s="22"/>
      <c r="IMV146" s="22"/>
      <c r="IMW146" s="22"/>
      <c r="IMX146" s="22"/>
      <c r="IMY146" s="22"/>
      <c r="IMZ146" s="22"/>
      <c r="INA146" s="22"/>
      <c r="INB146" s="22"/>
      <c r="INC146" s="22"/>
      <c r="IND146" s="22"/>
      <c r="INE146" s="22"/>
      <c r="INF146" s="22"/>
      <c r="ING146" s="22"/>
      <c r="INH146" s="22"/>
      <c r="INI146" s="22"/>
      <c r="INJ146" s="22"/>
      <c r="INK146" s="22"/>
      <c r="INL146" s="22"/>
      <c r="INM146" s="22"/>
      <c r="INN146" s="22"/>
      <c r="INO146" s="22"/>
      <c r="INP146" s="22"/>
      <c r="INQ146" s="22"/>
      <c r="INR146" s="22"/>
      <c r="INS146" s="22"/>
      <c r="INT146" s="22"/>
      <c r="INU146" s="22"/>
      <c r="INV146" s="22"/>
      <c r="INW146" s="22"/>
      <c r="INX146" s="22"/>
      <c r="INY146" s="22"/>
      <c r="INZ146" s="22"/>
      <c r="IOA146" s="22"/>
      <c r="IOB146" s="22"/>
      <c r="IOC146" s="22"/>
      <c r="IOD146" s="22"/>
      <c r="IOE146" s="22"/>
      <c r="IOF146" s="22"/>
      <c r="IOG146" s="22"/>
      <c r="IOH146" s="22"/>
      <c r="IOI146" s="22"/>
      <c r="IOJ146" s="22"/>
      <c r="IOK146" s="22"/>
      <c r="IOL146" s="22"/>
      <c r="IOM146" s="22"/>
      <c r="ION146" s="22"/>
      <c r="IOO146" s="22"/>
      <c r="IOP146" s="22"/>
      <c r="IOQ146" s="22"/>
      <c r="IOR146" s="22"/>
      <c r="IOS146" s="22"/>
      <c r="IOT146" s="22"/>
      <c r="IOU146" s="22"/>
      <c r="IOV146" s="22"/>
      <c r="IOW146" s="22"/>
      <c r="IOX146" s="22"/>
      <c r="IOY146" s="22"/>
      <c r="IOZ146" s="22"/>
      <c r="IPA146" s="22"/>
      <c r="IPB146" s="22"/>
      <c r="IPC146" s="22"/>
      <c r="IPD146" s="22"/>
      <c r="IPE146" s="22"/>
      <c r="IPF146" s="22"/>
      <c r="IPG146" s="22"/>
      <c r="IPH146" s="22"/>
      <c r="IPI146" s="22"/>
      <c r="IPJ146" s="22"/>
      <c r="IPK146" s="22"/>
      <c r="IPL146" s="22"/>
      <c r="IPM146" s="22"/>
      <c r="IPN146" s="22"/>
      <c r="IPO146" s="22"/>
      <c r="IPP146" s="22"/>
      <c r="IPQ146" s="22"/>
      <c r="IPR146" s="22"/>
      <c r="IPS146" s="22"/>
      <c r="IPT146" s="22"/>
      <c r="IPU146" s="22"/>
      <c r="IPV146" s="22"/>
      <c r="IPW146" s="22"/>
      <c r="IPX146" s="22"/>
      <c r="IPY146" s="22"/>
      <c r="IPZ146" s="22"/>
      <c r="IQA146" s="22"/>
      <c r="IQB146" s="22"/>
      <c r="IQC146" s="22"/>
      <c r="IQD146" s="22"/>
      <c r="IQE146" s="22"/>
      <c r="IQF146" s="22"/>
      <c r="IQG146" s="22"/>
      <c r="IQH146" s="22"/>
      <c r="IQI146" s="22"/>
      <c r="IQJ146" s="22"/>
      <c r="IQK146" s="22"/>
      <c r="IQL146" s="22"/>
      <c r="IQM146" s="22"/>
      <c r="IQN146" s="22"/>
      <c r="IQO146" s="22"/>
      <c r="IQP146" s="22"/>
      <c r="IQQ146" s="22"/>
      <c r="IQR146" s="22"/>
      <c r="IQS146" s="22"/>
      <c r="IQT146" s="22"/>
      <c r="IQU146" s="22"/>
      <c r="IQV146" s="22"/>
      <c r="IQW146" s="22"/>
      <c r="IQX146" s="22"/>
      <c r="IQY146" s="22"/>
      <c r="IQZ146" s="22"/>
      <c r="IRA146" s="22"/>
      <c r="IRB146" s="22"/>
      <c r="IRC146" s="22"/>
      <c r="IRD146" s="22"/>
      <c r="IRE146" s="22"/>
      <c r="IRF146" s="22"/>
      <c r="IRG146" s="22"/>
      <c r="IRH146" s="22"/>
      <c r="IRI146" s="22"/>
      <c r="IRJ146" s="22"/>
      <c r="IRK146" s="22"/>
      <c r="IRL146" s="22"/>
      <c r="IRM146" s="22"/>
      <c r="IRN146" s="22"/>
      <c r="IRO146" s="22"/>
      <c r="IRP146" s="22"/>
      <c r="IRQ146" s="22"/>
      <c r="IRR146" s="22"/>
      <c r="IRS146" s="22"/>
      <c r="IRT146" s="22"/>
      <c r="IRU146" s="22"/>
      <c r="IRV146" s="22"/>
      <c r="IRW146" s="22"/>
      <c r="IRX146" s="22"/>
      <c r="IRY146" s="22"/>
      <c r="IRZ146" s="22"/>
      <c r="ISA146" s="22"/>
      <c r="ISB146" s="22"/>
      <c r="ISC146" s="22"/>
      <c r="ISD146" s="22"/>
      <c r="ISE146" s="22"/>
      <c r="ISF146" s="22"/>
      <c r="ISG146" s="22"/>
      <c r="ISH146" s="22"/>
      <c r="ISI146" s="22"/>
      <c r="ISJ146" s="22"/>
      <c r="ISK146" s="22"/>
      <c r="ISL146" s="22"/>
      <c r="ISM146" s="22"/>
      <c r="ISN146" s="22"/>
      <c r="ISO146" s="22"/>
      <c r="ISP146" s="22"/>
      <c r="ISQ146" s="22"/>
      <c r="ISR146" s="22"/>
      <c r="ISS146" s="22"/>
      <c r="IST146" s="22"/>
      <c r="ISU146" s="22"/>
      <c r="ISV146" s="22"/>
      <c r="ISW146" s="22"/>
      <c r="ISX146" s="22"/>
      <c r="ISY146" s="22"/>
      <c r="ISZ146" s="22"/>
      <c r="ITA146" s="22"/>
      <c r="ITB146" s="22"/>
      <c r="ITC146" s="22"/>
      <c r="ITD146" s="22"/>
      <c r="ITE146" s="22"/>
      <c r="ITF146" s="22"/>
      <c r="ITG146" s="22"/>
      <c r="ITH146" s="22"/>
      <c r="ITI146" s="22"/>
      <c r="ITJ146" s="22"/>
      <c r="ITK146" s="22"/>
      <c r="ITL146" s="22"/>
      <c r="ITM146" s="22"/>
      <c r="ITN146" s="22"/>
      <c r="ITO146" s="22"/>
      <c r="ITP146" s="22"/>
      <c r="ITQ146" s="22"/>
      <c r="ITR146" s="22"/>
      <c r="ITS146" s="22"/>
      <c r="ITT146" s="22"/>
      <c r="ITU146" s="22"/>
      <c r="ITV146" s="22"/>
      <c r="ITW146" s="22"/>
      <c r="ITX146" s="22"/>
      <c r="ITY146" s="22"/>
      <c r="ITZ146" s="22"/>
      <c r="IUA146" s="22"/>
      <c r="IUB146" s="22"/>
      <c r="IUC146" s="22"/>
      <c r="IUD146" s="22"/>
      <c r="IUE146" s="22"/>
      <c r="IUF146" s="22"/>
      <c r="IUG146" s="22"/>
      <c r="IUH146" s="22"/>
      <c r="IUI146" s="22"/>
      <c r="IUJ146" s="22"/>
      <c r="IUK146" s="22"/>
      <c r="IUL146" s="22"/>
      <c r="IUM146" s="22"/>
      <c r="IUN146" s="22"/>
      <c r="IUO146" s="22"/>
      <c r="IUP146" s="22"/>
      <c r="IUQ146" s="22"/>
      <c r="IUR146" s="22"/>
      <c r="IUS146" s="22"/>
      <c r="IUT146" s="22"/>
      <c r="IUU146" s="22"/>
      <c r="IUV146" s="22"/>
      <c r="IUW146" s="22"/>
      <c r="IUX146" s="22"/>
      <c r="IUY146" s="22"/>
      <c r="IUZ146" s="22"/>
      <c r="IVA146" s="22"/>
      <c r="IVB146" s="22"/>
      <c r="IVC146" s="22"/>
      <c r="IVD146" s="22"/>
      <c r="IVE146" s="22"/>
      <c r="IVF146" s="22"/>
      <c r="IVG146" s="22"/>
      <c r="IVH146" s="22"/>
      <c r="IVI146" s="22"/>
      <c r="IVJ146" s="22"/>
      <c r="IVK146" s="22"/>
      <c r="IVL146" s="22"/>
      <c r="IVM146" s="22"/>
      <c r="IVN146" s="22"/>
      <c r="IVO146" s="22"/>
      <c r="IVP146" s="22"/>
      <c r="IVQ146" s="22"/>
      <c r="IVR146" s="22"/>
      <c r="IVS146" s="22"/>
      <c r="IVT146" s="22"/>
      <c r="IVU146" s="22"/>
      <c r="IVV146" s="22"/>
      <c r="IVW146" s="22"/>
      <c r="IVX146" s="22"/>
      <c r="IVY146" s="22"/>
      <c r="IVZ146" s="22"/>
      <c r="IWA146" s="22"/>
      <c r="IWB146" s="22"/>
      <c r="IWC146" s="22"/>
      <c r="IWD146" s="22"/>
      <c r="IWE146" s="22"/>
      <c r="IWF146" s="22"/>
      <c r="IWG146" s="22"/>
      <c r="IWH146" s="22"/>
      <c r="IWI146" s="22"/>
      <c r="IWJ146" s="22"/>
      <c r="IWK146" s="22"/>
      <c r="IWL146" s="22"/>
      <c r="IWM146" s="22"/>
      <c r="IWN146" s="22"/>
      <c r="IWO146" s="22"/>
      <c r="IWP146" s="22"/>
      <c r="IWQ146" s="22"/>
      <c r="IWR146" s="22"/>
      <c r="IWS146" s="22"/>
      <c r="IWT146" s="22"/>
      <c r="IWU146" s="22"/>
      <c r="IWV146" s="22"/>
      <c r="IWW146" s="22"/>
      <c r="IWX146" s="22"/>
      <c r="IWY146" s="22"/>
      <c r="IWZ146" s="22"/>
      <c r="IXA146" s="22"/>
      <c r="IXB146" s="22"/>
      <c r="IXC146" s="22"/>
      <c r="IXD146" s="22"/>
      <c r="IXE146" s="22"/>
      <c r="IXF146" s="22"/>
      <c r="IXG146" s="22"/>
      <c r="IXH146" s="22"/>
      <c r="IXI146" s="22"/>
      <c r="IXJ146" s="22"/>
      <c r="IXK146" s="22"/>
      <c r="IXL146" s="22"/>
      <c r="IXM146" s="22"/>
      <c r="IXN146" s="22"/>
      <c r="IXO146" s="22"/>
      <c r="IXP146" s="22"/>
      <c r="IXQ146" s="22"/>
      <c r="IXR146" s="22"/>
      <c r="IXS146" s="22"/>
      <c r="IXT146" s="22"/>
      <c r="IXU146" s="22"/>
      <c r="IXV146" s="22"/>
      <c r="IXW146" s="22"/>
      <c r="IXX146" s="22"/>
      <c r="IXY146" s="22"/>
      <c r="IXZ146" s="22"/>
      <c r="IYA146" s="22"/>
      <c r="IYB146" s="22"/>
      <c r="IYC146" s="22"/>
      <c r="IYD146" s="22"/>
      <c r="IYE146" s="22"/>
      <c r="IYF146" s="22"/>
      <c r="IYG146" s="22"/>
      <c r="IYH146" s="22"/>
      <c r="IYI146" s="22"/>
      <c r="IYJ146" s="22"/>
      <c r="IYK146" s="22"/>
      <c r="IYL146" s="22"/>
      <c r="IYM146" s="22"/>
      <c r="IYN146" s="22"/>
      <c r="IYO146" s="22"/>
      <c r="IYP146" s="22"/>
      <c r="IYQ146" s="22"/>
      <c r="IYR146" s="22"/>
      <c r="IYS146" s="22"/>
      <c r="IYT146" s="22"/>
      <c r="IYU146" s="22"/>
      <c r="IYV146" s="22"/>
      <c r="IYW146" s="22"/>
      <c r="IYX146" s="22"/>
      <c r="IYY146" s="22"/>
      <c r="IYZ146" s="22"/>
      <c r="IZA146" s="22"/>
      <c r="IZB146" s="22"/>
      <c r="IZC146" s="22"/>
      <c r="IZD146" s="22"/>
      <c r="IZE146" s="22"/>
      <c r="IZF146" s="22"/>
      <c r="IZG146" s="22"/>
      <c r="IZH146" s="22"/>
      <c r="IZI146" s="22"/>
      <c r="IZJ146" s="22"/>
      <c r="IZK146" s="22"/>
      <c r="IZL146" s="22"/>
      <c r="IZM146" s="22"/>
      <c r="IZN146" s="22"/>
      <c r="IZO146" s="22"/>
      <c r="IZP146" s="22"/>
      <c r="IZQ146" s="22"/>
      <c r="IZR146" s="22"/>
      <c r="IZS146" s="22"/>
      <c r="IZT146" s="22"/>
      <c r="IZU146" s="22"/>
      <c r="IZV146" s="22"/>
      <c r="IZW146" s="22"/>
      <c r="IZX146" s="22"/>
      <c r="IZY146" s="22"/>
      <c r="IZZ146" s="22"/>
      <c r="JAA146" s="22"/>
      <c r="JAB146" s="22"/>
      <c r="JAC146" s="22"/>
      <c r="JAD146" s="22"/>
      <c r="JAE146" s="22"/>
      <c r="JAF146" s="22"/>
      <c r="JAG146" s="22"/>
      <c r="JAH146" s="22"/>
      <c r="JAI146" s="22"/>
      <c r="JAJ146" s="22"/>
      <c r="JAK146" s="22"/>
      <c r="JAL146" s="22"/>
      <c r="JAM146" s="22"/>
      <c r="JAN146" s="22"/>
      <c r="JAO146" s="22"/>
      <c r="JAP146" s="22"/>
      <c r="JAQ146" s="22"/>
      <c r="JAR146" s="22"/>
      <c r="JAS146" s="22"/>
      <c r="JAT146" s="22"/>
      <c r="JAU146" s="22"/>
      <c r="JAV146" s="22"/>
      <c r="JAW146" s="22"/>
      <c r="JAX146" s="22"/>
      <c r="JAY146" s="22"/>
      <c r="JAZ146" s="22"/>
      <c r="JBA146" s="22"/>
      <c r="JBB146" s="22"/>
      <c r="JBC146" s="22"/>
      <c r="JBD146" s="22"/>
      <c r="JBE146" s="22"/>
      <c r="JBF146" s="22"/>
      <c r="JBG146" s="22"/>
      <c r="JBH146" s="22"/>
      <c r="JBI146" s="22"/>
      <c r="JBJ146" s="22"/>
      <c r="JBK146" s="22"/>
      <c r="JBL146" s="22"/>
      <c r="JBM146" s="22"/>
      <c r="JBN146" s="22"/>
      <c r="JBO146" s="22"/>
      <c r="JBP146" s="22"/>
      <c r="JBQ146" s="22"/>
      <c r="JBR146" s="22"/>
      <c r="JBS146" s="22"/>
      <c r="JBT146" s="22"/>
      <c r="JBU146" s="22"/>
      <c r="JBV146" s="22"/>
      <c r="JBW146" s="22"/>
      <c r="JBX146" s="22"/>
      <c r="JBY146" s="22"/>
      <c r="JBZ146" s="22"/>
      <c r="JCA146" s="22"/>
      <c r="JCB146" s="22"/>
      <c r="JCC146" s="22"/>
      <c r="JCD146" s="22"/>
      <c r="JCE146" s="22"/>
      <c r="JCF146" s="22"/>
      <c r="JCG146" s="22"/>
      <c r="JCH146" s="22"/>
      <c r="JCI146" s="22"/>
      <c r="JCJ146" s="22"/>
      <c r="JCK146" s="22"/>
      <c r="JCL146" s="22"/>
      <c r="JCM146" s="22"/>
      <c r="JCN146" s="22"/>
      <c r="JCO146" s="22"/>
      <c r="JCP146" s="22"/>
      <c r="JCQ146" s="22"/>
      <c r="JCR146" s="22"/>
      <c r="JCS146" s="22"/>
      <c r="JCT146" s="22"/>
      <c r="JCU146" s="22"/>
      <c r="JCV146" s="22"/>
      <c r="JCW146" s="22"/>
      <c r="JCX146" s="22"/>
      <c r="JCY146" s="22"/>
      <c r="JCZ146" s="22"/>
      <c r="JDA146" s="22"/>
      <c r="JDB146" s="22"/>
      <c r="JDC146" s="22"/>
      <c r="JDD146" s="22"/>
      <c r="JDE146" s="22"/>
      <c r="JDF146" s="22"/>
      <c r="JDG146" s="22"/>
      <c r="JDH146" s="22"/>
      <c r="JDI146" s="22"/>
      <c r="JDJ146" s="22"/>
      <c r="JDK146" s="22"/>
      <c r="JDL146" s="22"/>
      <c r="JDM146" s="22"/>
      <c r="JDN146" s="22"/>
      <c r="JDO146" s="22"/>
      <c r="JDP146" s="22"/>
      <c r="JDQ146" s="22"/>
      <c r="JDR146" s="22"/>
      <c r="JDS146" s="22"/>
      <c r="JDT146" s="22"/>
      <c r="JDU146" s="22"/>
      <c r="JDV146" s="22"/>
      <c r="JDW146" s="22"/>
      <c r="JDX146" s="22"/>
      <c r="JDY146" s="22"/>
      <c r="JDZ146" s="22"/>
      <c r="JEA146" s="22"/>
      <c r="JEB146" s="22"/>
      <c r="JEC146" s="22"/>
      <c r="JED146" s="22"/>
      <c r="JEE146" s="22"/>
      <c r="JEF146" s="22"/>
      <c r="JEG146" s="22"/>
      <c r="JEH146" s="22"/>
      <c r="JEI146" s="22"/>
      <c r="JEJ146" s="22"/>
      <c r="JEK146" s="22"/>
      <c r="JEL146" s="22"/>
      <c r="JEM146" s="22"/>
      <c r="JEN146" s="22"/>
      <c r="JEO146" s="22"/>
      <c r="JEP146" s="22"/>
      <c r="JEQ146" s="22"/>
      <c r="JER146" s="22"/>
      <c r="JES146" s="22"/>
      <c r="JET146" s="22"/>
      <c r="JEU146" s="22"/>
      <c r="JEV146" s="22"/>
      <c r="JEW146" s="22"/>
      <c r="JEX146" s="22"/>
      <c r="JEY146" s="22"/>
      <c r="JEZ146" s="22"/>
      <c r="JFA146" s="22"/>
      <c r="JFB146" s="22"/>
      <c r="JFC146" s="22"/>
      <c r="JFD146" s="22"/>
      <c r="JFE146" s="22"/>
      <c r="JFF146" s="22"/>
      <c r="JFG146" s="22"/>
      <c r="JFH146" s="22"/>
      <c r="JFI146" s="22"/>
      <c r="JFJ146" s="22"/>
      <c r="JFK146" s="22"/>
      <c r="JFL146" s="22"/>
      <c r="JFM146" s="22"/>
      <c r="JFN146" s="22"/>
      <c r="JFO146" s="22"/>
      <c r="JFP146" s="22"/>
      <c r="JFQ146" s="22"/>
      <c r="JFR146" s="22"/>
      <c r="JFS146" s="22"/>
      <c r="JFT146" s="22"/>
      <c r="JFU146" s="22"/>
      <c r="JFV146" s="22"/>
      <c r="JFW146" s="22"/>
      <c r="JFX146" s="22"/>
      <c r="JFY146" s="22"/>
      <c r="JFZ146" s="22"/>
      <c r="JGA146" s="22"/>
      <c r="JGB146" s="22"/>
      <c r="JGC146" s="22"/>
      <c r="JGD146" s="22"/>
      <c r="JGE146" s="22"/>
      <c r="JGF146" s="22"/>
      <c r="JGG146" s="22"/>
      <c r="JGH146" s="22"/>
      <c r="JGI146" s="22"/>
      <c r="JGJ146" s="22"/>
      <c r="JGK146" s="22"/>
      <c r="JGL146" s="22"/>
      <c r="JGM146" s="22"/>
      <c r="JGN146" s="22"/>
      <c r="JGO146" s="22"/>
      <c r="JGP146" s="22"/>
      <c r="JGQ146" s="22"/>
      <c r="JGR146" s="22"/>
      <c r="JGS146" s="22"/>
      <c r="JGT146" s="22"/>
      <c r="JGU146" s="22"/>
      <c r="JGV146" s="22"/>
      <c r="JGW146" s="22"/>
      <c r="JGX146" s="22"/>
      <c r="JGY146" s="22"/>
      <c r="JGZ146" s="22"/>
      <c r="JHA146" s="22"/>
      <c r="JHB146" s="22"/>
      <c r="JHC146" s="22"/>
      <c r="JHD146" s="22"/>
      <c r="JHE146" s="22"/>
      <c r="JHF146" s="22"/>
      <c r="JHG146" s="22"/>
      <c r="JHH146" s="22"/>
      <c r="JHI146" s="22"/>
      <c r="JHJ146" s="22"/>
      <c r="JHK146" s="22"/>
      <c r="JHL146" s="22"/>
      <c r="JHM146" s="22"/>
      <c r="JHN146" s="22"/>
      <c r="JHO146" s="22"/>
      <c r="JHP146" s="22"/>
      <c r="JHQ146" s="22"/>
      <c r="JHR146" s="22"/>
      <c r="JHS146" s="22"/>
      <c r="JHT146" s="22"/>
      <c r="JHU146" s="22"/>
      <c r="JHV146" s="22"/>
      <c r="JHW146" s="22"/>
      <c r="JHX146" s="22"/>
      <c r="JHY146" s="22"/>
      <c r="JHZ146" s="22"/>
      <c r="JIA146" s="22"/>
      <c r="JIB146" s="22"/>
      <c r="JIC146" s="22"/>
      <c r="JID146" s="22"/>
      <c r="JIE146" s="22"/>
      <c r="JIF146" s="22"/>
      <c r="JIG146" s="22"/>
      <c r="JIH146" s="22"/>
      <c r="JII146" s="22"/>
      <c r="JIJ146" s="22"/>
      <c r="JIK146" s="22"/>
      <c r="JIL146" s="22"/>
      <c r="JIM146" s="22"/>
      <c r="JIN146" s="22"/>
      <c r="JIO146" s="22"/>
      <c r="JIP146" s="22"/>
      <c r="JIQ146" s="22"/>
      <c r="JIR146" s="22"/>
      <c r="JIS146" s="22"/>
      <c r="JIT146" s="22"/>
      <c r="JIU146" s="22"/>
      <c r="JIV146" s="22"/>
      <c r="JIW146" s="22"/>
      <c r="JIX146" s="22"/>
      <c r="JIY146" s="22"/>
      <c r="JIZ146" s="22"/>
      <c r="JJA146" s="22"/>
      <c r="JJB146" s="22"/>
      <c r="JJC146" s="22"/>
      <c r="JJD146" s="22"/>
      <c r="JJE146" s="22"/>
      <c r="JJF146" s="22"/>
      <c r="JJG146" s="22"/>
      <c r="JJH146" s="22"/>
      <c r="JJI146" s="22"/>
      <c r="JJJ146" s="22"/>
      <c r="JJK146" s="22"/>
      <c r="JJL146" s="22"/>
      <c r="JJM146" s="22"/>
      <c r="JJN146" s="22"/>
      <c r="JJO146" s="22"/>
      <c r="JJP146" s="22"/>
      <c r="JJQ146" s="22"/>
      <c r="JJR146" s="22"/>
      <c r="JJS146" s="22"/>
      <c r="JJT146" s="22"/>
      <c r="JJU146" s="22"/>
      <c r="JJV146" s="22"/>
      <c r="JJW146" s="22"/>
      <c r="JJX146" s="22"/>
      <c r="JJY146" s="22"/>
      <c r="JJZ146" s="22"/>
      <c r="JKA146" s="22"/>
      <c r="JKB146" s="22"/>
      <c r="JKC146" s="22"/>
      <c r="JKD146" s="22"/>
      <c r="JKE146" s="22"/>
      <c r="JKF146" s="22"/>
      <c r="JKG146" s="22"/>
      <c r="JKH146" s="22"/>
      <c r="JKI146" s="22"/>
      <c r="JKJ146" s="22"/>
      <c r="JKK146" s="22"/>
      <c r="JKL146" s="22"/>
      <c r="JKM146" s="22"/>
      <c r="JKN146" s="22"/>
      <c r="JKO146" s="22"/>
      <c r="JKP146" s="22"/>
      <c r="JKQ146" s="22"/>
      <c r="JKR146" s="22"/>
      <c r="JKS146" s="22"/>
      <c r="JKT146" s="22"/>
      <c r="JKU146" s="22"/>
      <c r="JKV146" s="22"/>
      <c r="JKW146" s="22"/>
      <c r="JKX146" s="22"/>
      <c r="JKY146" s="22"/>
      <c r="JKZ146" s="22"/>
      <c r="JLA146" s="22"/>
      <c r="JLB146" s="22"/>
      <c r="JLC146" s="22"/>
      <c r="JLD146" s="22"/>
      <c r="JLE146" s="22"/>
      <c r="JLF146" s="22"/>
      <c r="JLG146" s="22"/>
      <c r="JLH146" s="22"/>
      <c r="JLI146" s="22"/>
      <c r="JLJ146" s="22"/>
      <c r="JLK146" s="22"/>
      <c r="JLL146" s="22"/>
      <c r="JLM146" s="22"/>
      <c r="JLN146" s="22"/>
      <c r="JLO146" s="22"/>
      <c r="JLP146" s="22"/>
      <c r="JLQ146" s="22"/>
      <c r="JLR146" s="22"/>
      <c r="JLS146" s="22"/>
      <c r="JLT146" s="22"/>
      <c r="JLU146" s="22"/>
      <c r="JLV146" s="22"/>
      <c r="JLW146" s="22"/>
      <c r="JLX146" s="22"/>
      <c r="JLY146" s="22"/>
      <c r="JLZ146" s="22"/>
      <c r="JMA146" s="22"/>
      <c r="JMB146" s="22"/>
      <c r="JMC146" s="22"/>
      <c r="JMD146" s="22"/>
      <c r="JME146" s="22"/>
      <c r="JMF146" s="22"/>
      <c r="JMG146" s="22"/>
      <c r="JMH146" s="22"/>
      <c r="JMI146" s="22"/>
      <c r="JMJ146" s="22"/>
      <c r="JMK146" s="22"/>
      <c r="JML146" s="22"/>
      <c r="JMM146" s="22"/>
      <c r="JMN146" s="22"/>
      <c r="JMO146" s="22"/>
      <c r="JMP146" s="22"/>
      <c r="JMQ146" s="22"/>
      <c r="JMR146" s="22"/>
      <c r="JMS146" s="22"/>
      <c r="JMT146" s="22"/>
      <c r="JMU146" s="22"/>
      <c r="JMV146" s="22"/>
      <c r="JMW146" s="22"/>
      <c r="JMX146" s="22"/>
      <c r="JMY146" s="22"/>
      <c r="JMZ146" s="22"/>
      <c r="JNA146" s="22"/>
      <c r="JNB146" s="22"/>
      <c r="JNC146" s="22"/>
      <c r="JND146" s="22"/>
      <c r="JNE146" s="22"/>
      <c r="JNF146" s="22"/>
      <c r="JNG146" s="22"/>
      <c r="JNH146" s="22"/>
      <c r="JNI146" s="22"/>
      <c r="JNJ146" s="22"/>
      <c r="JNK146" s="22"/>
      <c r="JNL146" s="22"/>
      <c r="JNM146" s="22"/>
      <c r="JNN146" s="22"/>
      <c r="JNO146" s="22"/>
      <c r="JNP146" s="22"/>
      <c r="JNQ146" s="22"/>
      <c r="JNR146" s="22"/>
      <c r="JNS146" s="22"/>
      <c r="JNT146" s="22"/>
      <c r="JNU146" s="22"/>
      <c r="JNV146" s="22"/>
      <c r="JNW146" s="22"/>
      <c r="JNX146" s="22"/>
      <c r="JNY146" s="22"/>
      <c r="JNZ146" s="22"/>
      <c r="JOA146" s="22"/>
      <c r="JOB146" s="22"/>
      <c r="JOC146" s="22"/>
      <c r="JOD146" s="22"/>
      <c r="JOE146" s="22"/>
      <c r="JOF146" s="22"/>
      <c r="JOG146" s="22"/>
      <c r="JOH146" s="22"/>
      <c r="JOI146" s="22"/>
      <c r="JOJ146" s="22"/>
      <c r="JOK146" s="22"/>
      <c r="JOL146" s="22"/>
      <c r="JOM146" s="22"/>
      <c r="JON146" s="22"/>
      <c r="JOO146" s="22"/>
      <c r="JOP146" s="22"/>
      <c r="JOQ146" s="22"/>
      <c r="JOR146" s="22"/>
      <c r="JOS146" s="22"/>
      <c r="JOT146" s="22"/>
      <c r="JOU146" s="22"/>
      <c r="JOV146" s="22"/>
      <c r="JOW146" s="22"/>
      <c r="JOX146" s="22"/>
      <c r="JOY146" s="22"/>
      <c r="JOZ146" s="22"/>
      <c r="JPA146" s="22"/>
      <c r="JPB146" s="22"/>
      <c r="JPC146" s="22"/>
      <c r="JPD146" s="22"/>
      <c r="JPE146" s="22"/>
      <c r="JPF146" s="22"/>
      <c r="JPG146" s="22"/>
      <c r="JPH146" s="22"/>
      <c r="JPI146" s="22"/>
      <c r="JPJ146" s="22"/>
      <c r="JPK146" s="22"/>
      <c r="JPL146" s="22"/>
      <c r="JPM146" s="22"/>
      <c r="JPN146" s="22"/>
      <c r="JPO146" s="22"/>
      <c r="JPP146" s="22"/>
      <c r="JPQ146" s="22"/>
      <c r="JPR146" s="22"/>
      <c r="JPS146" s="22"/>
      <c r="JPT146" s="22"/>
      <c r="JPU146" s="22"/>
      <c r="JPV146" s="22"/>
      <c r="JPW146" s="22"/>
      <c r="JPX146" s="22"/>
      <c r="JPY146" s="22"/>
      <c r="JPZ146" s="22"/>
      <c r="JQA146" s="22"/>
      <c r="JQB146" s="22"/>
      <c r="JQC146" s="22"/>
      <c r="JQD146" s="22"/>
      <c r="JQE146" s="22"/>
      <c r="JQF146" s="22"/>
      <c r="JQG146" s="22"/>
      <c r="JQH146" s="22"/>
      <c r="JQI146" s="22"/>
      <c r="JQJ146" s="22"/>
      <c r="JQK146" s="22"/>
      <c r="JQL146" s="22"/>
      <c r="JQM146" s="22"/>
      <c r="JQN146" s="22"/>
      <c r="JQO146" s="22"/>
      <c r="JQP146" s="22"/>
      <c r="JQQ146" s="22"/>
      <c r="JQR146" s="22"/>
      <c r="JQS146" s="22"/>
      <c r="JQT146" s="22"/>
      <c r="JQU146" s="22"/>
      <c r="JQV146" s="22"/>
      <c r="JQW146" s="22"/>
      <c r="JQX146" s="22"/>
      <c r="JQY146" s="22"/>
      <c r="JQZ146" s="22"/>
      <c r="JRA146" s="22"/>
      <c r="JRB146" s="22"/>
      <c r="JRC146" s="22"/>
      <c r="JRD146" s="22"/>
      <c r="JRE146" s="22"/>
      <c r="JRF146" s="22"/>
      <c r="JRG146" s="22"/>
      <c r="JRH146" s="22"/>
      <c r="JRI146" s="22"/>
      <c r="JRJ146" s="22"/>
      <c r="JRK146" s="22"/>
      <c r="JRL146" s="22"/>
      <c r="JRM146" s="22"/>
      <c r="JRN146" s="22"/>
      <c r="JRO146" s="22"/>
      <c r="JRP146" s="22"/>
      <c r="JRQ146" s="22"/>
      <c r="JRR146" s="22"/>
      <c r="JRS146" s="22"/>
      <c r="JRT146" s="22"/>
      <c r="JRU146" s="22"/>
      <c r="JRV146" s="22"/>
      <c r="JRW146" s="22"/>
      <c r="JRX146" s="22"/>
      <c r="JRY146" s="22"/>
      <c r="JRZ146" s="22"/>
      <c r="JSA146" s="22"/>
      <c r="JSB146" s="22"/>
      <c r="JSC146" s="22"/>
      <c r="JSD146" s="22"/>
      <c r="JSE146" s="22"/>
      <c r="JSF146" s="22"/>
      <c r="JSG146" s="22"/>
      <c r="JSH146" s="22"/>
      <c r="JSI146" s="22"/>
      <c r="JSJ146" s="22"/>
      <c r="JSK146" s="22"/>
      <c r="JSL146" s="22"/>
      <c r="JSM146" s="22"/>
      <c r="JSN146" s="22"/>
      <c r="JSO146" s="22"/>
      <c r="JSP146" s="22"/>
      <c r="JSQ146" s="22"/>
      <c r="JSR146" s="22"/>
      <c r="JSS146" s="22"/>
      <c r="JST146" s="22"/>
      <c r="JSU146" s="22"/>
      <c r="JSV146" s="22"/>
      <c r="JSW146" s="22"/>
      <c r="JSX146" s="22"/>
      <c r="JSY146" s="22"/>
      <c r="JSZ146" s="22"/>
      <c r="JTA146" s="22"/>
      <c r="JTB146" s="22"/>
      <c r="JTC146" s="22"/>
      <c r="JTD146" s="22"/>
      <c r="JTE146" s="22"/>
      <c r="JTF146" s="22"/>
      <c r="JTG146" s="22"/>
      <c r="JTH146" s="22"/>
      <c r="JTI146" s="22"/>
      <c r="JTJ146" s="22"/>
      <c r="JTK146" s="22"/>
      <c r="JTL146" s="22"/>
      <c r="JTM146" s="22"/>
      <c r="JTN146" s="22"/>
      <c r="JTO146" s="22"/>
      <c r="JTP146" s="22"/>
      <c r="JTQ146" s="22"/>
      <c r="JTR146" s="22"/>
      <c r="JTS146" s="22"/>
      <c r="JTT146" s="22"/>
      <c r="JTU146" s="22"/>
      <c r="JTV146" s="22"/>
      <c r="JTW146" s="22"/>
      <c r="JTX146" s="22"/>
      <c r="JTY146" s="22"/>
      <c r="JTZ146" s="22"/>
      <c r="JUA146" s="22"/>
      <c r="JUB146" s="22"/>
      <c r="JUC146" s="22"/>
      <c r="JUD146" s="22"/>
      <c r="JUE146" s="22"/>
      <c r="JUF146" s="22"/>
      <c r="JUG146" s="22"/>
      <c r="JUH146" s="22"/>
      <c r="JUI146" s="22"/>
      <c r="JUJ146" s="22"/>
      <c r="JUK146" s="22"/>
      <c r="JUL146" s="22"/>
      <c r="JUM146" s="22"/>
      <c r="JUN146" s="22"/>
      <c r="JUO146" s="22"/>
      <c r="JUP146" s="22"/>
      <c r="JUQ146" s="22"/>
      <c r="JUR146" s="22"/>
      <c r="JUS146" s="22"/>
      <c r="JUT146" s="22"/>
      <c r="JUU146" s="22"/>
      <c r="JUV146" s="22"/>
      <c r="JUW146" s="22"/>
      <c r="JUX146" s="22"/>
      <c r="JUY146" s="22"/>
      <c r="JUZ146" s="22"/>
      <c r="JVA146" s="22"/>
      <c r="JVB146" s="22"/>
      <c r="JVC146" s="22"/>
      <c r="JVD146" s="22"/>
      <c r="JVE146" s="22"/>
      <c r="JVF146" s="22"/>
      <c r="JVG146" s="22"/>
      <c r="JVH146" s="22"/>
      <c r="JVI146" s="22"/>
      <c r="JVJ146" s="22"/>
      <c r="JVK146" s="22"/>
      <c r="JVL146" s="22"/>
      <c r="JVM146" s="22"/>
      <c r="JVN146" s="22"/>
      <c r="JVO146" s="22"/>
      <c r="JVP146" s="22"/>
      <c r="JVQ146" s="22"/>
      <c r="JVR146" s="22"/>
      <c r="JVS146" s="22"/>
      <c r="JVT146" s="22"/>
      <c r="JVU146" s="22"/>
      <c r="JVV146" s="22"/>
      <c r="JVW146" s="22"/>
      <c r="JVX146" s="22"/>
      <c r="JVY146" s="22"/>
      <c r="JVZ146" s="22"/>
      <c r="JWA146" s="22"/>
      <c r="JWB146" s="22"/>
      <c r="JWC146" s="22"/>
      <c r="JWD146" s="22"/>
      <c r="JWE146" s="22"/>
      <c r="JWF146" s="22"/>
      <c r="JWG146" s="22"/>
      <c r="JWH146" s="22"/>
      <c r="JWI146" s="22"/>
      <c r="JWJ146" s="22"/>
      <c r="JWK146" s="22"/>
      <c r="JWL146" s="22"/>
      <c r="JWM146" s="22"/>
      <c r="JWN146" s="22"/>
      <c r="JWO146" s="22"/>
      <c r="JWP146" s="22"/>
      <c r="JWQ146" s="22"/>
      <c r="JWR146" s="22"/>
      <c r="JWS146" s="22"/>
      <c r="JWT146" s="22"/>
      <c r="JWU146" s="22"/>
      <c r="JWV146" s="22"/>
      <c r="JWW146" s="22"/>
      <c r="JWX146" s="22"/>
      <c r="JWY146" s="22"/>
      <c r="JWZ146" s="22"/>
      <c r="JXA146" s="22"/>
      <c r="JXB146" s="22"/>
      <c r="JXC146" s="22"/>
      <c r="JXD146" s="22"/>
      <c r="JXE146" s="22"/>
      <c r="JXF146" s="22"/>
      <c r="JXG146" s="22"/>
      <c r="JXH146" s="22"/>
      <c r="JXI146" s="22"/>
      <c r="JXJ146" s="22"/>
      <c r="JXK146" s="22"/>
      <c r="JXL146" s="22"/>
      <c r="JXM146" s="22"/>
      <c r="JXN146" s="22"/>
      <c r="JXO146" s="22"/>
      <c r="JXP146" s="22"/>
      <c r="JXQ146" s="22"/>
      <c r="JXR146" s="22"/>
      <c r="JXS146" s="22"/>
      <c r="JXT146" s="22"/>
      <c r="JXU146" s="22"/>
      <c r="JXV146" s="22"/>
      <c r="JXW146" s="22"/>
      <c r="JXX146" s="22"/>
      <c r="JXY146" s="22"/>
      <c r="JXZ146" s="22"/>
      <c r="JYA146" s="22"/>
      <c r="JYB146" s="22"/>
      <c r="JYC146" s="22"/>
      <c r="JYD146" s="22"/>
      <c r="JYE146" s="22"/>
      <c r="JYF146" s="22"/>
      <c r="JYG146" s="22"/>
      <c r="JYH146" s="22"/>
      <c r="JYI146" s="22"/>
      <c r="JYJ146" s="22"/>
      <c r="JYK146" s="22"/>
      <c r="JYL146" s="22"/>
      <c r="JYM146" s="22"/>
      <c r="JYN146" s="22"/>
      <c r="JYO146" s="22"/>
      <c r="JYP146" s="22"/>
      <c r="JYQ146" s="22"/>
      <c r="JYR146" s="22"/>
      <c r="JYS146" s="22"/>
      <c r="JYT146" s="22"/>
      <c r="JYU146" s="22"/>
      <c r="JYV146" s="22"/>
      <c r="JYW146" s="22"/>
      <c r="JYX146" s="22"/>
      <c r="JYY146" s="22"/>
      <c r="JYZ146" s="22"/>
      <c r="JZA146" s="22"/>
      <c r="JZB146" s="22"/>
      <c r="JZC146" s="22"/>
      <c r="JZD146" s="22"/>
      <c r="JZE146" s="22"/>
      <c r="JZF146" s="22"/>
      <c r="JZG146" s="22"/>
      <c r="JZH146" s="22"/>
      <c r="JZI146" s="22"/>
      <c r="JZJ146" s="22"/>
      <c r="JZK146" s="22"/>
      <c r="JZL146" s="22"/>
      <c r="JZM146" s="22"/>
      <c r="JZN146" s="22"/>
      <c r="JZO146" s="22"/>
      <c r="JZP146" s="22"/>
      <c r="JZQ146" s="22"/>
      <c r="JZR146" s="22"/>
      <c r="JZS146" s="22"/>
      <c r="JZT146" s="22"/>
      <c r="JZU146" s="22"/>
      <c r="JZV146" s="22"/>
      <c r="JZW146" s="22"/>
      <c r="JZX146" s="22"/>
      <c r="JZY146" s="22"/>
      <c r="JZZ146" s="22"/>
      <c r="KAA146" s="22"/>
      <c r="KAB146" s="22"/>
      <c r="KAC146" s="22"/>
      <c r="KAD146" s="22"/>
      <c r="KAE146" s="22"/>
      <c r="KAF146" s="22"/>
      <c r="KAG146" s="22"/>
      <c r="KAH146" s="22"/>
      <c r="KAI146" s="22"/>
      <c r="KAJ146" s="22"/>
      <c r="KAK146" s="22"/>
      <c r="KAL146" s="22"/>
      <c r="KAM146" s="22"/>
      <c r="KAN146" s="22"/>
      <c r="KAO146" s="22"/>
      <c r="KAP146" s="22"/>
      <c r="KAQ146" s="22"/>
      <c r="KAR146" s="22"/>
      <c r="KAS146" s="22"/>
      <c r="KAT146" s="22"/>
      <c r="KAU146" s="22"/>
      <c r="KAV146" s="22"/>
      <c r="KAW146" s="22"/>
      <c r="KAX146" s="22"/>
      <c r="KAY146" s="22"/>
      <c r="KAZ146" s="22"/>
      <c r="KBA146" s="22"/>
      <c r="KBB146" s="22"/>
      <c r="KBC146" s="22"/>
      <c r="KBD146" s="22"/>
      <c r="KBE146" s="22"/>
      <c r="KBF146" s="22"/>
      <c r="KBG146" s="22"/>
      <c r="KBH146" s="22"/>
      <c r="KBI146" s="22"/>
      <c r="KBJ146" s="22"/>
      <c r="KBK146" s="22"/>
      <c r="KBL146" s="22"/>
      <c r="KBM146" s="22"/>
      <c r="KBN146" s="22"/>
      <c r="KBO146" s="22"/>
      <c r="KBP146" s="22"/>
      <c r="KBQ146" s="22"/>
      <c r="KBR146" s="22"/>
      <c r="KBS146" s="22"/>
      <c r="KBT146" s="22"/>
      <c r="KBU146" s="22"/>
      <c r="KBV146" s="22"/>
      <c r="KBW146" s="22"/>
      <c r="KBX146" s="22"/>
      <c r="KBY146" s="22"/>
      <c r="KBZ146" s="22"/>
      <c r="KCA146" s="22"/>
      <c r="KCB146" s="22"/>
      <c r="KCC146" s="22"/>
      <c r="KCD146" s="22"/>
      <c r="KCE146" s="22"/>
      <c r="KCF146" s="22"/>
      <c r="KCG146" s="22"/>
      <c r="KCH146" s="22"/>
      <c r="KCI146" s="22"/>
      <c r="KCJ146" s="22"/>
      <c r="KCK146" s="22"/>
      <c r="KCL146" s="22"/>
      <c r="KCM146" s="22"/>
      <c r="KCN146" s="22"/>
      <c r="KCO146" s="22"/>
      <c r="KCP146" s="22"/>
      <c r="KCQ146" s="22"/>
      <c r="KCR146" s="22"/>
      <c r="KCS146" s="22"/>
      <c r="KCT146" s="22"/>
      <c r="KCU146" s="22"/>
      <c r="KCV146" s="22"/>
      <c r="KCW146" s="22"/>
      <c r="KCX146" s="22"/>
      <c r="KCY146" s="22"/>
      <c r="KCZ146" s="22"/>
      <c r="KDA146" s="22"/>
      <c r="KDB146" s="22"/>
      <c r="KDC146" s="22"/>
      <c r="KDD146" s="22"/>
      <c r="KDE146" s="22"/>
      <c r="KDF146" s="22"/>
      <c r="KDG146" s="22"/>
      <c r="KDH146" s="22"/>
      <c r="KDI146" s="22"/>
      <c r="KDJ146" s="22"/>
      <c r="KDK146" s="22"/>
      <c r="KDL146" s="22"/>
      <c r="KDM146" s="22"/>
      <c r="KDN146" s="22"/>
      <c r="KDO146" s="22"/>
      <c r="KDP146" s="22"/>
      <c r="KDQ146" s="22"/>
      <c r="KDR146" s="22"/>
      <c r="KDS146" s="22"/>
      <c r="KDT146" s="22"/>
      <c r="KDU146" s="22"/>
      <c r="KDV146" s="22"/>
      <c r="KDW146" s="22"/>
      <c r="KDX146" s="22"/>
      <c r="KDY146" s="22"/>
      <c r="KDZ146" s="22"/>
      <c r="KEA146" s="22"/>
      <c r="KEB146" s="22"/>
      <c r="KEC146" s="22"/>
      <c r="KED146" s="22"/>
      <c r="KEE146" s="22"/>
      <c r="KEF146" s="22"/>
      <c r="KEG146" s="22"/>
      <c r="KEH146" s="22"/>
      <c r="KEI146" s="22"/>
      <c r="KEJ146" s="22"/>
      <c r="KEK146" s="22"/>
      <c r="KEL146" s="22"/>
      <c r="KEM146" s="22"/>
      <c r="KEN146" s="22"/>
      <c r="KEO146" s="22"/>
      <c r="KEP146" s="22"/>
      <c r="KEQ146" s="22"/>
      <c r="KER146" s="22"/>
      <c r="KES146" s="22"/>
      <c r="KET146" s="22"/>
      <c r="KEU146" s="22"/>
      <c r="KEV146" s="22"/>
      <c r="KEW146" s="22"/>
      <c r="KEX146" s="22"/>
      <c r="KEY146" s="22"/>
      <c r="KEZ146" s="22"/>
      <c r="KFA146" s="22"/>
      <c r="KFB146" s="22"/>
      <c r="KFC146" s="22"/>
      <c r="KFD146" s="22"/>
      <c r="KFE146" s="22"/>
      <c r="KFF146" s="22"/>
      <c r="KFG146" s="22"/>
      <c r="KFH146" s="22"/>
      <c r="KFI146" s="22"/>
      <c r="KFJ146" s="22"/>
      <c r="KFK146" s="22"/>
      <c r="KFL146" s="22"/>
      <c r="KFM146" s="22"/>
      <c r="KFN146" s="22"/>
      <c r="KFO146" s="22"/>
      <c r="KFP146" s="22"/>
      <c r="KFQ146" s="22"/>
      <c r="KFR146" s="22"/>
      <c r="KFS146" s="22"/>
      <c r="KFT146" s="22"/>
      <c r="KFU146" s="22"/>
      <c r="KFV146" s="22"/>
      <c r="KFW146" s="22"/>
      <c r="KFX146" s="22"/>
      <c r="KFY146" s="22"/>
      <c r="KFZ146" s="22"/>
      <c r="KGA146" s="22"/>
      <c r="KGB146" s="22"/>
      <c r="KGC146" s="22"/>
      <c r="KGD146" s="22"/>
      <c r="KGE146" s="22"/>
      <c r="KGF146" s="22"/>
      <c r="KGG146" s="22"/>
      <c r="KGH146" s="22"/>
      <c r="KGI146" s="22"/>
      <c r="KGJ146" s="22"/>
      <c r="KGK146" s="22"/>
      <c r="KGL146" s="22"/>
      <c r="KGM146" s="22"/>
      <c r="KGN146" s="22"/>
      <c r="KGO146" s="22"/>
      <c r="KGP146" s="22"/>
      <c r="KGQ146" s="22"/>
      <c r="KGR146" s="22"/>
      <c r="KGS146" s="22"/>
      <c r="KGT146" s="22"/>
      <c r="KGU146" s="22"/>
      <c r="KGV146" s="22"/>
      <c r="KGW146" s="22"/>
      <c r="KGX146" s="22"/>
      <c r="KGY146" s="22"/>
      <c r="KGZ146" s="22"/>
      <c r="KHA146" s="22"/>
      <c r="KHB146" s="22"/>
      <c r="KHC146" s="22"/>
      <c r="KHD146" s="22"/>
      <c r="KHE146" s="22"/>
      <c r="KHF146" s="22"/>
      <c r="KHG146" s="22"/>
      <c r="KHH146" s="22"/>
      <c r="KHI146" s="22"/>
      <c r="KHJ146" s="22"/>
      <c r="KHK146" s="22"/>
      <c r="KHL146" s="22"/>
      <c r="KHM146" s="22"/>
      <c r="KHN146" s="22"/>
      <c r="KHO146" s="22"/>
      <c r="KHP146" s="22"/>
      <c r="KHQ146" s="22"/>
      <c r="KHR146" s="22"/>
      <c r="KHS146" s="22"/>
      <c r="KHT146" s="22"/>
      <c r="KHU146" s="22"/>
      <c r="KHV146" s="22"/>
      <c r="KHW146" s="22"/>
      <c r="KHX146" s="22"/>
      <c r="KHY146" s="22"/>
      <c r="KHZ146" s="22"/>
      <c r="KIA146" s="22"/>
      <c r="KIB146" s="22"/>
      <c r="KIC146" s="22"/>
      <c r="KID146" s="22"/>
      <c r="KIE146" s="22"/>
      <c r="KIF146" s="22"/>
      <c r="KIG146" s="22"/>
      <c r="KIH146" s="22"/>
      <c r="KII146" s="22"/>
      <c r="KIJ146" s="22"/>
      <c r="KIK146" s="22"/>
      <c r="KIL146" s="22"/>
      <c r="KIM146" s="22"/>
      <c r="KIN146" s="22"/>
      <c r="KIO146" s="22"/>
      <c r="KIP146" s="22"/>
      <c r="KIQ146" s="22"/>
      <c r="KIR146" s="22"/>
      <c r="KIS146" s="22"/>
      <c r="KIT146" s="22"/>
      <c r="KIU146" s="22"/>
      <c r="KIV146" s="22"/>
      <c r="KIW146" s="22"/>
      <c r="KIX146" s="22"/>
      <c r="KIY146" s="22"/>
      <c r="KIZ146" s="22"/>
      <c r="KJA146" s="22"/>
      <c r="KJB146" s="22"/>
      <c r="KJC146" s="22"/>
      <c r="KJD146" s="22"/>
      <c r="KJE146" s="22"/>
      <c r="KJF146" s="22"/>
      <c r="KJG146" s="22"/>
      <c r="KJH146" s="22"/>
      <c r="KJI146" s="22"/>
      <c r="KJJ146" s="22"/>
      <c r="KJK146" s="22"/>
      <c r="KJL146" s="22"/>
      <c r="KJM146" s="22"/>
      <c r="KJN146" s="22"/>
      <c r="KJO146" s="22"/>
      <c r="KJP146" s="22"/>
      <c r="KJQ146" s="22"/>
      <c r="KJR146" s="22"/>
      <c r="KJS146" s="22"/>
      <c r="KJT146" s="22"/>
      <c r="KJU146" s="22"/>
      <c r="KJV146" s="22"/>
      <c r="KJW146" s="22"/>
      <c r="KJX146" s="22"/>
      <c r="KJY146" s="22"/>
      <c r="KJZ146" s="22"/>
      <c r="KKA146" s="22"/>
      <c r="KKB146" s="22"/>
      <c r="KKC146" s="22"/>
      <c r="KKD146" s="22"/>
      <c r="KKE146" s="22"/>
      <c r="KKF146" s="22"/>
      <c r="KKG146" s="22"/>
      <c r="KKH146" s="22"/>
      <c r="KKI146" s="22"/>
      <c r="KKJ146" s="22"/>
      <c r="KKK146" s="22"/>
      <c r="KKL146" s="22"/>
      <c r="KKM146" s="22"/>
      <c r="KKN146" s="22"/>
      <c r="KKO146" s="22"/>
      <c r="KKP146" s="22"/>
      <c r="KKQ146" s="22"/>
      <c r="KKR146" s="22"/>
      <c r="KKS146" s="22"/>
      <c r="KKT146" s="22"/>
      <c r="KKU146" s="22"/>
      <c r="KKV146" s="22"/>
      <c r="KKW146" s="22"/>
      <c r="KKX146" s="22"/>
      <c r="KKY146" s="22"/>
      <c r="KKZ146" s="22"/>
      <c r="KLA146" s="22"/>
      <c r="KLB146" s="22"/>
      <c r="KLC146" s="22"/>
      <c r="KLD146" s="22"/>
      <c r="KLE146" s="22"/>
      <c r="KLF146" s="22"/>
      <c r="KLG146" s="22"/>
      <c r="KLH146" s="22"/>
      <c r="KLI146" s="22"/>
      <c r="KLJ146" s="22"/>
      <c r="KLK146" s="22"/>
      <c r="KLL146" s="22"/>
      <c r="KLM146" s="22"/>
      <c r="KLN146" s="22"/>
      <c r="KLO146" s="22"/>
      <c r="KLP146" s="22"/>
      <c r="KLQ146" s="22"/>
      <c r="KLR146" s="22"/>
      <c r="KLS146" s="22"/>
      <c r="KLT146" s="22"/>
      <c r="KLU146" s="22"/>
      <c r="KLV146" s="22"/>
      <c r="KLW146" s="22"/>
      <c r="KLX146" s="22"/>
      <c r="KLY146" s="22"/>
      <c r="KLZ146" s="22"/>
      <c r="KMA146" s="22"/>
      <c r="KMB146" s="22"/>
      <c r="KMC146" s="22"/>
      <c r="KMD146" s="22"/>
      <c r="KME146" s="22"/>
      <c r="KMF146" s="22"/>
      <c r="KMG146" s="22"/>
      <c r="KMH146" s="22"/>
      <c r="KMI146" s="22"/>
      <c r="KMJ146" s="22"/>
      <c r="KMK146" s="22"/>
      <c r="KML146" s="22"/>
      <c r="KMM146" s="22"/>
      <c r="KMN146" s="22"/>
      <c r="KMO146" s="22"/>
      <c r="KMP146" s="22"/>
      <c r="KMQ146" s="22"/>
      <c r="KMR146" s="22"/>
      <c r="KMS146" s="22"/>
      <c r="KMT146" s="22"/>
      <c r="KMU146" s="22"/>
      <c r="KMV146" s="22"/>
      <c r="KMW146" s="22"/>
      <c r="KMX146" s="22"/>
      <c r="KMY146" s="22"/>
      <c r="KMZ146" s="22"/>
      <c r="KNA146" s="22"/>
      <c r="KNB146" s="22"/>
      <c r="KNC146" s="22"/>
      <c r="KND146" s="22"/>
      <c r="KNE146" s="22"/>
      <c r="KNF146" s="22"/>
      <c r="KNG146" s="22"/>
      <c r="KNH146" s="22"/>
      <c r="KNI146" s="22"/>
      <c r="KNJ146" s="22"/>
      <c r="KNK146" s="22"/>
      <c r="KNL146" s="22"/>
      <c r="KNM146" s="22"/>
      <c r="KNN146" s="22"/>
      <c r="KNO146" s="22"/>
      <c r="KNP146" s="22"/>
      <c r="KNQ146" s="22"/>
      <c r="KNR146" s="22"/>
      <c r="KNS146" s="22"/>
      <c r="KNT146" s="22"/>
      <c r="KNU146" s="22"/>
      <c r="KNV146" s="22"/>
      <c r="KNW146" s="22"/>
      <c r="KNX146" s="22"/>
      <c r="KNY146" s="22"/>
      <c r="KNZ146" s="22"/>
      <c r="KOA146" s="22"/>
      <c r="KOB146" s="22"/>
      <c r="KOC146" s="22"/>
      <c r="KOD146" s="22"/>
      <c r="KOE146" s="22"/>
      <c r="KOF146" s="22"/>
      <c r="KOG146" s="22"/>
      <c r="KOH146" s="22"/>
      <c r="KOI146" s="22"/>
      <c r="KOJ146" s="22"/>
      <c r="KOK146" s="22"/>
      <c r="KOL146" s="22"/>
      <c r="KOM146" s="22"/>
      <c r="KON146" s="22"/>
      <c r="KOO146" s="22"/>
      <c r="KOP146" s="22"/>
      <c r="KOQ146" s="22"/>
      <c r="KOR146" s="22"/>
      <c r="KOS146" s="22"/>
      <c r="KOT146" s="22"/>
      <c r="KOU146" s="22"/>
      <c r="KOV146" s="22"/>
      <c r="KOW146" s="22"/>
      <c r="KOX146" s="22"/>
      <c r="KOY146" s="22"/>
      <c r="KOZ146" s="22"/>
      <c r="KPA146" s="22"/>
      <c r="KPB146" s="22"/>
      <c r="KPC146" s="22"/>
      <c r="KPD146" s="22"/>
      <c r="KPE146" s="22"/>
      <c r="KPF146" s="22"/>
      <c r="KPG146" s="22"/>
      <c r="KPH146" s="22"/>
      <c r="KPI146" s="22"/>
      <c r="KPJ146" s="22"/>
      <c r="KPK146" s="22"/>
      <c r="KPL146" s="22"/>
      <c r="KPM146" s="22"/>
      <c r="KPN146" s="22"/>
      <c r="KPO146" s="22"/>
      <c r="KPP146" s="22"/>
      <c r="KPQ146" s="22"/>
      <c r="KPR146" s="22"/>
      <c r="KPS146" s="22"/>
      <c r="KPT146" s="22"/>
      <c r="KPU146" s="22"/>
      <c r="KPV146" s="22"/>
      <c r="KPW146" s="22"/>
      <c r="KPX146" s="22"/>
      <c r="KPY146" s="22"/>
      <c r="KPZ146" s="22"/>
      <c r="KQA146" s="22"/>
      <c r="KQB146" s="22"/>
      <c r="KQC146" s="22"/>
      <c r="KQD146" s="22"/>
      <c r="KQE146" s="22"/>
      <c r="KQF146" s="22"/>
      <c r="KQG146" s="22"/>
      <c r="KQH146" s="22"/>
      <c r="KQI146" s="22"/>
      <c r="KQJ146" s="22"/>
      <c r="KQK146" s="22"/>
      <c r="KQL146" s="22"/>
      <c r="KQM146" s="22"/>
      <c r="KQN146" s="22"/>
      <c r="KQO146" s="22"/>
      <c r="KQP146" s="22"/>
      <c r="KQQ146" s="22"/>
      <c r="KQR146" s="22"/>
      <c r="KQS146" s="22"/>
      <c r="KQT146" s="22"/>
      <c r="KQU146" s="22"/>
      <c r="KQV146" s="22"/>
      <c r="KQW146" s="22"/>
      <c r="KQX146" s="22"/>
      <c r="KQY146" s="22"/>
      <c r="KQZ146" s="22"/>
      <c r="KRA146" s="22"/>
      <c r="KRB146" s="22"/>
      <c r="KRC146" s="22"/>
      <c r="KRD146" s="22"/>
      <c r="KRE146" s="22"/>
      <c r="KRF146" s="22"/>
      <c r="KRG146" s="22"/>
      <c r="KRH146" s="22"/>
      <c r="KRI146" s="22"/>
      <c r="KRJ146" s="22"/>
      <c r="KRK146" s="22"/>
      <c r="KRL146" s="22"/>
      <c r="KRM146" s="22"/>
      <c r="KRN146" s="22"/>
      <c r="KRO146" s="22"/>
      <c r="KRP146" s="22"/>
      <c r="KRQ146" s="22"/>
      <c r="KRR146" s="22"/>
      <c r="KRS146" s="22"/>
      <c r="KRT146" s="22"/>
      <c r="KRU146" s="22"/>
      <c r="KRV146" s="22"/>
      <c r="KRW146" s="22"/>
      <c r="KRX146" s="22"/>
      <c r="KRY146" s="22"/>
      <c r="KRZ146" s="22"/>
      <c r="KSA146" s="22"/>
      <c r="KSB146" s="22"/>
      <c r="KSC146" s="22"/>
      <c r="KSD146" s="22"/>
      <c r="KSE146" s="22"/>
      <c r="KSF146" s="22"/>
      <c r="KSG146" s="22"/>
      <c r="KSH146" s="22"/>
      <c r="KSI146" s="22"/>
      <c r="KSJ146" s="22"/>
      <c r="KSK146" s="22"/>
      <c r="KSL146" s="22"/>
      <c r="KSM146" s="22"/>
      <c r="KSN146" s="22"/>
      <c r="KSO146" s="22"/>
      <c r="KSP146" s="22"/>
      <c r="KSQ146" s="22"/>
      <c r="KSR146" s="22"/>
      <c r="KSS146" s="22"/>
      <c r="KST146" s="22"/>
      <c r="KSU146" s="22"/>
      <c r="KSV146" s="22"/>
      <c r="KSW146" s="22"/>
      <c r="KSX146" s="22"/>
      <c r="KSY146" s="22"/>
      <c r="KSZ146" s="22"/>
      <c r="KTA146" s="22"/>
      <c r="KTB146" s="22"/>
      <c r="KTC146" s="22"/>
      <c r="KTD146" s="22"/>
      <c r="KTE146" s="22"/>
      <c r="KTF146" s="22"/>
      <c r="KTG146" s="22"/>
      <c r="KTH146" s="22"/>
      <c r="KTI146" s="22"/>
      <c r="KTJ146" s="22"/>
      <c r="KTK146" s="22"/>
      <c r="KTL146" s="22"/>
      <c r="KTM146" s="22"/>
      <c r="KTN146" s="22"/>
      <c r="KTO146" s="22"/>
      <c r="KTP146" s="22"/>
      <c r="KTQ146" s="22"/>
      <c r="KTR146" s="22"/>
      <c r="KTS146" s="22"/>
      <c r="KTT146" s="22"/>
      <c r="KTU146" s="22"/>
      <c r="KTV146" s="22"/>
      <c r="KTW146" s="22"/>
      <c r="KTX146" s="22"/>
      <c r="KTY146" s="22"/>
      <c r="KTZ146" s="22"/>
      <c r="KUA146" s="22"/>
      <c r="KUB146" s="22"/>
      <c r="KUC146" s="22"/>
      <c r="KUD146" s="22"/>
      <c r="KUE146" s="22"/>
      <c r="KUF146" s="22"/>
      <c r="KUG146" s="22"/>
      <c r="KUH146" s="22"/>
      <c r="KUI146" s="22"/>
      <c r="KUJ146" s="22"/>
      <c r="KUK146" s="22"/>
      <c r="KUL146" s="22"/>
      <c r="KUM146" s="22"/>
      <c r="KUN146" s="22"/>
      <c r="KUO146" s="22"/>
      <c r="KUP146" s="22"/>
      <c r="KUQ146" s="22"/>
      <c r="KUR146" s="22"/>
      <c r="KUS146" s="22"/>
      <c r="KUT146" s="22"/>
      <c r="KUU146" s="22"/>
      <c r="KUV146" s="22"/>
      <c r="KUW146" s="22"/>
      <c r="KUX146" s="22"/>
      <c r="KUY146" s="22"/>
      <c r="KUZ146" s="22"/>
      <c r="KVA146" s="22"/>
      <c r="KVB146" s="22"/>
      <c r="KVC146" s="22"/>
      <c r="KVD146" s="22"/>
      <c r="KVE146" s="22"/>
      <c r="KVF146" s="22"/>
      <c r="KVG146" s="22"/>
      <c r="KVH146" s="22"/>
      <c r="KVI146" s="22"/>
      <c r="KVJ146" s="22"/>
      <c r="KVK146" s="22"/>
      <c r="KVL146" s="22"/>
      <c r="KVM146" s="22"/>
      <c r="KVN146" s="22"/>
      <c r="KVO146" s="22"/>
      <c r="KVP146" s="22"/>
      <c r="KVQ146" s="22"/>
      <c r="KVR146" s="22"/>
      <c r="KVS146" s="22"/>
      <c r="KVT146" s="22"/>
      <c r="KVU146" s="22"/>
      <c r="KVV146" s="22"/>
      <c r="KVW146" s="22"/>
      <c r="KVX146" s="22"/>
      <c r="KVY146" s="22"/>
      <c r="KVZ146" s="22"/>
      <c r="KWA146" s="22"/>
      <c r="KWB146" s="22"/>
      <c r="KWC146" s="22"/>
      <c r="KWD146" s="22"/>
      <c r="KWE146" s="22"/>
      <c r="KWF146" s="22"/>
      <c r="KWG146" s="22"/>
      <c r="KWH146" s="22"/>
      <c r="KWI146" s="22"/>
      <c r="KWJ146" s="22"/>
      <c r="KWK146" s="22"/>
      <c r="KWL146" s="22"/>
      <c r="KWM146" s="22"/>
      <c r="KWN146" s="22"/>
      <c r="KWO146" s="22"/>
      <c r="KWP146" s="22"/>
      <c r="KWQ146" s="22"/>
      <c r="KWR146" s="22"/>
      <c r="KWS146" s="22"/>
      <c r="KWT146" s="22"/>
      <c r="KWU146" s="22"/>
      <c r="KWV146" s="22"/>
      <c r="KWW146" s="22"/>
      <c r="KWX146" s="22"/>
      <c r="KWY146" s="22"/>
      <c r="KWZ146" s="22"/>
      <c r="KXA146" s="22"/>
      <c r="KXB146" s="22"/>
      <c r="KXC146" s="22"/>
      <c r="KXD146" s="22"/>
      <c r="KXE146" s="22"/>
      <c r="KXF146" s="22"/>
      <c r="KXG146" s="22"/>
      <c r="KXH146" s="22"/>
      <c r="KXI146" s="22"/>
      <c r="KXJ146" s="22"/>
      <c r="KXK146" s="22"/>
      <c r="KXL146" s="22"/>
      <c r="KXM146" s="22"/>
      <c r="KXN146" s="22"/>
      <c r="KXO146" s="22"/>
      <c r="KXP146" s="22"/>
      <c r="KXQ146" s="22"/>
      <c r="KXR146" s="22"/>
      <c r="KXS146" s="22"/>
      <c r="KXT146" s="22"/>
      <c r="KXU146" s="22"/>
      <c r="KXV146" s="22"/>
      <c r="KXW146" s="22"/>
      <c r="KXX146" s="22"/>
      <c r="KXY146" s="22"/>
      <c r="KXZ146" s="22"/>
      <c r="KYA146" s="22"/>
      <c r="KYB146" s="22"/>
      <c r="KYC146" s="22"/>
      <c r="KYD146" s="22"/>
      <c r="KYE146" s="22"/>
      <c r="KYF146" s="22"/>
      <c r="KYG146" s="22"/>
      <c r="KYH146" s="22"/>
      <c r="KYI146" s="22"/>
      <c r="KYJ146" s="22"/>
      <c r="KYK146" s="22"/>
      <c r="KYL146" s="22"/>
      <c r="KYM146" s="22"/>
      <c r="KYN146" s="22"/>
      <c r="KYO146" s="22"/>
      <c r="KYP146" s="22"/>
      <c r="KYQ146" s="22"/>
      <c r="KYR146" s="22"/>
      <c r="KYS146" s="22"/>
      <c r="KYT146" s="22"/>
      <c r="KYU146" s="22"/>
      <c r="KYV146" s="22"/>
      <c r="KYW146" s="22"/>
      <c r="KYX146" s="22"/>
      <c r="KYY146" s="22"/>
      <c r="KYZ146" s="22"/>
      <c r="KZA146" s="22"/>
      <c r="KZB146" s="22"/>
      <c r="KZC146" s="22"/>
      <c r="KZD146" s="22"/>
      <c r="KZE146" s="22"/>
      <c r="KZF146" s="22"/>
      <c r="KZG146" s="22"/>
      <c r="KZH146" s="22"/>
      <c r="KZI146" s="22"/>
      <c r="KZJ146" s="22"/>
      <c r="KZK146" s="22"/>
      <c r="KZL146" s="22"/>
      <c r="KZM146" s="22"/>
      <c r="KZN146" s="22"/>
      <c r="KZO146" s="22"/>
      <c r="KZP146" s="22"/>
      <c r="KZQ146" s="22"/>
      <c r="KZR146" s="22"/>
      <c r="KZS146" s="22"/>
      <c r="KZT146" s="22"/>
      <c r="KZU146" s="22"/>
      <c r="KZV146" s="22"/>
      <c r="KZW146" s="22"/>
      <c r="KZX146" s="22"/>
      <c r="KZY146" s="22"/>
      <c r="KZZ146" s="22"/>
      <c r="LAA146" s="22"/>
      <c r="LAB146" s="22"/>
      <c r="LAC146" s="22"/>
      <c r="LAD146" s="22"/>
      <c r="LAE146" s="22"/>
      <c r="LAF146" s="22"/>
      <c r="LAG146" s="22"/>
      <c r="LAH146" s="22"/>
      <c r="LAI146" s="22"/>
      <c r="LAJ146" s="22"/>
      <c r="LAK146" s="22"/>
      <c r="LAL146" s="22"/>
      <c r="LAM146" s="22"/>
      <c r="LAN146" s="22"/>
      <c r="LAO146" s="22"/>
      <c r="LAP146" s="22"/>
      <c r="LAQ146" s="22"/>
      <c r="LAR146" s="22"/>
      <c r="LAS146" s="22"/>
      <c r="LAT146" s="22"/>
      <c r="LAU146" s="22"/>
      <c r="LAV146" s="22"/>
      <c r="LAW146" s="22"/>
      <c r="LAX146" s="22"/>
      <c r="LAY146" s="22"/>
      <c r="LAZ146" s="22"/>
      <c r="LBA146" s="22"/>
      <c r="LBB146" s="22"/>
      <c r="LBC146" s="22"/>
      <c r="LBD146" s="22"/>
      <c r="LBE146" s="22"/>
      <c r="LBF146" s="22"/>
      <c r="LBG146" s="22"/>
      <c r="LBH146" s="22"/>
      <c r="LBI146" s="22"/>
      <c r="LBJ146" s="22"/>
      <c r="LBK146" s="22"/>
      <c r="LBL146" s="22"/>
      <c r="LBM146" s="22"/>
      <c r="LBN146" s="22"/>
      <c r="LBO146" s="22"/>
      <c r="LBP146" s="22"/>
      <c r="LBQ146" s="22"/>
      <c r="LBR146" s="22"/>
      <c r="LBS146" s="22"/>
      <c r="LBT146" s="22"/>
      <c r="LBU146" s="22"/>
      <c r="LBV146" s="22"/>
      <c r="LBW146" s="22"/>
      <c r="LBX146" s="22"/>
      <c r="LBY146" s="22"/>
      <c r="LBZ146" s="22"/>
      <c r="LCA146" s="22"/>
      <c r="LCB146" s="22"/>
      <c r="LCC146" s="22"/>
      <c r="LCD146" s="22"/>
      <c r="LCE146" s="22"/>
      <c r="LCF146" s="22"/>
      <c r="LCG146" s="22"/>
      <c r="LCH146" s="22"/>
      <c r="LCI146" s="22"/>
      <c r="LCJ146" s="22"/>
      <c r="LCK146" s="22"/>
      <c r="LCL146" s="22"/>
      <c r="LCM146" s="22"/>
      <c r="LCN146" s="22"/>
      <c r="LCO146" s="22"/>
      <c r="LCP146" s="22"/>
      <c r="LCQ146" s="22"/>
      <c r="LCR146" s="22"/>
      <c r="LCS146" s="22"/>
      <c r="LCT146" s="22"/>
      <c r="LCU146" s="22"/>
      <c r="LCV146" s="22"/>
      <c r="LCW146" s="22"/>
      <c r="LCX146" s="22"/>
      <c r="LCY146" s="22"/>
      <c r="LCZ146" s="22"/>
      <c r="LDA146" s="22"/>
      <c r="LDB146" s="22"/>
      <c r="LDC146" s="22"/>
      <c r="LDD146" s="22"/>
      <c r="LDE146" s="22"/>
      <c r="LDF146" s="22"/>
      <c r="LDG146" s="22"/>
      <c r="LDH146" s="22"/>
      <c r="LDI146" s="22"/>
      <c r="LDJ146" s="22"/>
      <c r="LDK146" s="22"/>
      <c r="LDL146" s="22"/>
      <c r="LDM146" s="22"/>
      <c r="LDN146" s="22"/>
      <c r="LDO146" s="22"/>
      <c r="LDP146" s="22"/>
      <c r="LDQ146" s="22"/>
      <c r="LDR146" s="22"/>
      <c r="LDS146" s="22"/>
      <c r="LDT146" s="22"/>
      <c r="LDU146" s="22"/>
      <c r="LDV146" s="22"/>
      <c r="LDW146" s="22"/>
      <c r="LDX146" s="22"/>
      <c r="LDY146" s="22"/>
      <c r="LDZ146" s="22"/>
      <c r="LEA146" s="22"/>
      <c r="LEB146" s="22"/>
      <c r="LEC146" s="22"/>
      <c r="LED146" s="22"/>
      <c r="LEE146" s="22"/>
      <c r="LEF146" s="22"/>
      <c r="LEG146" s="22"/>
      <c r="LEH146" s="22"/>
      <c r="LEI146" s="22"/>
      <c r="LEJ146" s="22"/>
      <c r="LEK146" s="22"/>
      <c r="LEL146" s="22"/>
      <c r="LEM146" s="22"/>
      <c r="LEN146" s="22"/>
      <c r="LEO146" s="22"/>
      <c r="LEP146" s="22"/>
      <c r="LEQ146" s="22"/>
      <c r="LER146" s="22"/>
      <c r="LES146" s="22"/>
      <c r="LET146" s="22"/>
      <c r="LEU146" s="22"/>
      <c r="LEV146" s="22"/>
      <c r="LEW146" s="22"/>
      <c r="LEX146" s="22"/>
      <c r="LEY146" s="22"/>
      <c r="LEZ146" s="22"/>
      <c r="LFA146" s="22"/>
      <c r="LFB146" s="22"/>
      <c r="LFC146" s="22"/>
      <c r="LFD146" s="22"/>
      <c r="LFE146" s="22"/>
      <c r="LFF146" s="22"/>
      <c r="LFG146" s="22"/>
      <c r="LFH146" s="22"/>
      <c r="LFI146" s="22"/>
      <c r="LFJ146" s="22"/>
      <c r="LFK146" s="22"/>
      <c r="LFL146" s="22"/>
      <c r="LFM146" s="22"/>
      <c r="LFN146" s="22"/>
      <c r="LFO146" s="22"/>
      <c r="LFP146" s="22"/>
      <c r="LFQ146" s="22"/>
      <c r="LFR146" s="22"/>
      <c r="LFS146" s="22"/>
      <c r="LFT146" s="22"/>
      <c r="LFU146" s="22"/>
      <c r="LFV146" s="22"/>
      <c r="LFW146" s="22"/>
      <c r="LFX146" s="22"/>
      <c r="LFY146" s="22"/>
      <c r="LFZ146" s="22"/>
      <c r="LGA146" s="22"/>
      <c r="LGB146" s="22"/>
      <c r="LGC146" s="22"/>
      <c r="LGD146" s="22"/>
      <c r="LGE146" s="22"/>
      <c r="LGF146" s="22"/>
      <c r="LGG146" s="22"/>
      <c r="LGH146" s="22"/>
      <c r="LGI146" s="22"/>
      <c r="LGJ146" s="22"/>
      <c r="LGK146" s="22"/>
      <c r="LGL146" s="22"/>
      <c r="LGM146" s="22"/>
      <c r="LGN146" s="22"/>
      <c r="LGO146" s="22"/>
      <c r="LGP146" s="22"/>
      <c r="LGQ146" s="22"/>
      <c r="LGR146" s="22"/>
      <c r="LGS146" s="22"/>
      <c r="LGT146" s="22"/>
      <c r="LGU146" s="22"/>
      <c r="LGV146" s="22"/>
      <c r="LGW146" s="22"/>
      <c r="LGX146" s="22"/>
      <c r="LGY146" s="22"/>
      <c r="LGZ146" s="22"/>
      <c r="LHA146" s="22"/>
      <c r="LHB146" s="22"/>
      <c r="LHC146" s="22"/>
      <c r="LHD146" s="22"/>
      <c r="LHE146" s="22"/>
      <c r="LHF146" s="22"/>
      <c r="LHG146" s="22"/>
      <c r="LHH146" s="22"/>
      <c r="LHI146" s="22"/>
      <c r="LHJ146" s="22"/>
      <c r="LHK146" s="22"/>
      <c r="LHL146" s="22"/>
      <c r="LHM146" s="22"/>
      <c r="LHN146" s="22"/>
      <c r="LHO146" s="22"/>
      <c r="LHP146" s="22"/>
      <c r="LHQ146" s="22"/>
      <c r="LHR146" s="22"/>
      <c r="LHS146" s="22"/>
      <c r="LHT146" s="22"/>
      <c r="LHU146" s="22"/>
      <c r="LHV146" s="22"/>
      <c r="LHW146" s="22"/>
      <c r="LHX146" s="22"/>
      <c r="LHY146" s="22"/>
      <c r="LHZ146" s="22"/>
      <c r="LIA146" s="22"/>
      <c r="LIB146" s="22"/>
      <c r="LIC146" s="22"/>
      <c r="LID146" s="22"/>
      <c r="LIE146" s="22"/>
      <c r="LIF146" s="22"/>
      <c r="LIG146" s="22"/>
      <c r="LIH146" s="22"/>
      <c r="LII146" s="22"/>
      <c r="LIJ146" s="22"/>
      <c r="LIK146" s="22"/>
      <c r="LIL146" s="22"/>
      <c r="LIM146" s="22"/>
      <c r="LIN146" s="22"/>
      <c r="LIO146" s="22"/>
      <c r="LIP146" s="22"/>
      <c r="LIQ146" s="22"/>
      <c r="LIR146" s="22"/>
      <c r="LIS146" s="22"/>
      <c r="LIT146" s="22"/>
      <c r="LIU146" s="22"/>
      <c r="LIV146" s="22"/>
      <c r="LIW146" s="22"/>
      <c r="LIX146" s="22"/>
      <c r="LIY146" s="22"/>
      <c r="LIZ146" s="22"/>
      <c r="LJA146" s="22"/>
      <c r="LJB146" s="22"/>
      <c r="LJC146" s="22"/>
      <c r="LJD146" s="22"/>
      <c r="LJE146" s="22"/>
      <c r="LJF146" s="22"/>
      <c r="LJG146" s="22"/>
      <c r="LJH146" s="22"/>
      <c r="LJI146" s="22"/>
      <c r="LJJ146" s="22"/>
      <c r="LJK146" s="22"/>
      <c r="LJL146" s="22"/>
      <c r="LJM146" s="22"/>
      <c r="LJN146" s="22"/>
      <c r="LJO146" s="22"/>
      <c r="LJP146" s="22"/>
      <c r="LJQ146" s="22"/>
      <c r="LJR146" s="22"/>
      <c r="LJS146" s="22"/>
      <c r="LJT146" s="22"/>
      <c r="LJU146" s="22"/>
      <c r="LJV146" s="22"/>
      <c r="LJW146" s="22"/>
      <c r="LJX146" s="22"/>
      <c r="LJY146" s="22"/>
      <c r="LJZ146" s="22"/>
      <c r="LKA146" s="22"/>
      <c r="LKB146" s="22"/>
      <c r="LKC146" s="22"/>
      <c r="LKD146" s="22"/>
      <c r="LKE146" s="22"/>
      <c r="LKF146" s="22"/>
      <c r="LKG146" s="22"/>
      <c r="LKH146" s="22"/>
      <c r="LKI146" s="22"/>
      <c r="LKJ146" s="22"/>
      <c r="LKK146" s="22"/>
      <c r="LKL146" s="22"/>
      <c r="LKM146" s="22"/>
      <c r="LKN146" s="22"/>
      <c r="LKO146" s="22"/>
      <c r="LKP146" s="22"/>
      <c r="LKQ146" s="22"/>
      <c r="LKR146" s="22"/>
      <c r="LKS146" s="22"/>
      <c r="LKT146" s="22"/>
      <c r="LKU146" s="22"/>
      <c r="LKV146" s="22"/>
      <c r="LKW146" s="22"/>
      <c r="LKX146" s="22"/>
      <c r="LKY146" s="22"/>
      <c r="LKZ146" s="22"/>
      <c r="LLA146" s="22"/>
      <c r="LLB146" s="22"/>
      <c r="LLC146" s="22"/>
      <c r="LLD146" s="22"/>
      <c r="LLE146" s="22"/>
      <c r="LLF146" s="22"/>
      <c r="LLG146" s="22"/>
      <c r="LLH146" s="22"/>
      <c r="LLI146" s="22"/>
      <c r="LLJ146" s="22"/>
      <c r="LLK146" s="22"/>
      <c r="LLL146" s="22"/>
      <c r="LLM146" s="22"/>
      <c r="LLN146" s="22"/>
      <c r="LLO146" s="22"/>
      <c r="LLP146" s="22"/>
      <c r="LLQ146" s="22"/>
      <c r="LLR146" s="22"/>
      <c r="LLS146" s="22"/>
      <c r="LLT146" s="22"/>
      <c r="LLU146" s="22"/>
      <c r="LLV146" s="22"/>
      <c r="LLW146" s="22"/>
      <c r="LLX146" s="22"/>
      <c r="LLY146" s="22"/>
      <c r="LLZ146" s="22"/>
      <c r="LMA146" s="22"/>
      <c r="LMB146" s="22"/>
      <c r="LMC146" s="22"/>
      <c r="LMD146" s="22"/>
      <c r="LME146" s="22"/>
      <c r="LMF146" s="22"/>
      <c r="LMG146" s="22"/>
      <c r="LMH146" s="22"/>
      <c r="LMI146" s="22"/>
      <c r="LMJ146" s="22"/>
      <c r="LMK146" s="22"/>
      <c r="LML146" s="22"/>
      <c r="LMM146" s="22"/>
      <c r="LMN146" s="22"/>
      <c r="LMO146" s="22"/>
      <c r="LMP146" s="22"/>
      <c r="LMQ146" s="22"/>
      <c r="LMR146" s="22"/>
      <c r="LMS146" s="22"/>
      <c r="LMT146" s="22"/>
      <c r="LMU146" s="22"/>
      <c r="LMV146" s="22"/>
      <c r="LMW146" s="22"/>
      <c r="LMX146" s="22"/>
      <c r="LMY146" s="22"/>
      <c r="LMZ146" s="22"/>
      <c r="LNA146" s="22"/>
      <c r="LNB146" s="22"/>
      <c r="LNC146" s="22"/>
      <c r="LND146" s="22"/>
      <c r="LNE146" s="22"/>
      <c r="LNF146" s="22"/>
      <c r="LNG146" s="22"/>
      <c r="LNH146" s="22"/>
      <c r="LNI146" s="22"/>
      <c r="LNJ146" s="22"/>
      <c r="LNK146" s="22"/>
      <c r="LNL146" s="22"/>
      <c r="LNM146" s="22"/>
      <c r="LNN146" s="22"/>
      <c r="LNO146" s="22"/>
      <c r="LNP146" s="22"/>
      <c r="LNQ146" s="22"/>
      <c r="LNR146" s="22"/>
      <c r="LNS146" s="22"/>
      <c r="LNT146" s="22"/>
      <c r="LNU146" s="22"/>
      <c r="LNV146" s="22"/>
      <c r="LNW146" s="22"/>
      <c r="LNX146" s="22"/>
      <c r="LNY146" s="22"/>
      <c r="LNZ146" s="22"/>
      <c r="LOA146" s="22"/>
      <c r="LOB146" s="22"/>
      <c r="LOC146" s="22"/>
      <c r="LOD146" s="22"/>
      <c r="LOE146" s="22"/>
      <c r="LOF146" s="22"/>
      <c r="LOG146" s="22"/>
      <c r="LOH146" s="22"/>
      <c r="LOI146" s="22"/>
      <c r="LOJ146" s="22"/>
      <c r="LOK146" s="22"/>
      <c r="LOL146" s="22"/>
      <c r="LOM146" s="22"/>
      <c r="LON146" s="22"/>
      <c r="LOO146" s="22"/>
      <c r="LOP146" s="22"/>
      <c r="LOQ146" s="22"/>
      <c r="LOR146" s="22"/>
      <c r="LOS146" s="22"/>
      <c r="LOT146" s="22"/>
      <c r="LOU146" s="22"/>
      <c r="LOV146" s="22"/>
      <c r="LOW146" s="22"/>
      <c r="LOX146" s="22"/>
      <c r="LOY146" s="22"/>
      <c r="LOZ146" s="22"/>
      <c r="LPA146" s="22"/>
      <c r="LPB146" s="22"/>
      <c r="LPC146" s="22"/>
      <c r="LPD146" s="22"/>
      <c r="LPE146" s="22"/>
      <c r="LPF146" s="22"/>
      <c r="LPG146" s="22"/>
      <c r="LPH146" s="22"/>
      <c r="LPI146" s="22"/>
      <c r="LPJ146" s="22"/>
      <c r="LPK146" s="22"/>
      <c r="LPL146" s="22"/>
      <c r="LPM146" s="22"/>
      <c r="LPN146" s="22"/>
      <c r="LPO146" s="22"/>
      <c r="LPP146" s="22"/>
      <c r="LPQ146" s="22"/>
      <c r="LPR146" s="22"/>
      <c r="LPS146" s="22"/>
      <c r="LPT146" s="22"/>
      <c r="LPU146" s="22"/>
      <c r="LPV146" s="22"/>
      <c r="LPW146" s="22"/>
      <c r="LPX146" s="22"/>
      <c r="LPY146" s="22"/>
      <c r="LPZ146" s="22"/>
      <c r="LQA146" s="22"/>
      <c r="LQB146" s="22"/>
      <c r="LQC146" s="22"/>
      <c r="LQD146" s="22"/>
      <c r="LQE146" s="22"/>
      <c r="LQF146" s="22"/>
      <c r="LQG146" s="22"/>
      <c r="LQH146" s="22"/>
      <c r="LQI146" s="22"/>
      <c r="LQJ146" s="22"/>
      <c r="LQK146" s="22"/>
      <c r="LQL146" s="22"/>
      <c r="LQM146" s="22"/>
      <c r="LQN146" s="22"/>
      <c r="LQO146" s="22"/>
      <c r="LQP146" s="22"/>
      <c r="LQQ146" s="22"/>
      <c r="LQR146" s="22"/>
      <c r="LQS146" s="22"/>
      <c r="LQT146" s="22"/>
      <c r="LQU146" s="22"/>
      <c r="LQV146" s="22"/>
      <c r="LQW146" s="22"/>
      <c r="LQX146" s="22"/>
      <c r="LQY146" s="22"/>
      <c r="LQZ146" s="22"/>
      <c r="LRA146" s="22"/>
      <c r="LRB146" s="22"/>
      <c r="LRC146" s="22"/>
      <c r="LRD146" s="22"/>
      <c r="LRE146" s="22"/>
      <c r="LRF146" s="22"/>
      <c r="LRG146" s="22"/>
      <c r="LRH146" s="22"/>
      <c r="LRI146" s="22"/>
      <c r="LRJ146" s="22"/>
      <c r="LRK146" s="22"/>
      <c r="LRL146" s="22"/>
      <c r="LRM146" s="22"/>
      <c r="LRN146" s="22"/>
      <c r="LRO146" s="22"/>
      <c r="LRP146" s="22"/>
      <c r="LRQ146" s="22"/>
      <c r="LRR146" s="22"/>
      <c r="LRS146" s="22"/>
      <c r="LRT146" s="22"/>
      <c r="LRU146" s="22"/>
      <c r="LRV146" s="22"/>
      <c r="LRW146" s="22"/>
      <c r="LRX146" s="22"/>
      <c r="LRY146" s="22"/>
      <c r="LRZ146" s="22"/>
      <c r="LSA146" s="22"/>
      <c r="LSB146" s="22"/>
      <c r="LSC146" s="22"/>
      <c r="LSD146" s="22"/>
      <c r="LSE146" s="22"/>
      <c r="LSF146" s="22"/>
      <c r="LSG146" s="22"/>
      <c r="LSH146" s="22"/>
      <c r="LSI146" s="22"/>
      <c r="LSJ146" s="22"/>
      <c r="LSK146" s="22"/>
      <c r="LSL146" s="22"/>
      <c r="LSM146" s="22"/>
      <c r="LSN146" s="22"/>
      <c r="LSO146" s="22"/>
      <c r="LSP146" s="22"/>
      <c r="LSQ146" s="22"/>
      <c r="LSR146" s="22"/>
      <c r="LSS146" s="22"/>
      <c r="LST146" s="22"/>
      <c r="LSU146" s="22"/>
      <c r="LSV146" s="22"/>
      <c r="LSW146" s="22"/>
      <c r="LSX146" s="22"/>
      <c r="LSY146" s="22"/>
      <c r="LSZ146" s="22"/>
      <c r="LTA146" s="22"/>
      <c r="LTB146" s="22"/>
      <c r="LTC146" s="22"/>
      <c r="LTD146" s="22"/>
      <c r="LTE146" s="22"/>
      <c r="LTF146" s="22"/>
      <c r="LTG146" s="22"/>
      <c r="LTH146" s="22"/>
      <c r="LTI146" s="22"/>
      <c r="LTJ146" s="22"/>
      <c r="LTK146" s="22"/>
      <c r="LTL146" s="22"/>
      <c r="LTM146" s="22"/>
      <c r="LTN146" s="22"/>
      <c r="LTO146" s="22"/>
      <c r="LTP146" s="22"/>
      <c r="LTQ146" s="22"/>
      <c r="LTR146" s="22"/>
      <c r="LTS146" s="22"/>
      <c r="LTT146" s="22"/>
      <c r="LTU146" s="22"/>
      <c r="LTV146" s="22"/>
      <c r="LTW146" s="22"/>
      <c r="LTX146" s="22"/>
      <c r="LTY146" s="22"/>
      <c r="LTZ146" s="22"/>
      <c r="LUA146" s="22"/>
      <c r="LUB146" s="22"/>
      <c r="LUC146" s="22"/>
      <c r="LUD146" s="22"/>
      <c r="LUE146" s="22"/>
      <c r="LUF146" s="22"/>
      <c r="LUG146" s="22"/>
      <c r="LUH146" s="22"/>
      <c r="LUI146" s="22"/>
      <c r="LUJ146" s="22"/>
      <c r="LUK146" s="22"/>
      <c r="LUL146" s="22"/>
      <c r="LUM146" s="22"/>
      <c r="LUN146" s="22"/>
      <c r="LUO146" s="22"/>
      <c r="LUP146" s="22"/>
      <c r="LUQ146" s="22"/>
      <c r="LUR146" s="22"/>
      <c r="LUS146" s="22"/>
      <c r="LUT146" s="22"/>
      <c r="LUU146" s="22"/>
      <c r="LUV146" s="22"/>
      <c r="LUW146" s="22"/>
      <c r="LUX146" s="22"/>
      <c r="LUY146" s="22"/>
      <c r="LUZ146" s="22"/>
      <c r="LVA146" s="22"/>
      <c r="LVB146" s="22"/>
      <c r="LVC146" s="22"/>
      <c r="LVD146" s="22"/>
      <c r="LVE146" s="22"/>
      <c r="LVF146" s="22"/>
      <c r="LVG146" s="22"/>
      <c r="LVH146" s="22"/>
      <c r="LVI146" s="22"/>
      <c r="LVJ146" s="22"/>
      <c r="LVK146" s="22"/>
      <c r="LVL146" s="22"/>
      <c r="LVM146" s="22"/>
      <c r="LVN146" s="22"/>
      <c r="LVO146" s="22"/>
      <c r="LVP146" s="22"/>
      <c r="LVQ146" s="22"/>
      <c r="LVR146" s="22"/>
      <c r="LVS146" s="22"/>
      <c r="LVT146" s="22"/>
      <c r="LVU146" s="22"/>
      <c r="LVV146" s="22"/>
      <c r="LVW146" s="22"/>
      <c r="LVX146" s="22"/>
      <c r="LVY146" s="22"/>
      <c r="LVZ146" s="22"/>
      <c r="LWA146" s="22"/>
      <c r="LWB146" s="22"/>
      <c r="LWC146" s="22"/>
      <c r="LWD146" s="22"/>
      <c r="LWE146" s="22"/>
      <c r="LWF146" s="22"/>
      <c r="LWG146" s="22"/>
      <c r="LWH146" s="22"/>
      <c r="LWI146" s="22"/>
      <c r="LWJ146" s="22"/>
      <c r="LWK146" s="22"/>
      <c r="LWL146" s="22"/>
      <c r="LWM146" s="22"/>
      <c r="LWN146" s="22"/>
      <c r="LWO146" s="22"/>
      <c r="LWP146" s="22"/>
      <c r="LWQ146" s="22"/>
      <c r="LWR146" s="22"/>
      <c r="LWS146" s="22"/>
      <c r="LWT146" s="22"/>
      <c r="LWU146" s="22"/>
      <c r="LWV146" s="22"/>
      <c r="LWW146" s="22"/>
      <c r="LWX146" s="22"/>
      <c r="LWY146" s="22"/>
      <c r="LWZ146" s="22"/>
      <c r="LXA146" s="22"/>
      <c r="LXB146" s="22"/>
      <c r="LXC146" s="22"/>
      <c r="LXD146" s="22"/>
      <c r="LXE146" s="22"/>
      <c r="LXF146" s="22"/>
      <c r="LXG146" s="22"/>
      <c r="LXH146" s="22"/>
      <c r="LXI146" s="22"/>
      <c r="LXJ146" s="22"/>
      <c r="LXK146" s="22"/>
      <c r="LXL146" s="22"/>
      <c r="LXM146" s="22"/>
      <c r="LXN146" s="22"/>
      <c r="LXO146" s="22"/>
      <c r="LXP146" s="22"/>
      <c r="LXQ146" s="22"/>
      <c r="LXR146" s="22"/>
      <c r="LXS146" s="22"/>
      <c r="LXT146" s="22"/>
      <c r="LXU146" s="22"/>
      <c r="LXV146" s="22"/>
      <c r="LXW146" s="22"/>
      <c r="LXX146" s="22"/>
      <c r="LXY146" s="22"/>
      <c r="LXZ146" s="22"/>
      <c r="LYA146" s="22"/>
      <c r="LYB146" s="22"/>
      <c r="LYC146" s="22"/>
      <c r="LYD146" s="22"/>
      <c r="LYE146" s="22"/>
      <c r="LYF146" s="22"/>
      <c r="LYG146" s="22"/>
      <c r="LYH146" s="22"/>
      <c r="LYI146" s="22"/>
      <c r="LYJ146" s="22"/>
      <c r="LYK146" s="22"/>
      <c r="LYL146" s="22"/>
      <c r="LYM146" s="22"/>
      <c r="LYN146" s="22"/>
      <c r="LYO146" s="22"/>
      <c r="LYP146" s="22"/>
      <c r="LYQ146" s="22"/>
      <c r="LYR146" s="22"/>
      <c r="LYS146" s="22"/>
      <c r="LYT146" s="22"/>
      <c r="LYU146" s="22"/>
      <c r="LYV146" s="22"/>
      <c r="LYW146" s="22"/>
      <c r="LYX146" s="22"/>
      <c r="LYY146" s="22"/>
      <c r="LYZ146" s="22"/>
      <c r="LZA146" s="22"/>
      <c r="LZB146" s="22"/>
      <c r="LZC146" s="22"/>
      <c r="LZD146" s="22"/>
      <c r="LZE146" s="22"/>
      <c r="LZF146" s="22"/>
      <c r="LZG146" s="22"/>
      <c r="LZH146" s="22"/>
      <c r="LZI146" s="22"/>
      <c r="LZJ146" s="22"/>
      <c r="LZK146" s="22"/>
      <c r="LZL146" s="22"/>
      <c r="LZM146" s="22"/>
      <c r="LZN146" s="22"/>
      <c r="LZO146" s="22"/>
      <c r="LZP146" s="22"/>
      <c r="LZQ146" s="22"/>
      <c r="LZR146" s="22"/>
      <c r="LZS146" s="22"/>
      <c r="LZT146" s="22"/>
      <c r="LZU146" s="22"/>
      <c r="LZV146" s="22"/>
      <c r="LZW146" s="22"/>
      <c r="LZX146" s="22"/>
      <c r="LZY146" s="22"/>
      <c r="LZZ146" s="22"/>
      <c r="MAA146" s="22"/>
      <c r="MAB146" s="22"/>
      <c r="MAC146" s="22"/>
      <c r="MAD146" s="22"/>
      <c r="MAE146" s="22"/>
      <c r="MAF146" s="22"/>
      <c r="MAG146" s="22"/>
      <c r="MAH146" s="22"/>
      <c r="MAI146" s="22"/>
      <c r="MAJ146" s="22"/>
      <c r="MAK146" s="22"/>
      <c r="MAL146" s="22"/>
      <c r="MAM146" s="22"/>
      <c r="MAN146" s="22"/>
      <c r="MAO146" s="22"/>
      <c r="MAP146" s="22"/>
      <c r="MAQ146" s="22"/>
      <c r="MAR146" s="22"/>
      <c r="MAS146" s="22"/>
      <c r="MAT146" s="22"/>
      <c r="MAU146" s="22"/>
      <c r="MAV146" s="22"/>
      <c r="MAW146" s="22"/>
      <c r="MAX146" s="22"/>
      <c r="MAY146" s="22"/>
      <c r="MAZ146" s="22"/>
      <c r="MBA146" s="22"/>
      <c r="MBB146" s="22"/>
      <c r="MBC146" s="22"/>
      <c r="MBD146" s="22"/>
      <c r="MBE146" s="22"/>
      <c r="MBF146" s="22"/>
      <c r="MBG146" s="22"/>
      <c r="MBH146" s="22"/>
      <c r="MBI146" s="22"/>
      <c r="MBJ146" s="22"/>
      <c r="MBK146" s="22"/>
      <c r="MBL146" s="22"/>
      <c r="MBM146" s="22"/>
      <c r="MBN146" s="22"/>
      <c r="MBO146" s="22"/>
      <c r="MBP146" s="22"/>
      <c r="MBQ146" s="22"/>
      <c r="MBR146" s="22"/>
      <c r="MBS146" s="22"/>
      <c r="MBT146" s="22"/>
      <c r="MBU146" s="22"/>
      <c r="MBV146" s="22"/>
      <c r="MBW146" s="22"/>
      <c r="MBX146" s="22"/>
      <c r="MBY146" s="22"/>
      <c r="MBZ146" s="22"/>
      <c r="MCA146" s="22"/>
      <c r="MCB146" s="22"/>
      <c r="MCC146" s="22"/>
      <c r="MCD146" s="22"/>
      <c r="MCE146" s="22"/>
      <c r="MCF146" s="22"/>
      <c r="MCG146" s="22"/>
      <c r="MCH146" s="22"/>
      <c r="MCI146" s="22"/>
      <c r="MCJ146" s="22"/>
      <c r="MCK146" s="22"/>
      <c r="MCL146" s="22"/>
      <c r="MCM146" s="22"/>
      <c r="MCN146" s="22"/>
      <c r="MCO146" s="22"/>
      <c r="MCP146" s="22"/>
      <c r="MCQ146" s="22"/>
      <c r="MCR146" s="22"/>
      <c r="MCS146" s="22"/>
      <c r="MCT146" s="22"/>
      <c r="MCU146" s="22"/>
      <c r="MCV146" s="22"/>
      <c r="MCW146" s="22"/>
      <c r="MCX146" s="22"/>
      <c r="MCY146" s="22"/>
      <c r="MCZ146" s="22"/>
      <c r="MDA146" s="22"/>
      <c r="MDB146" s="22"/>
      <c r="MDC146" s="22"/>
      <c r="MDD146" s="22"/>
      <c r="MDE146" s="22"/>
      <c r="MDF146" s="22"/>
      <c r="MDG146" s="22"/>
      <c r="MDH146" s="22"/>
      <c r="MDI146" s="22"/>
      <c r="MDJ146" s="22"/>
      <c r="MDK146" s="22"/>
      <c r="MDL146" s="22"/>
      <c r="MDM146" s="22"/>
      <c r="MDN146" s="22"/>
      <c r="MDO146" s="22"/>
      <c r="MDP146" s="22"/>
      <c r="MDQ146" s="22"/>
      <c r="MDR146" s="22"/>
      <c r="MDS146" s="22"/>
      <c r="MDT146" s="22"/>
      <c r="MDU146" s="22"/>
      <c r="MDV146" s="22"/>
      <c r="MDW146" s="22"/>
      <c r="MDX146" s="22"/>
      <c r="MDY146" s="22"/>
      <c r="MDZ146" s="22"/>
      <c r="MEA146" s="22"/>
      <c r="MEB146" s="22"/>
      <c r="MEC146" s="22"/>
      <c r="MED146" s="22"/>
      <c r="MEE146" s="22"/>
      <c r="MEF146" s="22"/>
      <c r="MEG146" s="22"/>
      <c r="MEH146" s="22"/>
      <c r="MEI146" s="22"/>
      <c r="MEJ146" s="22"/>
      <c r="MEK146" s="22"/>
      <c r="MEL146" s="22"/>
      <c r="MEM146" s="22"/>
      <c r="MEN146" s="22"/>
      <c r="MEO146" s="22"/>
      <c r="MEP146" s="22"/>
      <c r="MEQ146" s="22"/>
      <c r="MER146" s="22"/>
      <c r="MES146" s="22"/>
      <c r="MET146" s="22"/>
      <c r="MEU146" s="22"/>
      <c r="MEV146" s="22"/>
      <c r="MEW146" s="22"/>
      <c r="MEX146" s="22"/>
      <c r="MEY146" s="22"/>
      <c r="MEZ146" s="22"/>
      <c r="MFA146" s="22"/>
      <c r="MFB146" s="22"/>
      <c r="MFC146" s="22"/>
      <c r="MFD146" s="22"/>
      <c r="MFE146" s="22"/>
      <c r="MFF146" s="22"/>
      <c r="MFG146" s="22"/>
      <c r="MFH146" s="22"/>
      <c r="MFI146" s="22"/>
      <c r="MFJ146" s="22"/>
      <c r="MFK146" s="22"/>
      <c r="MFL146" s="22"/>
      <c r="MFM146" s="22"/>
      <c r="MFN146" s="22"/>
      <c r="MFO146" s="22"/>
      <c r="MFP146" s="22"/>
      <c r="MFQ146" s="22"/>
      <c r="MFR146" s="22"/>
      <c r="MFS146" s="22"/>
      <c r="MFT146" s="22"/>
      <c r="MFU146" s="22"/>
      <c r="MFV146" s="22"/>
      <c r="MFW146" s="22"/>
      <c r="MFX146" s="22"/>
      <c r="MFY146" s="22"/>
      <c r="MFZ146" s="22"/>
      <c r="MGA146" s="22"/>
      <c r="MGB146" s="22"/>
      <c r="MGC146" s="22"/>
      <c r="MGD146" s="22"/>
      <c r="MGE146" s="22"/>
      <c r="MGF146" s="22"/>
      <c r="MGG146" s="22"/>
      <c r="MGH146" s="22"/>
      <c r="MGI146" s="22"/>
      <c r="MGJ146" s="22"/>
      <c r="MGK146" s="22"/>
      <c r="MGL146" s="22"/>
      <c r="MGM146" s="22"/>
      <c r="MGN146" s="22"/>
      <c r="MGO146" s="22"/>
      <c r="MGP146" s="22"/>
      <c r="MGQ146" s="22"/>
      <c r="MGR146" s="22"/>
      <c r="MGS146" s="22"/>
      <c r="MGT146" s="22"/>
      <c r="MGU146" s="22"/>
      <c r="MGV146" s="22"/>
      <c r="MGW146" s="22"/>
      <c r="MGX146" s="22"/>
      <c r="MGY146" s="22"/>
      <c r="MGZ146" s="22"/>
      <c r="MHA146" s="22"/>
      <c r="MHB146" s="22"/>
      <c r="MHC146" s="22"/>
      <c r="MHD146" s="22"/>
      <c r="MHE146" s="22"/>
      <c r="MHF146" s="22"/>
      <c r="MHG146" s="22"/>
      <c r="MHH146" s="22"/>
      <c r="MHI146" s="22"/>
      <c r="MHJ146" s="22"/>
      <c r="MHK146" s="22"/>
      <c r="MHL146" s="22"/>
      <c r="MHM146" s="22"/>
      <c r="MHN146" s="22"/>
      <c r="MHO146" s="22"/>
      <c r="MHP146" s="22"/>
      <c r="MHQ146" s="22"/>
      <c r="MHR146" s="22"/>
      <c r="MHS146" s="22"/>
      <c r="MHT146" s="22"/>
      <c r="MHU146" s="22"/>
      <c r="MHV146" s="22"/>
      <c r="MHW146" s="22"/>
      <c r="MHX146" s="22"/>
      <c r="MHY146" s="22"/>
      <c r="MHZ146" s="22"/>
      <c r="MIA146" s="22"/>
      <c r="MIB146" s="22"/>
      <c r="MIC146" s="22"/>
      <c r="MID146" s="22"/>
      <c r="MIE146" s="22"/>
      <c r="MIF146" s="22"/>
      <c r="MIG146" s="22"/>
      <c r="MIH146" s="22"/>
      <c r="MII146" s="22"/>
      <c r="MIJ146" s="22"/>
      <c r="MIK146" s="22"/>
      <c r="MIL146" s="22"/>
      <c r="MIM146" s="22"/>
      <c r="MIN146" s="22"/>
      <c r="MIO146" s="22"/>
      <c r="MIP146" s="22"/>
      <c r="MIQ146" s="22"/>
      <c r="MIR146" s="22"/>
      <c r="MIS146" s="22"/>
      <c r="MIT146" s="22"/>
      <c r="MIU146" s="22"/>
      <c r="MIV146" s="22"/>
      <c r="MIW146" s="22"/>
      <c r="MIX146" s="22"/>
      <c r="MIY146" s="22"/>
      <c r="MIZ146" s="22"/>
      <c r="MJA146" s="22"/>
      <c r="MJB146" s="22"/>
      <c r="MJC146" s="22"/>
      <c r="MJD146" s="22"/>
      <c r="MJE146" s="22"/>
      <c r="MJF146" s="22"/>
      <c r="MJG146" s="22"/>
      <c r="MJH146" s="22"/>
      <c r="MJI146" s="22"/>
      <c r="MJJ146" s="22"/>
      <c r="MJK146" s="22"/>
      <c r="MJL146" s="22"/>
      <c r="MJM146" s="22"/>
      <c r="MJN146" s="22"/>
      <c r="MJO146" s="22"/>
      <c r="MJP146" s="22"/>
      <c r="MJQ146" s="22"/>
      <c r="MJR146" s="22"/>
      <c r="MJS146" s="22"/>
      <c r="MJT146" s="22"/>
      <c r="MJU146" s="22"/>
      <c r="MJV146" s="22"/>
      <c r="MJW146" s="22"/>
      <c r="MJX146" s="22"/>
      <c r="MJY146" s="22"/>
      <c r="MJZ146" s="22"/>
      <c r="MKA146" s="22"/>
      <c r="MKB146" s="22"/>
      <c r="MKC146" s="22"/>
      <c r="MKD146" s="22"/>
      <c r="MKE146" s="22"/>
      <c r="MKF146" s="22"/>
      <c r="MKG146" s="22"/>
      <c r="MKH146" s="22"/>
      <c r="MKI146" s="22"/>
      <c r="MKJ146" s="22"/>
      <c r="MKK146" s="22"/>
      <c r="MKL146" s="22"/>
      <c r="MKM146" s="22"/>
      <c r="MKN146" s="22"/>
      <c r="MKO146" s="22"/>
      <c r="MKP146" s="22"/>
      <c r="MKQ146" s="22"/>
      <c r="MKR146" s="22"/>
      <c r="MKS146" s="22"/>
      <c r="MKT146" s="22"/>
      <c r="MKU146" s="22"/>
      <c r="MKV146" s="22"/>
      <c r="MKW146" s="22"/>
      <c r="MKX146" s="22"/>
      <c r="MKY146" s="22"/>
      <c r="MKZ146" s="22"/>
      <c r="MLA146" s="22"/>
      <c r="MLB146" s="22"/>
      <c r="MLC146" s="22"/>
      <c r="MLD146" s="22"/>
      <c r="MLE146" s="22"/>
      <c r="MLF146" s="22"/>
      <c r="MLG146" s="22"/>
      <c r="MLH146" s="22"/>
      <c r="MLI146" s="22"/>
      <c r="MLJ146" s="22"/>
      <c r="MLK146" s="22"/>
      <c r="MLL146" s="22"/>
      <c r="MLM146" s="22"/>
      <c r="MLN146" s="22"/>
      <c r="MLO146" s="22"/>
      <c r="MLP146" s="22"/>
      <c r="MLQ146" s="22"/>
      <c r="MLR146" s="22"/>
      <c r="MLS146" s="22"/>
      <c r="MLT146" s="22"/>
      <c r="MLU146" s="22"/>
      <c r="MLV146" s="22"/>
      <c r="MLW146" s="22"/>
      <c r="MLX146" s="22"/>
      <c r="MLY146" s="22"/>
      <c r="MLZ146" s="22"/>
      <c r="MMA146" s="22"/>
      <c r="MMB146" s="22"/>
      <c r="MMC146" s="22"/>
      <c r="MMD146" s="22"/>
      <c r="MME146" s="22"/>
      <c r="MMF146" s="22"/>
      <c r="MMG146" s="22"/>
      <c r="MMH146" s="22"/>
      <c r="MMI146" s="22"/>
      <c r="MMJ146" s="22"/>
      <c r="MMK146" s="22"/>
      <c r="MML146" s="22"/>
      <c r="MMM146" s="22"/>
      <c r="MMN146" s="22"/>
      <c r="MMO146" s="22"/>
      <c r="MMP146" s="22"/>
      <c r="MMQ146" s="22"/>
      <c r="MMR146" s="22"/>
      <c r="MMS146" s="22"/>
      <c r="MMT146" s="22"/>
      <c r="MMU146" s="22"/>
      <c r="MMV146" s="22"/>
      <c r="MMW146" s="22"/>
      <c r="MMX146" s="22"/>
      <c r="MMY146" s="22"/>
      <c r="MMZ146" s="22"/>
      <c r="MNA146" s="22"/>
      <c r="MNB146" s="22"/>
      <c r="MNC146" s="22"/>
      <c r="MND146" s="22"/>
      <c r="MNE146" s="22"/>
      <c r="MNF146" s="22"/>
      <c r="MNG146" s="22"/>
      <c r="MNH146" s="22"/>
      <c r="MNI146" s="22"/>
      <c r="MNJ146" s="22"/>
      <c r="MNK146" s="22"/>
      <c r="MNL146" s="22"/>
      <c r="MNM146" s="22"/>
      <c r="MNN146" s="22"/>
      <c r="MNO146" s="22"/>
      <c r="MNP146" s="22"/>
      <c r="MNQ146" s="22"/>
      <c r="MNR146" s="22"/>
      <c r="MNS146" s="22"/>
      <c r="MNT146" s="22"/>
      <c r="MNU146" s="22"/>
      <c r="MNV146" s="22"/>
      <c r="MNW146" s="22"/>
      <c r="MNX146" s="22"/>
      <c r="MNY146" s="22"/>
      <c r="MNZ146" s="22"/>
      <c r="MOA146" s="22"/>
      <c r="MOB146" s="22"/>
      <c r="MOC146" s="22"/>
      <c r="MOD146" s="22"/>
      <c r="MOE146" s="22"/>
      <c r="MOF146" s="22"/>
      <c r="MOG146" s="22"/>
      <c r="MOH146" s="22"/>
      <c r="MOI146" s="22"/>
      <c r="MOJ146" s="22"/>
      <c r="MOK146" s="22"/>
      <c r="MOL146" s="22"/>
      <c r="MOM146" s="22"/>
      <c r="MON146" s="22"/>
      <c r="MOO146" s="22"/>
      <c r="MOP146" s="22"/>
      <c r="MOQ146" s="22"/>
      <c r="MOR146" s="22"/>
      <c r="MOS146" s="22"/>
      <c r="MOT146" s="22"/>
      <c r="MOU146" s="22"/>
      <c r="MOV146" s="22"/>
      <c r="MOW146" s="22"/>
      <c r="MOX146" s="22"/>
      <c r="MOY146" s="22"/>
      <c r="MOZ146" s="22"/>
      <c r="MPA146" s="22"/>
      <c r="MPB146" s="22"/>
      <c r="MPC146" s="22"/>
      <c r="MPD146" s="22"/>
      <c r="MPE146" s="22"/>
      <c r="MPF146" s="22"/>
      <c r="MPG146" s="22"/>
      <c r="MPH146" s="22"/>
      <c r="MPI146" s="22"/>
      <c r="MPJ146" s="22"/>
      <c r="MPK146" s="22"/>
      <c r="MPL146" s="22"/>
      <c r="MPM146" s="22"/>
      <c r="MPN146" s="22"/>
      <c r="MPO146" s="22"/>
      <c r="MPP146" s="22"/>
      <c r="MPQ146" s="22"/>
      <c r="MPR146" s="22"/>
      <c r="MPS146" s="22"/>
      <c r="MPT146" s="22"/>
      <c r="MPU146" s="22"/>
      <c r="MPV146" s="22"/>
      <c r="MPW146" s="22"/>
      <c r="MPX146" s="22"/>
      <c r="MPY146" s="22"/>
      <c r="MPZ146" s="22"/>
      <c r="MQA146" s="22"/>
      <c r="MQB146" s="22"/>
      <c r="MQC146" s="22"/>
      <c r="MQD146" s="22"/>
      <c r="MQE146" s="22"/>
      <c r="MQF146" s="22"/>
      <c r="MQG146" s="22"/>
      <c r="MQH146" s="22"/>
      <c r="MQI146" s="22"/>
      <c r="MQJ146" s="22"/>
      <c r="MQK146" s="22"/>
      <c r="MQL146" s="22"/>
      <c r="MQM146" s="22"/>
      <c r="MQN146" s="22"/>
      <c r="MQO146" s="22"/>
      <c r="MQP146" s="22"/>
      <c r="MQQ146" s="22"/>
      <c r="MQR146" s="22"/>
      <c r="MQS146" s="22"/>
      <c r="MQT146" s="22"/>
      <c r="MQU146" s="22"/>
      <c r="MQV146" s="22"/>
      <c r="MQW146" s="22"/>
      <c r="MQX146" s="22"/>
      <c r="MQY146" s="22"/>
      <c r="MQZ146" s="22"/>
      <c r="MRA146" s="22"/>
      <c r="MRB146" s="22"/>
      <c r="MRC146" s="22"/>
      <c r="MRD146" s="22"/>
      <c r="MRE146" s="22"/>
      <c r="MRF146" s="22"/>
      <c r="MRG146" s="22"/>
      <c r="MRH146" s="22"/>
      <c r="MRI146" s="22"/>
      <c r="MRJ146" s="22"/>
      <c r="MRK146" s="22"/>
      <c r="MRL146" s="22"/>
      <c r="MRM146" s="22"/>
      <c r="MRN146" s="22"/>
      <c r="MRO146" s="22"/>
      <c r="MRP146" s="22"/>
      <c r="MRQ146" s="22"/>
      <c r="MRR146" s="22"/>
      <c r="MRS146" s="22"/>
      <c r="MRT146" s="22"/>
      <c r="MRU146" s="22"/>
      <c r="MRV146" s="22"/>
      <c r="MRW146" s="22"/>
      <c r="MRX146" s="22"/>
      <c r="MRY146" s="22"/>
      <c r="MRZ146" s="22"/>
      <c r="MSA146" s="22"/>
      <c r="MSB146" s="22"/>
      <c r="MSC146" s="22"/>
      <c r="MSD146" s="22"/>
      <c r="MSE146" s="22"/>
      <c r="MSF146" s="22"/>
      <c r="MSG146" s="22"/>
      <c r="MSH146" s="22"/>
      <c r="MSI146" s="22"/>
      <c r="MSJ146" s="22"/>
      <c r="MSK146" s="22"/>
      <c r="MSL146" s="22"/>
      <c r="MSM146" s="22"/>
      <c r="MSN146" s="22"/>
      <c r="MSO146" s="22"/>
      <c r="MSP146" s="22"/>
      <c r="MSQ146" s="22"/>
      <c r="MSR146" s="22"/>
      <c r="MSS146" s="22"/>
      <c r="MST146" s="22"/>
      <c r="MSU146" s="22"/>
      <c r="MSV146" s="22"/>
      <c r="MSW146" s="22"/>
      <c r="MSX146" s="22"/>
      <c r="MSY146" s="22"/>
      <c r="MSZ146" s="22"/>
      <c r="MTA146" s="22"/>
      <c r="MTB146" s="22"/>
      <c r="MTC146" s="22"/>
      <c r="MTD146" s="22"/>
      <c r="MTE146" s="22"/>
      <c r="MTF146" s="22"/>
      <c r="MTG146" s="22"/>
      <c r="MTH146" s="22"/>
      <c r="MTI146" s="22"/>
      <c r="MTJ146" s="22"/>
      <c r="MTK146" s="22"/>
      <c r="MTL146" s="22"/>
      <c r="MTM146" s="22"/>
      <c r="MTN146" s="22"/>
      <c r="MTO146" s="22"/>
      <c r="MTP146" s="22"/>
      <c r="MTQ146" s="22"/>
      <c r="MTR146" s="22"/>
      <c r="MTS146" s="22"/>
      <c r="MTT146" s="22"/>
      <c r="MTU146" s="22"/>
      <c r="MTV146" s="22"/>
      <c r="MTW146" s="22"/>
      <c r="MTX146" s="22"/>
      <c r="MTY146" s="22"/>
      <c r="MTZ146" s="22"/>
      <c r="MUA146" s="22"/>
      <c r="MUB146" s="22"/>
      <c r="MUC146" s="22"/>
      <c r="MUD146" s="22"/>
      <c r="MUE146" s="22"/>
      <c r="MUF146" s="22"/>
      <c r="MUG146" s="22"/>
      <c r="MUH146" s="22"/>
      <c r="MUI146" s="22"/>
      <c r="MUJ146" s="22"/>
      <c r="MUK146" s="22"/>
      <c r="MUL146" s="22"/>
      <c r="MUM146" s="22"/>
      <c r="MUN146" s="22"/>
      <c r="MUO146" s="22"/>
      <c r="MUP146" s="22"/>
      <c r="MUQ146" s="22"/>
      <c r="MUR146" s="22"/>
      <c r="MUS146" s="22"/>
      <c r="MUT146" s="22"/>
      <c r="MUU146" s="22"/>
      <c r="MUV146" s="22"/>
      <c r="MUW146" s="22"/>
      <c r="MUX146" s="22"/>
      <c r="MUY146" s="22"/>
      <c r="MUZ146" s="22"/>
      <c r="MVA146" s="22"/>
      <c r="MVB146" s="22"/>
      <c r="MVC146" s="22"/>
      <c r="MVD146" s="22"/>
      <c r="MVE146" s="22"/>
      <c r="MVF146" s="22"/>
      <c r="MVG146" s="22"/>
      <c r="MVH146" s="22"/>
      <c r="MVI146" s="22"/>
      <c r="MVJ146" s="22"/>
      <c r="MVK146" s="22"/>
      <c r="MVL146" s="22"/>
      <c r="MVM146" s="22"/>
      <c r="MVN146" s="22"/>
      <c r="MVO146" s="22"/>
      <c r="MVP146" s="22"/>
      <c r="MVQ146" s="22"/>
      <c r="MVR146" s="22"/>
      <c r="MVS146" s="22"/>
      <c r="MVT146" s="22"/>
      <c r="MVU146" s="22"/>
      <c r="MVV146" s="22"/>
      <c r="MVW146" s="22"/>
      <c r="MVX146" s="22"/>
      <c r="MVY146" s="22"/>
      <c r="MVZ146" s="22"/>
      <c r="MWA146" s="22"/>
      <c r="MWB146" s="22"/>
      <c r="MWC146" s="22"/>
      <c r="MWD146" s="22"/>
      <c r="MWE146" s="22"/>
      <c r="MWF146" s="22"/>
      <c r="MWG146" s="22"/>
      <c r="MWH146" s="22"/>
      <c r="MWI146" s="22"/>
      <c r="MWJ146" s="22"/>
      <c r="MWK146" s="22"/>
      <c r="MWL146" s="22"/>
      <c r="MWM146" s="22"/>
      <c r="MWN146" s="22"/>
      <c r="MWO146" s="22"/>
      <c r="MWP146" s="22"/>
      <c r="MWQ146" s="22"/>
      <c r="MWR146" s="22"/>
      <c r="MWS146" s="22"/>
      <c r="MWT146" s="22"/>
      <c r="MWU146" s="22"/>
      <c r="MWV146" s="22"/>
      <c r="MWW146" s="22"/>
      <c r="MWX146" s="22"/>
      <c r="MWY146" s="22"/>
      <c r="MWZ146" s="22"/>
      <c r="MXA146" s="22"/>
      <c r="MXB146" s="22"/>
      <c r="MXC146" s="22"/>
      <c r="MXD146" s="22"/>
      <c r="MXE146" s="22"/>
      <c r="MXF146" s="22"/>
      <c r="MXG146" s="22"/>
      <c r="MXH146" s="22"/>
      <c r="MXI146" s="22"/>
      <c r="MXJ146" s="22"/>
      <c r="MXK146" s="22"/>
      <c r="MXL146" s="22"/>
      <c r="MXM146" s="22"/>
      <c r="MXN146" s="22"/>
      <c r="MXO146" s="22"/>
      <c r="MXP146" s="22"/>
      <c r="MXQ146" s="22"/>
      <c r="MXR146" s="22"/>
      <c r="MXS146" s="22"/>
      <c r="MXT146" s="22"/>
      <c r="MXU146" s="22"/>
      <c r="MXV146" s="22"/>
      <c r="MXW146" s="22"/>
      <c r="MXX146" s="22"/>
      <c r="MXY146" s="22"/>
      <c r="MXZ146" s="22"/>
      <c r="MYA146" s="22"/>
      <c r="MYB146" s="22"/>
      <c r="MYC146" s="22"/>
      <c r="MYD146" s="22"/>
      <c r="MYE146" s="22"/>
      <c r="MYF146" s="22"/>
      <c r="MYG146" s="22"/>
      <c r="MYH146" s="22"/>
      <c r="MYI146" s="22"/>
      <c r="MYJ146" s="22"/>
      <c r="MYK146" s="22"/>
      <c r="MYL146" s="22"/>
      <c r="MYM146" s="22"/>
      <c r="MYN146" s="22"/>
      <c r="MYO146" s="22"/>
      <c r="MYP146" s="22"/>
      <c r="MYQ146" s="22"/>
      <c r="MYR146" s="22"/>
      <c r="MYS146" s="22"/>
      <c r="MYT146" s="22"/>
      <c r="MYU146" s="22"/>
      <c r="MYV146" s="22"/>
      <c r="MYW146" s="22"/>
      <c r="MYX146" s="22"/>
      <c r="MYY146" s="22"/>
      <c r="MYZ146" s="22"/>
      <c r="MZA146" s="22"/>
      <c r="MZB146" s="22"/>
      <c r="MZC146" s="22"/>
      <c r="MZD146" s="22"/>
      <c r="MZE146" s="22"/>
      <c r="MZF146" s="22"/>
      <c r="MZG146" s="22"/>
      <c r="MZH146" s="22"/>
      <c r="MZI146" s="22"/>
      <c r="MZJ146" s="22"/>
      <c r="MZK146" s="22"/>
      <c r="MZL146" s="22"/>
      <c r="MZM146" s="22"/>
      <c r="MZN146" s="22"/>
      <c r="MZO146" s="22"/>
      <c r="MZP146" s="22"/>
      <c r="MZQ146" s="22"/>
      <c r="MZR146" s="22"/>
      <c r="MZS146" s="22"/>
      <c r="MZT146" s="22"/>
      <c r="MZU146" s="22"/>
      <c r="MZV146" s="22"/>
      <c r="MZW146" s="22"/>
      <c r="MZX146" s="22"/>
      <c r="MZY146" s="22"/>
      <c r="MZZ146" s="22"/>
      <c r="NAA146" s="22"/>
      <c r="NAB146" s="22"/>
      <c r="NAC146" s="22"/>
      <c r="NAD146" s="22"/>
      <c r="NAE146" s="22"/>
      <c r="NAF146" s="22"/>
      <c r="NAG146" s="22"/>
      <c r="NAH146" s="22"/>
      <c r="NAI146" s="22"/>
      <c r="NAJ146" s="22"/>
      <c r="NAK146" s="22"/>
      <c r="NAL146" s="22"/>
      <c r="NAM146" s="22"/>
      <c r="NAN146" s="22"/>
      <c r="NAO146" s="22"/>
      <c r="NAP146" s="22"/>
      <c r="NAQ146" s="22"/>
      <c r="NAR146" s="22"/>
      <c r="NAS146" s="22"/>
      <c r="NAT146" s="22"/>
      <c r="NAU146" s="22"/>
      <c r="NAV146" s="22"/>
      <c r="NAW146" s="22"/>
      <c r="NAX146" s="22"/>
      <c r="NAY146" s="22"/>
      <c r="NAZ146" s="22"/>
      <c r="NBA146" s="22"/>
      <c r="NBB146" s="22"/>
      <c r="NBC146" s="22"/>
      <c r="NBD146" s="22"/>
      <c r="NBE146" s="22"/>
      <c r="NBF146" s="22"/>
      <c r="NBG146" s="22"/>
      <c r="NBH146" s="22"/>
      <c r="NBI146" s="22"/>
      <c r="NBJ146" s="22"/>
      <c r="NBK146" s="22"/>
      <c r="NBL146" s="22"/>
      <c r="NBM146" s="22"/>
      <c r="NBN146" s="22"/>
      <c r="NBO146" s="22"/>
      <c r="NBP146" s="22"/>
      <c r="NBQ146" s="22"/>
      <c r="NBR146" s="22"/>
      <c r="NBS146" s="22"/>
      <c r="NBT146" s="22"/>
      <c r="NBU146" s="22"/>
      <c r="NBV146" s="22"/>
      <c r="NBW146" s="22"/>
      <c r="NBX146" s="22"/>
      <c r="NBY146" s="22"/>
      <c r="NBZ146" s="22"/>
      <c r="NCA146" s="22"/>
      <c r="NCB146" s="22"/>
      <c r="NCC146" s="22"/>
      <c r="NCD146" s="22"/>
      <c r="NCE146" s="22"/>
      <c r="NCF146" s="22"/>
      <c r="NCG146" s="22"/>
      <c r="NCH146" s="22"/>
      <c r="NCI146" s="22"/>
      <c r="NCJ146" s="22"/>
      <c r="NCK146" s="22"/>
      <c r="NCL146" s="22"/>
      <c r="NCM146" s="22"/>
      <c r="NCN146" s="22"/>
      <c r="NCO146" s="22"/>
      <c r="NCP146" s="22"/>
      <c r="NCQ146" s="22"/>
      <c r="NCR146" s="22"/>
      <c r="NCS146" s="22"/>
      <c r="NCT146" s="22"/>
      <c r="NCU146" s="22"/>
      <c r="NCV146" s="22"/>
      <c r="NCW146" s="22"/>
      <c r="NCX146" s="22"/>
      <c r="NCY146" s="22"/>
      <c r="NCZ146" s="22"/>
      <c r="NDA146" s="22"/>
      <c r="NDB146" s="22"/>
      <c r="NDC146" s="22"/>
      <c r="NDD146" s="22"/>
      <c r="NDE146" s="22"/>
      <c r="NDF146" s="22"/>
      <c r="NDG146" s="22"/>
      <c r="NDH146" s="22"/>
      <c r="NDI146" s="22"/>
      <c r="NDJ146" s="22"/>
      <c r="NDK146" s="22"/>
      <c r="NDL146" s="22"/>
      <c r="NDM146" s="22"/>
      <c r="NDN146" s="22"/>
      <c r="NDO146" s="22"/>
      <c r="NDP146" s="22"/>
      <c r="NDQ146" s="22"/>
      <c r="NDR146" s="22"/>
      <c r="NDS146" s="22"/>
      <c r="NDT146" s="22"/>
      <c r="NDU146" s="22"/>
      <c r="NDV146" s="22"/>
      <c r="NDW146" s="22"/>
      <c r="NDX146" s="22"/>
      <c r="NDY146" s="22"/>
      <c r="NDZ146" s="22"/>
      <c r="NEA146" s="22"/>
      <c r="NEB146" s="22"/>
      <c r="NEC146" s="22"/>
      <c r="NED146" s="22"/>
      <c r="NEE146" s="22"/>
      <c r="NEF146" s="22"/>
      <c r="NEG146" s="22"/>
      <c r="NEH146" s="22"/>
      <c r="NEI146" s="22"/>
      <c r="NEJ146" s="22"/>
      <c r="NEK146" s="22"/>
      <c r="NEL146" s="22"/>
      <c r="NEM146" s="22"/>
      <c r="NEN146" s="22"/>
      <c r="NEO146" s="22"/>
      <c r="NEP146" s="22"/>
      <c r="NEQ146" s="22"/>
      <c r="NER146" s="22"/>
      <c r="NES146" s="22"/>
      <c r="NET146" s="22"/>
      <c r="NEU146" s="22"/>
      <c r="NEV146" s="22"/>
      <c r="NEW146" s="22"/>
      <c r="NEX146" s="22"/>
      <c r="NEY146" s="22"/>
      <c r="NEZ146" s="22"/>
      <c r="NFA146" s="22"/>
      <c r="NFB146" s="22"/>
      <c r="NFC146" s="22"/>
      <c r="NFD146" s="22"/>
      <c r="NFE146" s="22"/>
      <c r="NFF146" s="22"/>
      <c r="NFG146" s="22"/>
      <c r="NFH146" s="22"/>
      <c r="NFI146" s="22"/>
      <c r="NFJ146" s="22"/>
      <c r="NFK146" s="22"/>
      <c r="NFL146" s="22"/>
      <c r="NFM146" s="22"/>
      <c r="NFN146" s="22"/>
      <c r="NFO146" s="22"/>
      <c r="NFP146" s="22"/>
      <c r="NFQ146" s="22"/>
      <c r="NFR146" s="22"/>
      <c r="NFS146" s="22"/>
      <c r="NFT146" s="22"/>
      <c r="NFU146" s="22"/>
      <c r="NFV146" s="22"/>
      <c r="NFW146" s="22"/>
      <c r="NFX146" s="22"/>
      <c r="NFY146" s="22"/>
      <c r="NFZ146" s="22"/>
      <c r="NGA146" s="22"/>
      <c r="NGB146" s="22"/>
      <c r="NGC146" s="22"/>
      <c r="NGD146" s="22"/>
      <c r="NGE146" s="22"/>
      <c r="NGF146" s="22"/>
      <c r="NGG146" s="22"/>
      <c r="NGH146" s="22"/>
      <c r="NGI146" s="22"/>
      <c r="NGJ146" s="22"/>
      <c r="NGK146" s="22"/>
      <c r="NGL146" s="22"/>
      <c r="NGM146" s="22"/>
      <c r="NGN146" s="22"/>
      <c r="NGO146" s="22"/>
      <c r="NGP146" s="22"/>
      <c r="NGQ146" s="22"/>
      <c r="NGR146" s="22"/>
      <c r="NGS146" s="22"/>
      <c r="NGT146" s="22"/>
      <c r="NGU146" s="22"/>
      <c r="NGV146" s="22"/>
      <c r="NGW146" s="22"/>
      <c r="NGX146" s="22"/>
      <c r="NGY146" s="22"/>
      <c r="NGZ146" s="22"/>
      <c r="NHA146" s="22"/>
      <c r="NHB146" s="22"/>
      <c r="NHC146" s="22"/>
      <c r="NHD146" s="22"/>
      <c r="NHE146" s="22"/>
      <c r="NHF146" s="22"/>
      <c r="NHG146" s="22"/>
      <c r="NHH146" s="22"/>
      <c r="NHI146" s="22"/>
      <c r="NHJ146" s="22"/>
      <c r="NHK146" s="22"/>
      <c r="NHL146" s="22"/>
      <c r="NHM146" s="22"/>
      <c r="NHN146" s="22"/>
      <c r="NHO146" s="22"/>
      <c r="NHP146" s="22"/>
      <c r="NHQ146" s="22"/>
      <c r="NHR146" s="22"/>
      <c r="NHS146" s="22"/>
      <c r="NHT146" s="22"/>
      <c r="NHU146" s="22"/>
      <c r="NHV146" s="22"/>
      <c r="NHW146" s="22"/>
      <c r="NHX146" s="22"/>
      <c r="NHY146" s="22"/>
      <c r="NHZ146" s="22"/>
      <c r="NIA146" s="22"/>
      <c r="NIB146" s="22"/>
      <c r="NIC146" s="22"/>
      <c r="NID146" s="22"/>
      <c r="NIE146" s="22"/>
      <c r="NIF146" s="22"/>
      <c r="NIG146" s="22"/>
      <c r="NIH146" s="22"/>
      <c r="NII146" s="22"/>
      <c r="NIJ146" s="22"/>
      <c r="NIK146" s="22"/>
      <c r="NIL146" s="22"/>
      <c r="NIM146" s="22"/>
      <c r="NIN146" s="22"/>
      <c r="NIO146" s="22"/>
      <c r="NIP146" s="22"/>
      <c r="NIQ146" s="22"/>
      <c r="NIR146" s="22"/>
      <c r="NIS146" s="22"/>
      <c r="NIT146" s="22"/>
      <c r="NIU146" s="22"/>
      <c r="NIV146" s="22"/>
      <c r="NIW146" s="22"/>
      <c r="NIX146" s="22"/>
      <c r="NIY146" s="22"/>
      <c r="NIZ146" s="22"/>
      <c r="NJA146" s="22"/>
      <c r="NJB146" s="22"/>
      <c r="NJC146" s="22"/>
      <c r="NJD146" s="22"/>
      <c r="NJE146" s="22"/>
      <c r="NJF146" s="22"/>
      <c r="NJG146" s="22"/>
      <c r="NJH146" s="22"/>
      <c r="NJI146" s="22"/>
      <c r="NJJ146" s="22"/>
      <c r="NJK146" s="22"/>
      <c r="NJL146" s="22"/>
      <c r="NJM146" s="22"/>
      <c r="NJN146" s="22"/>
      <c r="NJO146" s="22"/>
      <c r="NJP146" s="22"/>
      <c r="NJQ146" s="22"/>
      <c r="NJR146" s="22"/>
      <c r="NJS146" s="22"/>
      <c r="NJT146" s="22"/>
      <c r="NJU146" s="22"/>
      <c r="NJV146" s="22"/>
      <c r="NJW146" s="22"/>
      <c r="NJX146" s="22"/>
      <c r="NJY146" s="22"/>
      <c r="NJZ146" s="22"/>
      <c r="NKA146" s="22"/>
      <c r="NKB146" s="22"/>
      <c r="NKC146" s="22"/>
      <c r="NKD146" s="22"/>
      <c r="NKE146" s="22"/>
      <c r="NKF146" s="22"/>
      <c r="NKG146" s="22"/>
      <c r="NKH146" s="22"/>
      <c r="NKI146" s="22"/>
      <c r="NKJ146" s="22"/>
      <c r="NKK146" s="22"/>
      <c r="NKL146" s="22"/>
      <c r="NKM146" s="22"/>
      <c r="NKN146" s="22"/>
      <c r="NKO146" s="22"/>
      <c r="NKP146" s="22"/>
      <c r="NKQ146" s="22"/>
      <c r="NKR146" s="22"/>
      <c r="NKS146" s="22"/>
      <c r="NKT146" s="22"/>
      <c r="NKU146" s="22"/>
      <c r="NKV146" s="22"/>
      <c r="NKW146" s="22"/>
      <c r="NKX146" s="22"/>
      <c r="NKY146" s="22"/>
      <c r="NKZ146" s="22"/>
      <c r="NLA146" s="22"/>
      <c r="NLB146" s="22"/>
      <c r="NLC146" s="22"/>
      <c r="NLD146" s="22"/>
      <c r="NLE146" s="22"/>
      <c r="NLF146" s="22"/>
      <c r="NLG146" s="22"/>
      <c r="NLH146" s="22"/>
      <c r="NLI146" s="22"/>
      <c r="NLJ146" s="22"/>
      <c r="NLK146" s="22"/>
      <c r="NLL146" s="22"/>
      <c r="NLM146" s="22"/>
      <c r="NLN146" s="22"/>
      <c r="NLO146" s="22"/>
      <c r="NLP146" s="22"/>
      <c r="NLQ146" s="22"/>
      <c r="NLR146" s="22"/>
      <c r="NLS146" s="22"/>
      <c r="NLT146" s="22"/>
      <c r="NLU146" s="22"/>
      <c r="NLV146" s="22"/>
      <c r="NLW146" s="22"/>
      <c r="NLX146" s="22"/>
      <c r="NLY146" s="22"/>
      <c r="NLZ146" s="22"/>
      <c r="NMA146" s="22"/>
      <c r="NMB146" s="22"/>
      <c r="NMC146" s="22"/>
      <c r="NMD146" s="22"/>
      <c r="NME146" s="22"/>
      <c r="NMF146" s="22"/>
      <c r="NMG146" s="22"/>
      <c r="NMH146" s="22"/>
      <c r="NMI146" s="22"/>
      <c r="NMJ146" s="22"/>
      <c r="NMK146" s="22"/>
      <c r="NML146" s="22"/>
      <c r="NMM146" s="22"/>
      <c r="NMN146" s="22"/>
      <c r="NMO146" s="22"/>
      <c r="NMP146" s="22"/>
      <c r="NMQ146" s="22"/>
      <c r="NMR146" s="22"/>
      <c r="NMS146" s="22"/>
      <c r="NMT146" s="22"/>
      <c r="NMU146" s="22"/>
      <c r="NMV146" s="22"/>
      <c r="NMW146" s="22"/>
      <c r="NMX146" s="22"/>
      <c r="NMY146" s="22"/>
      <c r="NMZ146" s="22"/>
      <c r="NNA146" s="22"/>
      <c r="NNB146" s="22"/>
      <c r="NNC146" s="22"/>
      <c r="NND146" s="22"/>
      <c r="NNE146" s="22"/>
      <c r="NNF146" s="22"/>
      <c r="NNG146" s="22"/>
      <c r="NNH146" s="22"/>
      <c r="NNI146" s="22"/>
      <c r="NNJ146" s="22"/>
      <c r="NNK146" s="22"/>
      <c r="NNL146" s="22"/>
      <c r="NNM146" s="22"/>
      <c r="NNN146" s="22"/>
      <c r="NNO146" s="22"/>
      <c r="NNP146" s="22"/>
      <c r="NNQ146" s="22"/>
      <c r="NNR146" s="22"/>
      <c r="NNS146" s="22"/>
      <c r="NNT146" s="22"/>
      <c r="NNU146" s="22"/>
      <c r="NNV146" s="22"/>
      <c r="NNW146" s="22"/>
      <c r="NNX146" s="22"/>
      <c r="NNY146" s="22"/>
      <c r="NNZ146" s="22"/>
      <c r="NOA146" s="22"/>
      <c r="NOB146" s="22"/>
      <c r="NOC146" s="22"/>
      <c r="NOD146" s="22"/>
      <c r="NOE146" s="22"/>
      <c r="NOF146" s="22"/>
      <c r="NOG146" s="22"/>
      <c r="NOH146" s="22"/>
      <c r="NOI146" s="22"/>
      <c r="NOJ146" s="22"/>
      <c r="NOK146" s="22"/>
      <c r="NOL146" s="22"/>
      <c r="NOM146" s="22"/>
      <c r="NON146" s="22"/>
      <c r="NOO146" s="22"/>
      <c r="NOP146" s="22"/>
      <c r="NOQ146" s="22"/>
      <c r="NOR146" s="22"/>
      <c r="NOS146" s="22"/>
      <c r="NOT146" s="22"/>
      <c r="NOU146" s="22"/>
      <c r="NOV146" s="22"/>
      <c r="NOW146" s="22"/>
      <c r="NOX146" s="22"/>
      <c r="NOY146" s="22"/>
      <c r="NOZ146" s="22"/>
      <c r="NPA146" s="22"/>
      <c r="NPB146" s="22"/>
      <c r="NPC146" s="22"/>
      <c r="NPD146" s="22"/>
      <c r="NPE146" s="22"/>
      <c r="NPF146" s="22"/>
      <c r="NPG146" s="22"/>
      <c r="NPH146" s="22"/>
      <c r="NPI146" s="22"/>
      <c r="NPJ146" s="22"/>
      <c r="NPK146" s="22"/>
      <c r="NPL146" s="22"/>
      <c r="NPM146" s="22"/>
      <c r="NPN146" s="22"/>
      <c r="NPO146" s="22"/>
      <c r="NPP146" s="22"/>
      <c r="NPQ146" s="22"/>
      <c r="NPR146" s="22"/>
      <c r="NPS146" s="22"/>
      <c r="NPT146" s="22"/>
      <c r="NPU146" s="22"/>
      <c r="NPV146" s="22"/>
      <c r="NPW146" s="22"/>
      <c r="NPX146" s="22"/>
      <c r="NPY146" s="22"/>
      <c r="NPZ146" s="22"/>
      <c r="NQA146" s="22"/>
      <c r="NQB146" s="22"/>
      <c r="NQC146" s="22"/>
      <c r="NQD146" s="22"/>
      <c r="NQE146" s="22"/>
      <c r="NQF146" s="22"/>
      <c r="NQG146" s="22"/>
      <c r="NQH146" s="22"/>
      <c r="NQI146" s="22"/>
      <c r="NQJ146" s="22"/>
      <c r="NQK146" s="22"/>
      <c r="NQL146" s="22"/>
      <c r="NQM146" s="22"/>
      <c r="NQN146" s="22"/>
      <c r="NQO146" s="22"/>
      <c r="NQP146" s="22"/>
      <c r="NQQ146" s="22"/>
      <c r="NQR146" s="22"/>
      <c r="NQS146" s="22"/>
      <c r="NQT146" s="22"/>
      <c r="NQU146" s="22"/>
      <c r="NQV146" s="22"/>
      <c r="NQW146" s="22"/>
      <c r="NQX146" s="22"/>
      <c r="NQY146" s="22"/>
      <c r="NQZ146" s="22"/>
      <c r="NRA146" s="22"/>
      <c r="NRB146" s="22"/>
      <c r="NRC146" s="22"/>
      <c r="NRD146" s="22"/>
      <c r="NRE146" s="22"/>
      <c r="NRF146" s="22"/>
      <c r="NRG146" s="22"/>
      <c r="NRH146" s="22"/>
      <c r="NRI146" s="22"/>
      <c r="NRJ146" s="22"/>
      <c r="NRK146" s="22"/>
      <c r="NRL146" s="22"/>
      <c r="NRM146" s="22"/>
      <c r="NRN146" s="22"/>
      <c r="NRO146" s="22"/>
      <c r="NRP146" s="22"/>
      <c r="NRQ146" s="22"/>
      <c r="NRR146" s="22"/>
      <c r="NRS146" s="22"/>
      <c r="NRT146" s="22"/>
      <c r="NRU146" s="22"/>
      <c r="NRV146" s="22"/>
      <c r="NRW146" s="22"/>
      <c r="NRX146" s="22"/>
      <c r="NRY146" s="22"/>
      <c r="NRZ146" s="22"/>
      <c r="NSA146" s="22"/>
      <c r="NSB146" s="22"/>
      <c r="NSC146" s="22"/>
      <c r="NSD146" s="22"/>
      <c r="NSE146" s="22"/>
      <c r="NSF146" s="22"/>
      <c r="NSG146" s="22"/>
      <c r="NSH146" s="22"/>
      <c r="NSI146" s="22"/>
      <c r="NSJ146" s="22"/>
      <c r="NSK146" s="22"/>
      <c r="NSL146" s="22"/>
      <c r="NSM146" s="22"/>
      <c r="NSN146" s="22"/>
      <c r="NSO146" s="22"/>
      <c r="NSP146" s="22"/>
      <c r="NSQ146" s="22"/>
      <c r="NSR146" s="22"/>
      <c r="NSS146" s="22"/>
      <c r="NST146" s="22"/>
      <c r="NSU146" s="22"/>
      <c r="NSV146" s="22"/>
      <c r="NSW146" s="22"/>
      <c r="NSX146" s="22"/>
      <c r="NSY146" s="22"/>
      <c r="NSZ146" s="22"/>
      <c r="NTA146" s="22"/>
      <c r="NTB146" s="22"/>
      <c r="NTC146" s="22"/>
      <c r="NTD146" s="22"/>
      <c r="NTE146" s="22"/>
      <c r="NTF146" s="22"/>
      <c r="NTG146" s="22"/>
      <c r="NTH146" s="22"/>
      <c r="NTI146" s="22"/>
      <c r="NTJ146" s="22"/>
      <c r="NTK146" s="22"/>
      <c r="NTL146" s="22"/>
      <c r="NTM146" s="22"/>
      <c r="NTN146" s="22"/>
      <c r="NTO146" s="22"/>
      <c r="NTP146" s="22"/>
      <c r="NTQ146" s="22"/>
      <c r="NTR146" s="22"/>
      <c r="NTS146" s="22"/>
      <c r="NTT146" s="22"/>
      <c r="NTU146" s="22"/>
      <c r="NTV146" s="22"/>
      <c r="NTW146" s="22"/>
      <c r="NTX146" s="22"/>
      <c r="NTY146" s="22"/>
      <c r="NTZ146" s="22"/>
      <c r="NUA146" s="22"/>
      <c r="NUB146" s="22"/>
      <c r="NUC146" s="22"/>
      <c r="NUD146" s="22"/>
      <c r="NUE146" s="22"/>
      <c r="NUF146" s="22"/>
      <c r="NUG146" s="22"/>
      <c r="NUH146" s="22"/>
      <c r="NUI146" s="22"/>
      <c r="NUJ146" s="22"/>
      <c r="NUK146" s="22"/>
      <c r="NUL146" s="22"/>
      <c r="NUM146" s="22"/>
      <c r="NUN146" s="22"/>
      <c r="NUO146" s="22"/>
      <c r="NUP146" s="22"/>
      <c r="NUQ146" s="22"/>
      <c r="NUR146" s="22"/>
      <c r="NUS146" s="22"/>
      <c r="NUT146" s="22"/>
      <c r="NUU146" s="22"/>
      <c r="NUV146" s="22"/>
      <c r="NUW146" s="22"/>
      <c r="NUX146" s="22"/>
      <c r="NUY146" s="22"/>
      <c r="NUZ146" s="22"/>
      <c r="NVA146" s="22"/>
      <c r="NVB146" s="22"/>
      <c r="NVC146" s="22"/>
      <c r="NVD146" s="22"/>
      <c r="NVE146" s="22"/>
      <c r="NVF146" s="22"/>
      <c r="NVG146" s="22"/>
      <c r="NVH146" s="22"/>
      <c r="NVI146" s="22"/>
      <c r="NVJ146" s="22"/>
      <c r="NVK146" s="22"/>
      <c r="NVL146" s="22"/>
      <c r="NVM146" s="22"/>
      <c r="NVN146" s="22"/>
      <c r="NVO146" s="22"/>
      <c r="NVP146" s="22"/>
      <c r="NVQ146" s="22"/>
      <c r="NVR146" s="22"/>
      <c r="NVS146" s="22"/>
      <c r="NVT146" s="22"/>
      <c r="NVU146" s="22"/>
      <c r="NVV146" s="22"/>
      <c r="NVW146" s="22"/>
      <c r="NVX146" s="22"/>
      <c r="NVY146" s="22"/>
      <c r="NVZ146" s="22"/>
      <c r="NWA146" s="22"/>
      <c r="NWB146" s="22"/>
      <c r="NWC146" s="22"/>
      <c r="NWD146" s="22"/>
      <c r="NWE146" s="22"/>
      <c r="NWF146" s="22"/>
      <c r="NWG146" s="22"/>
      <c r="NWH146" s="22"/>
      <c r="NWI146" s="22"/>
      <c r="NWJ146" s="22"/>
      <c r="NWK146" s="22"/>
      <c r="NWL146" s="22"/>
      <c r="NWM146" s="22"/>
      <c r="NWN146" s="22"/>
      <c r="NWO146" s="22"/>
      <c r="NWP146" s="22"/>
      <c r="NWQ146" s="22"/>
      <c r="NWR146" s="22"/>
      <c r="NWS146" s="22"/>
      <c r="NWT146" s="22"/>
      <c r="NWU146" s="22"/>
      <c r="NWV146" s="22"/>
      <c r="NWW146" s="22"/>
      <c r="NWX146" s="22"/>
      <c r="NWY146" s="22"/>
      <c r="NWZ146" s="22"/>
      <c r="NXA146" s="22"/>
      <c r="NXB146" s="22"/>
      <c r="NXC146" s="22"/>
      <c r="NXD146" s="22"/>
      <c r="NXE146" s="22"/>
      <c r="NXF146" s="22"/>
      <c r="NXG146" s="22"/>
      <c r="NXH146" s="22"/>
      <c r="NXI146" s="22"/>
      <c r="NXJ146" s="22"/>
      <c r="NXK146" s="22"/>
      <c r="NXL146" s="22"/>
      <c r="NXM146" s="22"/>
      <c r="NXN146" s="22"/>
      <c r="NXO146" s="22"/>
      <c r="NXP146" s="22"/>
      <c r="NXQ146" s="22"/>
      <c r="NXR146" s="22"/>
      <c r="NXS146" s="22"/>
      <c r="NXT146" s="22"/>
      <c r="NXU146" s="22"/>
      <c r="NXV146" s="22"/>
      <c r="NXW146" s="22"/>
      <c r="NXX146" s="22"/>
      <c r="NXY146" s="22"/>
      <c r="NXZ146" s="22"/>
      <c r="NYA146" s="22"/>
      <c r="NYB146" s="22"/>
      <c r="NYC146" s="22"/>
      <c r="NYD146" s="22"/>
      <c r="NYE146" s="22"/>
      <c r="NYF146" s="22"/>
      <c r="NYG146" s="22"/>
      <c r="NYH146" s="22"/>
      <c r="NYI146" s="22"/>
      <c r="NYJ146" s="22"/>
      <c r="NYK146" s="22"/>
      <c r="NYL146" s="22"/>
      <c r="NYM146" s="22"/>
      <c r="NYN146" s="22"/>
      <c r="NYO146" s="22"/>
      <c r="NYP146" s="22"/>
      <c r="NYQ146" s="22"/>
      <c r="NYR146" s="22"/>
      <c r="NYS146" s="22"/>
      <c r="NYT146" s="22"/>
      <c r="NYU146" s="22"/>
      <c r="NYV146" s="22"/>
      <c r="NYW146" s="22"/>
      <c r="NYX146" s="22"/>
      <c r="NYY146" s="22"/>
      <c r="NYZ146" s="22"/>
      <c r="NZA146" s="22"/>
      <c r="NZB146" s="22"/>
      <c r="NZC146" s="22"/>
      <c r="NZD146" s="22"/>
      <c r="NZE146" s="22"/>
      <c r="NZF146" s="22"/>
      <c r="NZG146" s="22"/>
      <c r="NZH146" s="22"/>
      <c r="NZI146" s="22"/>
      <c r="NZJ146" s="22"/>
      <c r="NZK146" s="22"/>
      <c r="NZL146" s="22"/>
      <c r="NZM146" s="22"/>
      <c r="NZN146" s="22"/>
      <c r="NZO146" s="22"/>
      <c r="NZP146" s="22"/>
      <c r="NZQ146" s="22"/>
      <c r="NZR146" s="22"/>
      <c r="NZS146" s="22"/>
      <c r="NZT146" s="22"/>
      <c r="NZU146" s="22"/>
      <c r="NZV146" s="22"/>
      <c r="NZW146" s="22"/>
      <c r="NZX146" s="22"/>
      <c r="NZY146" s="22"/>
      <c r="NZZ146" s="22"/>
      <c r="OAA146" s="22"/>
      <c r="OAB146" s="22"/>
      <c r="OAC146" s="22"/>
      <c r="OAD146" s="22"/>
      <c r="OAE146" s="22"/>
      <c r="OAF146" s="22"/>
      <c r="OAG146" s="22"/>
      <c r="OAH146" s="22"/>
      <c r="OAI146" s="22"/>
      <c r="OAJ146" s="22"/>
      <c r="OAK146" s="22"/>
      <c r="OAL146" s="22"/>
      <c r="OAM146" s="22"/>
      <c r="OAN146" s="22"/>
      <c r="OAO146" s="22"/>
      <c r="OAP146" s="22"/>
      <c r="OAQ146" s="22"/>
      <c r="OAR146" s="22"/>
      <c r="OAS146" s="22"/>
      <c r="OAT146" s="22"/>
      <c r="OAU146" s="22"/>
      <c r="OAV146" s="22"/>
      <c r="OAW146" s="22"/>
      <c r="OAX146" s="22"/>
      <c r="OAY146" s="22"/>
      <c r="OAZ146" s="22"/>
      <c r="OBA146" s="22"/>
      <c r="OBB146" s="22"/>
      <c r="OBC146" s="22"/>
      <c r="OBD146" s="22"/>
      <c r="OBE146" s="22"/>
      <c r="OBF146" s="22"/>
      <c r="OBG146" s="22"/>
      <c r="OBH146" s="22"/>
      <c r="OBI146" s="22"/>
      <c r="OBJ146" s="22"/>
      <c r="OBK146" s="22"/>
      <c r="OBL146" s="22"/>
      <c r="OBM146" s="22"/>
      <c r="OBN146" s="22"/>
      <c r="OBO146" s="22"/>
      <c r="OBP146" s="22"/>
      <c r="OBQ146" s="22"/>
      <c r="OBR146" s="22"/>
      <c r="OBS146" s="22"/>
      <c r="OBT146" s="22"/>
      <c r="OBU146" s="22"/>
      <c r="OBV146" s="22"/>
      <c r="OBW146" s="22"/>
      <c r="OBX146" s="22"/>
      <c r="OBY146" s="22"/>
      <c r="OBZ146" s="22"/>
      <c r="OCA146" s="22"/>
      <c r="OCB146" s="22"/>
      <c r="OCC146" s="22"/>
      <c r="OCD146" s="22"/>
      <c r="OCE146" s="22"/>
      <c r="OCF146" s="22"/>
      <c r="OCG146" s="22"/>
      <c r="OCH146" s="22"/>
      <c r="OCI146" s="22"/>
      <c r="OCJ146" s="22"/>
      <c r="OCK146" s="22"/>
      <c r="OCL146" s="22"/>
      <c r="OCM146" s="22"/>
      <c r="OCN146" s="22"/>
      <c r="OCO146" s="22"/>
      <c r="OCP146" s="22"/>
      <c r="OCQ146" s="22"/>
      <c r="OCR146" s="22"/>
      <c r="OCS146" s="22"/>
      <c r="OCT146" s="22"/>
      <c r="OCU146" s="22"/>
      <c r="OCV146" s="22"/>
      <c r="OCW146" s="22"/>
      <c r="OCX146" s="22"/>
      <c r="OCY146" s="22"/>
      <c r="OCZ146" s="22"/>
      <c r="ODA146" s="22"/>
      <c r="ODB146" s="22"/>
      <c r="ODC146" s="22"/>
      <c r="ODD146" s="22"/>
      <c r="ODE146" s="22"/>
      <c r="ODF146" s="22"/>
      <c r="ODG146" s="22"/>
      <c r="ODH146" s="22"/>
      <c r="ODI146" s="22"/>
      <c r="ODJ146" s="22"/>
      <c r="ODK146" s="22"/>
      <c r="ODL146" s="22"/>
      <c r="ODM146" s="22"/>
      <c r="ODN146" s="22"/>
      <c r="ODO146" s="22"/>
      <c r="ODP146" s="22"/>
      <c r="ODQ146" s="22"/>
      <c r="ODR146" s="22"/>
      <c r="ODS146" s="22"/>
      <c r="ODT146" s="22"/>
      <c r="ODU146" s="22"/>
      <c r="ODV146" s="22"/>
      <c r="ODW146" s="22"/>
      <c r="ODX146" s="22"/>
      <c r="ODY146" s="22"/>
      <c r="ODZ146" s="22"/>
      <c r="OEA146" s="22"/>
      <c r="OEB146" s="22"/>
      <c r="OEC146" s="22"/>
      <c r="OED146" s="22"/>
      <c r="OEE146" s="22"/>
      <c r="OEF146" s="22"/>
      <c r="OEG146" s="22"/>
      <c r="OEH146" s="22"/>
      <c r="OEI146" s="22"/>
      <c r="OEJ146" s="22"/>
      <c r="OEK146" s="22"/>
      <c r="OEL146" s="22"/>
      <c r="OEM146" s="22"/>
      <c r="OEN146" s="22"/>
      <c r="OEO146" s="22"/>
      <c r="OEP146" s="22"/>
      <c r="OEQ146" s="22"/>
      <c r="OER146" s="22"/>
      <c r="OES146" s="22"/>
      <c r="OET146" s="22"/>
      <c r="OEU146" s="22"/>
      <c r="OEV146" s="22"/>
      <c r="OEW146" s="22"/>
      <c r="OEX146" s="22"/>
      <c r="OEY146" s="22"/>
      <c r="OEZ146" s="22"/>
      <c r="OFA146" s="22"/>
      <c r="OFB146" s="22"/>
      <c r="OFC146" s="22"/>
      <c r="OFD146" s="22"/>
      <c r="OFE146" s="22"/>
      <c r="OFF146" s="22"/>
      <c r="OFG146" s="22"/>
      <c r="OFH146" s="22"/>
      <c r="OFI146" s="22"/>
      <c r="OFJ146" s="22"/>
      <c r="OFK146" s="22"/>
      <c r="OFL146" s="22"/>
      <c r="OFM146" s="22"/>
      <c r="OFN146" s="22"/>
      <c r="OFO146" s="22"/>
      <c r="OFP146" s="22"/>
      <c r="OFQ146" s="22"/>
      <c r="OFR146" s="22"/>
      <c r="OFS146" s="22"/>
      <c r="OFT146" s="22"/>
      <c r="OFU146" s="22"/>
      <c r="OFV146" s="22"/>
      <c r="OFW146" s="22"/>
      <c r="OFX146" s="22"/>
      <c r="OFY146" s="22"/>
      <c r="OFZ146" s="22"/>
      <c r="OGA146" s="22"/>
      <c r="OGB146" s="22"/>
      <c r="OGC146" s="22"/>
      <c r="OGD146" s="22"/>
      <c r="OGE146" s="22"/>
      <c r="OGF146" s="22"/>
      <c r="OGG146" s="22"/>
      <c r="OGH146" s="22"/>
      <c r="OGI146" s="22"/>
      <c r="OGJ146" s="22"/>
      <c r="OGK146" s="22"/>
      <c r="OGL146" s="22"/>
      <c r="OGM146" s="22"/>
      <c r="OGN146" s="22"/>
      <c r="OGO146" s="22"/>
      <c r="OGP146" s="22"/>
      <c r="OGQ146" s="22"/>
      <c r="OGR146" s="22"/>
      <c r="OGS146" s="22"/>
      <c r="OGT146" s="22"/>
      <c r="OGU146" s="22"/>
      <c r="OGV146" s="22"/>
      <c r="OGW146" s="22"/>
      <c r="OGX146" s="22"/>
      <c r="OGY146" s="22"/>
      <c r="OGZ146" s="22"/>
      <c r="OHA146" s="22"/>
      <c r="OHB146" s="22"/>
      <c r="OHC146" s="22"/>
      <c r="OHD146" s="22"/>
      <c r="OHE146" s="22"/>
      <c r="OHF146" s="22"/>
      <c r="OHG146" s="22"/>
      <c r="OHH146" s="22"/>
      <c r="OHI146" s="22"/>
      <c r="OHJ146" s="22"/>
      <c r="OHK146" s="22"/>
      <c r="OHL146" s="22"/>
      <c r="OHM146" s="22"/>
      <c r="OHN146" s="22"/>
      <c r="OHO146" s="22"/>
      <c r="OHP146" s="22"/>
      <c r="OHQ146" s="22"/>
      <c r="OHR146" s="22"/>
      <c r="OHS146" s="22"/>
      <c r="OHT146" s="22"/>
      <c r="OHU146" s="22"/>
      <c r="OHV146" s="22"/>
      <c r="OHW146" s="22"/>
      <c r="OHX146" s="22"/>
      <c r="OHY146" s="22"/>
      <c r="OHZ146" s="22"/>
      <c r="OIA146" s="22"/>
      <c r="OIB146" s="22"/>
      <c r="OIC146" s="22"/>
      <c r="OID146" s="22"/>
      <c r="OIE146" s="22"/>
      <c r="OIF146" s="22"/>
      <c r="OIG146" s="22"/>
      <c r="OIH146" s="22"/>
      <c r="OII146" s="22"/>
      <c r="OIJ146" s="22"/>
      <c r="OIK146" s="22"/>
      <c r="OIL146" s="22"/>
      <c r="OIM146" s="22"/>
      <c r="OIN146" s="22"/>
      <c r="OIO146" s="22"/>
      <c r="OIP146" s="22"/>
      <c r="OIQ146" s="22"/>
      <c r="OIR146" s="22"/>
      <c r="OIS146" s="22"/>
      <c r="OIT146" s="22"/>
      <c r="OIU146" s="22"/>
      <c r="OIV146" s="22"/>
      <c r="OIW146" s="22"/>
      <c r="OIX146" s="22"/>
      <c r="OIY146" s="22"/>
      <c r="OIZ146" s="22"/>
      <c r="OJA146" s="22"/>
      <c r="OJB146" s="22"/>
      <c r="OJC146" s="22"/>
      <c r="OJD146" s="22"/>
      <c r="OJE146" s="22"/>
      <c r="OJF146" s="22"/>
      <c r="OJG146" s="22"/>
      <c r="OJH146" s="22"/>
      <c r="OJI146" s="22"/>
      <c r="OJJ146" s="22"/>
      <c r="OJK146" s="22"/>
      <c r="OJL146" s="22"/>
      <c r="OJM146" s="22"/>
      <c r="OJN146" s="22"/>
      <c r="OJO146" s="22"/>
      <c r="OJP146" s="22"/>
      <c r="OJQ146" s="22"/>
      <c r="OJR146" s="22"/>
      <c r="OJS146" s="22"/>
      <c r="OJT146" s="22"/>
      <c r="OJU146" s="22"/>
      <c r="OJV146" s="22"/>
      <c r="OJW146" s="22"/>
      <c r="OJX146" s="22"/>
      <c r="OJY146" s="22"/>
      <c r="OJZ146" s="22"/>
      <c r="OKA146" s="22"/>
      <c r="OKB146" s="22"/>
      <c r="OKC146" s="22"/>
      <c r="OKD146" s="22"/>
      <c r="OKE146" s="22"/>
      <c r="OKF146" s="22"/>
      <c r="OKG146" s="22"/>
      <c r="OKH146" s="22"/>
      <c r="OKI146" s="22"/>
      <c r="OKJ146" s="22"/>
      <c r="OKK146" s="22"/>
      <c r="OKL146" s="22"/>
      <c r="OKM146" s="22"/>
      <c r="OKN146" s="22"/>
      <c r="OKO146" s="22"/>
      <c r="OKP146" s="22"/>
      <c r="OKQ146" s="22"/>
      <c r="OKR146" s="22"/>
      <c r="OKS146" s="22"/>
      <c r="OKT146" s="22"/>
      <c r="OKU146" s="22"/>
      <c r="OKV146" s="22"/>
      <c r="OKW146" s="22"/>
      <c r="OKX146" s="22"/>
      <c r="OKY146" s="22"/>
      <c r="OKZ146" s="22"/>
      <c r="OLA146" s="22"/>
      <c r="OLB146" s="22"/>
      <c r="OLC146" s="22"/>
      <c r="OLD146" s="22"/>
      <c r="OLE146" s="22"/>
      <c r="OLF146" s="22"/>
      <c r="OLG146" s="22"/>
      <c r="OLH146" s="22"/>
      <c r="OLI146" s="22"/>
      <c r="OLJ146" s="22"/>
      <c r="OLK146" s="22"/>
      <c r="OLL146" s="22"/>
      <c r="OLM146" s="22"/>
      <c r="OLN146" s="22"/>
      <c r="OLO146" s="22"/>
      <c r="OLP146" s="22"/>
      <c r="OLQ146" s="22"/>
      <c r="OLR146" s="22"/>
      <c r="OLS146" s="22"/>
      <c r="OLT146" s="22"/>
      <c r="OLU146" s="22"/>
      <c r="OLV146" s="22"/>
      <c r="OLW146" s="22"/>
      <c r="OLX146" s="22"/>
      <c r="OLY146" s="22"/>
      <c r="OLZ146" s="22"/>
      <c r="OMA146" s="22"/>
      <c r="OMB146" s="22"/>
      <c r="OMC146" s="22"/>
      <c r="OMD146" s="22"/>
      <c r="OME146" s="22"/>
      <c r="OMF146" s="22"/>
      <c r="OMG146" s="22"/>
      <c r="OMH146" s="22"/>
      <c r="OMI146" s="22"/>
      <c r="OMJ146" s="22"/>
      <c r="OMK146" s="22"/>
      <c r="OML146" s="22"/>
      <c r="OMM146" s="22"/>
      <c r="OMN146" s="22"/>
      <c r="OMO146" s="22"/>
      <c r="OMP146" s="22"/>
      <c r="OMQ146" s="22"/>
      <c r="OMR146" s="22"/>
      <c r="OMS146" s="22"/>
      <c r="OMT146" s="22"/>
      <c r="OMU146" s="22"/>
      <c r="OMV146" s="22"/>
      <c r="OMW146" s="22"/>
      <c r="OMX146" s="22"/>
      <c r="OMY146" s="22"/>
      <c r="OMZ146" s="22"/>
      <c r="ONA146" s="22"/>
      <c r="ONB146" s="22"/>
      <c r="ONC146" s="22"/>
      <c r="OND146" s="22"/>
      <c r="ONE146" s="22"/>
      <c r="ONF146" s="22"/>
      <c r="ONG146" s="22"/>
      <c r="ONH146" s="22"/>
      <c r="ONI146" s="22"/>
      <c r="ONJ146" s="22"/>
      <c r="ONK146" s="22"/>
      <c r="ONL146" s="22"/>
      <c r="ONM146" s="22"/>
      <c r="ONN146" s="22"/>
      <c r="ONO146" s="22"/>
      <c r="ONP146" s="22"/>
      <c r="ONQ146" s="22"/>
      <c r="ONR146" s="22"/>
      <c r="ONS146" s="22"/>
      <c r="ONT146" s="22"/>
      <c r="ONU146" s="22"/>
      <c r="ONV146" s="22"/>
      <c r="ONW146" s="22"/>
      <c r="ONX146" s="22"/>
      <c r="ONY146" s="22"/>
      <c r="ONZ146" s="22"/>
      <c r="OOA146" s="22"/>
      <c r="OOB146" s="22"/>
      <c r="OOC146" s="22"/>
      <c r="OOD146" s="22"/>
      <c r="OOE146" s="22"/>
      <c r="OOF146" s="22"/>
      <c r="OOG146" s="22"/>
      <c r="OOH146" s="22"/>
      <c r="OOI146" s="22"/>
      <c r="OOJ146" s="22"/>
      <c r="OOK146" s="22"/>
      <c r="OOL146" s="22"/>
      <c r="OOM146" s="22"/>
      <c r="OON146" s="22"/>
      <c r="OOO146" s="22"/>
      <c r="OOP146" s="22"/>
      <c r="OOQ146" s="22"/>
      <c r="OOR146" s="22"/>
      <c r="OOS146" s="22"/>
      <c r="OOT146" s="22"/>
      <c r="OOU146" s="22"/>
      <c r="OOV146" s="22"/>
      <c r="OOW146" s="22"/>
      <c r="OOX146" s="22"/>
      <c r="OOY146" s="22"/>
      <c r="OOZ146" s="22"/>
      <c r="OPA146" s="22"/>
      <c r="OPB146" s="22"/>
      <c r="OPC146" s="22"/>
      <c r="OPD146" s="22"/>
      <c r="OPE146" s="22"/>
      <c r="OPF146" s="22"/>
      <c r="OPG146" s="22"/>
      <c r="OPH146" s="22"/>
      <c r="OPI146" s="22"/>
      <c r="OPJ146" s="22"/>
      <c r="OPK146" s="22"/>
      <c r="OPL146" s="22"/>
      <c r="OPM146" s="22"/>
      <c r="OPN146" s="22"/>
      <c r="OPO146" s="22"/>
      <c r="OPP146" s="22"/>
      <c r="OPQ146" s="22"/>
      <c r="OPR146" s="22"/>
      <c r="OPS146" s="22"/>
      <c r="OPT146" s="22"/>
      <c r="OPU146" s="22"/>
      <c r="OPV146" s="22"/>
      <c r="OPW146" s="22"/>
      <c r="OPX146" s="22"/>
      <c r="OPY146" s="22"/>
      <c r="OPZ146" s="22"/>
      <c r="OQA146" s="22"/>
      <c r="OQB146" s="22"/>
      <c r="OQC146" s="22"/>
      <c r="OQD146" s="22"/>
      <c r="OQE146" s="22"/>
      <c r="OQF146" s="22"/>
      <c r="OQG146" s="22"/>
      <c r="OQH146" s="22"/>
      <c r="OQI146" s="22"/>
      <c r="OQJ146" s="22"/>
      <c r="OQK146" s="22"/>
      <c r="OQL146" s="22"/>
      <c r="OQM146" s="22"/>
      <c r="OQN146" s="22"/>
      <c r="OQO146" s="22"/>
      <c r="OQP146" s="22"/>
      <c r="OQQ146" s="22"/>
      <c r="OQR146" s="22"/>
      <c r="OQS146" s="22"/>
      <c r="OQT146" s="22"/>
      <c r="OQU146" s="22"/>
      <c r="OQV146" s="22"/>
      <c r="OQW146" s="22"/>
      <c r="OQX146" s="22"/>
      <c r="OQY146" s="22"/>
      <c r="OQZ146" s="22"/>
      <c r="ORA146" s="22"/>
      <c r="ORB146" s="22"/>
      <c r="ORC146" s="22"/>
      <c r="ORD146" s="22"/>
      <c r="ORE146" s="22"/>
      <c r="ORF146" s="22"/>
      <c r="ORG146" s="22"/>
      <c r="ORH146" s="22"/>
      <c r="ORI146" s="22"/>
      <c r="ORJ146" s="22"/>
      <c r="ORK146" s="22"/>
      <c r="ORL146" s="22"/>
      <c r="ORM146" s="22"/>
      <c r="ORN146" s="22"/>
      <c r="ORO146" s="22"/>
      <c r="ORP146" s="22"/>
      <c r="ORQ146" s="22"/>
      <c r="ORR146" s="22"/>
      <c r="ORS146" s="22"/>
      <c r="ORT146" s="22"/>
      <c r="ORU146" s="22"/>
      <c r="ORV146" s="22"/>
      <c r="ORW146" s="22"/>
      <c r="ORX146" s="22"/>
      <c r="ORY146" s="22"/>
      <c r="ORZ146" s="22"/>
      <c r="OSA146" s="22"/>
      <c r="OSB146" s="22"/>
      <c r="OSC146" s="22"/>
      <c r="OSD146" s="22"/>
      <c r="OSE146" s="22"/>
      <c r="OSF146" s="22"/>
      <c r="OSG146" s="22"/>
      <c r="OSH146" s="22"/>
      <c r="OSI146" s="22"/>
      <c r="OSJ146" s="22"/>
      <c r="OSK146" s="22"/>
      <c r="OSL146" s="22"/>
      <c r="OSM146" s="22"/>
      <c r="OSN146" s="22"/>
      <c r="OSO146" s="22"/>
      <c r="OSP146" s="22"/>
      <c r="OSQ146" s="22"/>
      <c r="OSR146" s="22"/>
      <c r="OSS146" s="22"/>
      <c r="OST146" s="22"/>
      <c r="OSU146" s="22"/>
      <c r="OSV146" s="22"/>
      <c r="OSW146" s="22"/>
      <c r="OSX146" s="22"/>
      <c r="OSY146" s="22"/>
      <c r="OSZ146" s="22"/>
      <c r="OTA146" s="22"/>
      <c r="OTB146" s="22"/>
      <c r="OTC146" s="22"/>
      <c r="OTD146" s="22"/>
      <c r="OTE146" s="22"/>
      <c r="OTF146" s="22"/>
      <c r="OTG146" s="22"/>
      <c r="OTH146" s="22"/>
      <c r="OTI146" s="22"/>
      <c r="OTJ146" s="22"/>
      <c r="OTK146" s="22"/>
      <c r="OTL146" s="22"/>
      <c r="OTM146" s="22"/>
      <c r="OTN146" s="22"/>
      <c r="OTO146" s="22"/>
      <c r="OTP146" s="22"/>
      <c r="OTQ146" s="22"/>
      <c r="OTR146" s="22"/>
      <c r="OTS146" s="22"/>
      <c r="OTT146" s="22"/>
      <c r="OTU146" s="22"/>
      <c r="OTV146" s="22"/>
      <c r="OTW146" s="22"/>
      <c r="OTX146" s="22"/>
      <c r="OTY146" s="22"/>
      <c r="OTZ146" s="22"/>
      <c r="OUA146" s="22"/>
      <c r="OUB146" s="22"/>
      <c r="OUC146" s="22"/>
      <c r="OUD146" s="22"/>
      <c r="OUE146" s="22"/>
      <c r="OUF146" s="22"/>
      <c r="OUG146" s="22"/>
      <c r="OUH146" s="22"/>
      <c r="OUI146" s="22"/>
      <c r="OUJ146" s="22"/>
      <c r="OUK146" s="22"/>
      <c r="OUL146" s="22"/>
      <c r="OUM146" s="22"/>
      <c r="OUN146" s="22"/>
      <c r="OUO146" s="22"/>
      <c r="OUP146" s="22"/>
      <c r="OUQ146" s="22"/>
      <c r="OUR146" s="22"/>
      <c r="OUS146" s="22"/>
      <c r="OUT146" s="22"/>
      <c r="OUU146" s="22"/>
      <c r="OUV146" s="22"/>
      <c r="OUW146" s="22"/>
      <c r="OUX146" s="22"/>
      <c r="OUY146" s="22"/>
      <c r="OUZ146" s="22"/>
      <c r="OVA146" s="22"/>
      <c r="OVB146" s="22"/>
      <c r="OVC146" s="22"/>
      <c r="OVD146" s="22"/>
      <c r="OVE146" s="22"/>
      <c r="OVF146" s="22"/>
      <c r="OVG146" s="22"/>
      <c r="OVH146" s="22"/>
      <c r="OVI146" s="22"/>
      <c r="OVJ146" s="22"/>
      <c r="OVK146" s="22"/>
      <c r="OVL146" s="22"/>
      <c r="OVM146" s="22"/>
      <c r="OVN146" s="22"/>
      <c r="OVO146" s="22"/>
      <c r="OVP146" s="22"/>
      <c r="OVQ146" s="22"/>
      <c r="OVR146" s="22"/>
      <c r="OVS146" s="22"/>
      <c r="OVT146" s="22"/>
      <c r="OVU146" s="22"/>
      <c r="OVV146" s="22"/>
      <c r="OVW146" s="22"/>
      <c r="OVX146" s="22"/>
      <c r="OVY146" s="22"/>
      <c r="OVZ146" s="22"/>
      <c r="OWA146" s="22"/>
      <c r="OWB146" s="22"/>
      <c r="OWC146" s="22"/>
      <c r="OWD146" s="22"/>
      <c r="OWE146" s="22"/>
      <c r="OWF146" s="22"/>
      <c r="OWG146" s="22"/>
      <c r="OWH146" s="22"/>
      <c r="OWI146" s="22"/>
      <c r="OWJ146" s="22"/>
      <c r="OWK146" s="22"/>
      <c r="OWL146" s="22"/>
      <c r="OWM146" s="22"/>
      <c r="OWN146" s="22"/>
      <c r="OWO146" s="22"/>
      <c r="OWP146" s="22"/>
      <c r="OWQ146" s="22"/>
      <c r="OWR146" s="22"/>
      <c r="OWS146" s="22"/>
      <c r="OWT146" s="22"/>
      <c r="OWU146" s="22"/>
      <c r="OWV146" s="22"/>
      <c r="OWW146" s="22"/>
      <c r="OWX146" s="22"/>
      <c r="OWY146" s="22"/>
      <c r="OWZ146" s="22"/>
      <c r="OXA146" s="22"/>
      <c r="OXB146" s="22"/>
      <c r="OXC146" s="22"/>
      <c r="OXD146" s="22"/>
      <c r="OXE146" s="22"/>
      <c r="OXF146" s="22"/>
      <c r="OXG146" s="22"/>
      <c r="OXH146" s="22"/>
      <c r="OXI146" s="22"/>
      <c r="OXJ146" s="22"/>
      <c r="OXK146" s="22"/>
      <c r="OXL146" s="22"/>
      <c r="OXM146" s="22"/>
      <c r="OXN146" s="22"/>
      <c r="OXO146" s="22"/>
      <c r="OXP146" s="22"/>
      <c r="OXQ146" s="22"/>
      <c r="OXR146" s="22"/>
      <c r="OXS146" s="22"/>
      <c r="OXT146" s="22"/>
      <c r="OXU146" s="22"/>
      <c r="OXV146" s="22"/>
      <c r="OXW146" s="22"/>
      <c r="OXX146" s="22"/>
      <c r="OXY146" s="22"/>
      <c r="OXZ146" s="22"/>
      <c r="OYA146" s="22"/>
      <c r="OYB146" s="22"/>
      <c r="OYC146" s="22"/>
      <c r="OYD146" s="22"/>
      <c r="OYE146" s="22"/>
      <c r="OYF146" s="22"/>
      <c r="OYG146" s="22"/>
      <c r="OYH146" s="22"/>
      <c r="OYI146" s="22"/>
      <c r="OYJ146" s="22"/>
      <c r="OYK146" s="22"/>
      <c r="OYL146" s="22"/>
      <c r="OYM146" s="22"/>
      <c r="OYN146" s="22"/>
      <c r="OYO146" s="22"/>
      <c r="OYP146" s="22"/>
      <c r="OYQ146" s="22"/>
      <c r="OYR146" s="22"/>
      <c r="OYS146" s="22"/>
      <c r="OYT146" s="22"/>
      <c r="OYU146" s="22"/>
      <c r="OYV146" s="22"/>
      <c r="OYW146" s="22"/>
      <c r="OYX146" s="22"/>
      <c r="OYY146" s="22"/>
      <c r="OYZ146" s="22"/>
      <c r="OZA146" s="22"/>
      <c r="OZB146" s="22"/>
      <c r="OZC146" s="22"/>
      <c r="OZD146" s="22"/>
      <c r="OZE146" s="22"/>
      <c r="OZF146" s="22"/>
      <c r="OZG146" s="22"/>
      <c r="OZH146" s="22"/>
      <c r="OZI146" s="22"/>
      <c r="OZJ146" s="22"/>
      <c r="OZK146" s="22"/>
      <c r="OZL146" s="22"/>
      <c r="OZM146" s="22"/>
      <c r="OZN146" s="22"/>
      <c r="OZO146" s="22"/>
      <c r="OZP146" s="22"/>
      <c r="OZQ146" s="22"/>
      <c r="OZR146" s="22"/>
      <c r="OZS146" s="22"/>
      <c r="OZT146" s="22"/>
      <c r="OZU146" s="22"/>
      <c r="OZV146" s="22"/>
      <c r="OZW146" s="22"/>
      <c r="OZX146" s="22"/>
      <c r="OZY146" s="22"/>
      <c r="OZZ146" s="22"/>
      <c r="PAA146" s="22"/>
      <c r="PAB146" s="22"/>
      <c r="PAC146" s="22"/>
      <c r="PAD146" s="22"/>
      <c r="PAE146" s="22"/>
      <c r="PAF146" s="22"/>
      <c r="PAG146" s="22"/>
      <c r="PAH146" s="22"/>
      <c r="PAI146" s="22"/>
      <c r="PAJ146" s="22"/>
      <c r="PAK146" s="22"/>
      <c r="PAL146" s="22"/>
      <c r="PAM146" s="22"/>
      <c r="PAN146" s="22"/>
      <c r="PAO146" s="22"/>
      <c r="PAP146" s="22"/>
      <c r="PAQ146" s="22"/>
      <c r="PAR146" s="22"/>
      <c r="PAS146" s="22"/>
      <c r="PAT146" s="22"/>
      <c r="PAU146" s="22"/>
      <c r="PAV146" s="22"/>
      <c r="PAW146" s="22"/>
      <c r="PAX146" s="22"/>
      <c r="PAY146" s="22"/>
      <c r="PAZ146" s="22"/>
      <c r="PBA146" s="22"/>
      <c r="PBB146" s="22"/>
      <c r="PBC146" s="22"/>
      <c r="PBD146" s="22"/>
      <c r="PBE146" s="22"/>
      <c r="PBF146" s="22"/>
      <c r="PBG146" s="22"/>
      <c r="PBH146" s="22"/>
      <c r="PBI146" s="22"/>
      <c r="PBJ146" s="22"/>
      <c r="PBK146" s="22"/>
      <c r="PBL146" s="22"/>
      <c r="PBM146" s="22"/>
      <c r="PBN146" s="22"/>
      <c r="PBO146" s="22"/>
      <c r="PBP146" s="22"/>
      <c r="PBQ146" s="22"/>
      <c r="PBR146" s="22"/>
      <c r="PBS146" s="22"/>
      <c r="PBT146" s="22"/>
      <c r="PBU146" s="22"/>
      <c r="PBV146" s="22"/>
      <c r="PBW146" s="22"/>
      <c r="PBX146" s="22"/>
      <c r="PBY146" s="22"/>
      <c r="PBZ146" s="22"/>
      <c r="PCA146" s="22"/>
      <c r="PCB146" s="22"/>
      <c r="PCC146" s="22"/>
      <c r="PCD146" s="22"/>
      <c r="PCE146" s="22"/>
      <c r="PCF146" s="22"/>
      <c r="PCG146" s="22"/>
      <c r="PCH146" s="22"/>
      <c r="PCI146" s="22"/>
      <c r="PCJ146" s="22"/>
      <c r="PCK146" s="22"/>
      <c r="PCL146" s="22"/>
      <c r="PCM146" s="22"/>
      <c r="PCN146" s="22"/>
      <c r="PCO146" s="22"/>
      <c r="PCP146" s="22"/>
      <c r="PCQ146" s="22"/>
      <c r="PCR146" s="22"/>
      <c r="PCS146" s="22"/>
      <c r="PCT146" s="22"/>
      <c r="PCU146" s="22"/>
      <c r="PCV146" s="22"/>
      <c r="PCW146" s="22"/>
      <c r="PCX146" s="22"/>
      <c r="PCY146" s="22"/>
      <c r="PCZ146" s="22"/>
      <c r="PDA146" s="22"/>
      <c r="PDB146" s="22"/>
      <c r="PDC146" s="22"/>
      <c r="PDD146" s="22"/>
      <c r="PDE146" s="22"/>
      <c r="PDF146" s="22"/>
      <c r="PDG146" s="22"/>
      <c r="PDH146" s="22"/>
      <c r="PDI146" s="22"/>
      <c r="PDJ146" s="22"/>
      <c r="PDK146" s="22"/>
      <c r="PDL146" s="22"/>
      <c r="PDM146" s="22"/>
      <c r="PDN146" s="22"/>
      <c r="PDO146" s="22"/>
      <c r="PDP146" s="22"/>
      <c r="PDQ146" s="22"/>
      <c r="PDR146" s="22"/>
      <c r="PDS146" s="22"/>
      <c r="PDT146" s="22"/>
      <c r="PDU146" s="22"/>
      <c r="PDV146" s="22"/>
      <c r="PDW146" s="22"/>
      <c r="PDX146" s="22"/>
      <c r="PDY146" s="22"/>
      <c r="PDZ146" s="22"/>
      <c r="PEA146" s="22"/>
      <c r="PEB146" s="22"/>
      <c r="PEC146" s="22"/>
      <c r="PED146" s="22"/>
      <c r="PEE146" s="22"/>
      <c r="PEF146" s="22"/>
      <c r="PEG146" s="22"/>
      <c r="PEH146" s="22"/>
      <c r="PEI146" s="22"/>
      <c r="PEJ146" s="22"/>
      <c r="PEK146" s="22"/>
      <c r="PEL146" s="22"/>
      <c r="PEM146" s="22"/>
      <c r="PEN146" s="22"/>
      <c r="PEO146" s="22"/>
      <c r="PEP146" s="22"/>
      <c r="PEQ146" s="22"/>
      <c r="PER146" s="22"/>
      <c r="PES146" s="22"/>
      <c r="PET146" s="22"/>
      <c r="PEU146" s="22"/>
      <c r="PEV146" s="22"/>
      <c r="PEW146" s="22"/>
      <c r="PEX146" s="22"/>
      <c r="PEY146" s="22"/>
      <c r="PEZ146" s="22"/>
      <c r="PFA146" s="22"/>
      <c r="PFB146" s="22"/>
      <c r="PFC146" s="22"/>
      <c r="PFD146" s="22"/>
      <c r="PFE146" s="22"/>
      <c r="PFF146" s="22"/>
      <c r="PFG146" s="22"/>
      <c r="PFH146" s="22"/>
      <c r="PFI146" s="22"/>
      <c r="PFJ146" s="22"/>
      <c r="PFK146" s="22"/>
      <c r="PFL146" s="22"/>
      <c r="PFM146" s="22"/>
      <c r="PFN146" s="22"/>
      <c r="PFO146" s="22"/>
      <c r="PFP146" s="22"/>
      <c r="PFQ146" s="22"/>
      <c r="PFR146" s="22"/>
      <c r="PFS146" s="22"/>
      <c r="PFT146" s="22"/>
      <c r="PFU146" s="22"/>
      <c r="PFV146" s="22"/>
      <c r="PFW146" s="22"/>
      <c r="PFX146" s="22"/>
      <c r="PFY146" s="22"/>
      <c r="PFZ146" s="22"/>
      <c r="PGA146" s="22"/>
      <c r="PGB146" s="22"/>
      <c r="PGC146" s="22"/>
      <c r="PGD146" s="22"/>
      <c r="PGE146" s="22"/>
      <c r="PGF146" s="22"/>
      <c r="PGG146" s="22"/>
      <c r="PGH146" s="22"/>
      <c r="PGI146" s="22"/>
      <c r="PGJ146" s="22"/>
      <c r="PGK146" s="22"/>
      <c r="PGL146" s="22"/>
      <c r="PGM146" s="22"/>
      <c r="PGN146" s="22"/>
      <c r="PGO146" s="22"/>
      <c r="PGP146" s="22"/>
      <c r="PGQ146" s="22"/>
      <c r="PGR146" s="22"/>
      <c r="PGS146" s="22"/>
      <c r="PGT146" s="22"/>
      <c r="PGU146" s="22"/>
      <c r="PGV146" s="22"/>
      <c r="PGW146" s="22"/>
      <c r="PGX146" s="22"/>
      <c r="PGY146" s="22"/>
      <c r="PGZ146" s="22"/>
      <c r="PHA146" s="22"/>
      <c r="PHB146" s="22"/>
      <c r="PHC146" s="22"/>
      <c r="PHD146" s="22"/>
      <c r="PHE146" s="22"/>
      <c r="PHF146" s="22"/>
      <c r="PHG146" s="22"/>
      <c r="PHH146" s="22"/>
      <c r="PHI146" s="22"/>
      <c r="PHJ146" s="22"/>
      <c r="PHK146" s="22"/>
      <c r="PHL146" s="22"/>
      <c r="PHM146" s="22"/>
      <c r="PHN146" s="22"/>
      <c r="PHO146" s="22"/>
      <c r="PHP146" s="22"/>
      <c r="PHQ146" s="22"/>
      <c r="PHR146" s="22"/>
      <c r="PHS146" s="22"/>
      <c r="PHT146" s="22"/>
      <c r="PHU146" s="22"/>
      <c r="PHV146" s="22"/>
      <c r="PHW146" s="22"/>
      <c r="PHX146" s="22"/>
      <c r="PHY146" s="22"/>
      <c r="PHZ146" s="22"/>
      <c r="PIA146" s="22"/>
      <c r="PIB146" s="22"/>
      <c r="PIC146" s="22"/>
      <c r="PID146" s="22"/>
      <c r="PIE146" s="22"/>
      <c r="PIF146" s="22"/>
      <c r="PIG146" s="22"/>
      <c r="PIH146" s="22"/>
      <c r="PII146" s="22"/>
      <c r="PIJ146" s="22"/>
      <c r="PIK146" s="22"/>
      <c r="PIL146" s="22"/>
      <c r="PIM146" s="22"/>
      <c r="PIN146" s="22"/>
      <c r="PIO146" s="22"/>
      <c r="PIP146" s="22"/>
      <c r="PIQ146" s="22"/>
      <c r="PIR146" s="22"/>
      <c r="PIS146" s="22"/>
      <c r="PIT146" s="22"/>
      <c r="PIU146" s="22"/>
      <c r="PIV146" s="22"/>
      <c r="PIW146" s="22"/>
      <c r="PIX146" s="22"/>
      <c r="PIY146" s="22"/>
      <c r="PIZ146" s="22"/>
      <c r="PJA146" s="22"/>
      <c r="PJB146" s="22"/>
      <c r="PJC146" s="22"/>
      <c r="PJD146" s="22"/>
      <c r="PJE146" s="22"/>
      <c r="PJF146" s="22"/>
      <c r="PJG146" s="22"/>
      <c r="PJH146" s="22"/>
      <c r="PJI146" s="22"/>
      <c r="PJJ146" s="22"/>
      <c r="PJK146" s="22"/>
      <c r="PJL146" s="22"/>
      <c r="PJM146" s="22"/>
      <c r="PJN146" s="22"/>
      <c r="PJO146" s="22"/>
      <c r="PJP146" s="22"/>
      <c r="PJQ146" s="22"/>
      <c r="PJR146" s="22"/>
      <c r="PJS146" s="22"/>
      <c r="PJT146" s="22"/>
      <c r="PJU146" s="22"/>
      <c r="PJV146" s="22"/>
      <c r="PJW146" s="22"/>
      <c r="PJX146" s="22"/>
      <c r="PJY146" s="22"/>
      <c r="PJZ146" s="22"/>
      <c r="PKA146" s="22"/>
      <c r="PKB146" s="22"/>
      <c r="PKC146" s="22"/>
      <c r="PKD146" s="22"/>
      <c r="PKE146" s="22"/>
      <c r="PKF146" s="22"/>
      <c r="PKG146" s="22"/>
      <c r="PKH146" s="22"/>
      <c r="PKI146" s="22"/>
      <c r="PKJ146" s="22"/>
      <c r="PKK146" s="22"/>
      <c r="PKL146" s="22"/>
      <c r="PKM146" s="22"/>
      <c r="PKN146" s="22"/>
      <c r="PKO146" s="22"/>
      <c r="PKP146" s="22"/>
      <c r="PKQ146" s="22"/>
      <c r="PKR146" s="22"/>
      <c r="PKS146" s="22"/>
      <c r="PKT146" s="22"/>
      <c r="PKU146" s="22"/>
      <c r="PKV146" s="22"/>
      <c r="PKW146" s="22"/>
      <c r="PKX146" s="22"/>
      <c r="PKY146" s="22"/>
      <c r="PKZ146" s="22"/>
      <c r="PLA146" s="22"/>
      <c r="PLB146" s="22"/>
      <c r="PLC146" s="22"/>
      <c r="PLD146" s="22"/>
      <c r="PLE146" s="22"/>
      <c r="PLF146" s="22"/>
      <c r="PLG146" s="22"/>
      <c r="PLH146" s="22"/>
      <c r="PLI146" s="22"/>
      <c r="PLJ146" s="22"/>
      <c r="PLK146" s="22"/>
      <c r="PLL146" s="22"/>
      <c r="PLM146" s="22"/>
      <c r="PLN146" s="22"/>
      <c r="PLO146" s="22"/>
      <c r="PLP146" s="22"/>
      <c r="PLQ146" s="22"/>
      <c r="PLR146" s="22"/>
      <c r="PLS146" s="22"/>
      <c r="PLT146" s="22"/>
      <c r="PLU146" s="22"/>
      <c r="PLV146" s="22"/>
      <c r="PLW146" s="22"/>
      <c r="PLX146" s="22"/>
      <c r="PLY146" s="22"/>
      <c r="PLZ146" s="22"/>
      <c r="PMA146" s="22"/>
      <c r="PMB146" s="22"/>
      <c r="PMC146" s="22"/>
      <c r="PMD146" s="22"/>
      <c r="PME146" s="22"/>
      <c r="PMF146" s="22"/>
      <c r="PMG146" s="22"/>
      <c r="PMH146" s="22"/>
      <c r="PMI146" s="22"/>
      <c r="PMJ146" s="22"/>
      <c r="PMK146" s="22"/>
      <c r="PML146" s="22"/>
      <c r="PMM146" s="22"/>
      <c r="PMN146" s="22"/>
      <c r="PMO146" s="22"/>
      <c r="PMP146" s="22"/>
      <c r="PMQ146" s="22"/>
      <c r="PMR146" s="22"/>
      <c r="PMS146" s="22"/>
      <c r="PMT146" s="22"/>
      <c r="PMU146" s="22"/>
      <c r="PMV146" s="22"/>
      <c r="PMW146" s="22"/>
      <c r="PMX146" s="22"/>
      <c r="PMY146" s="22"/>
      <c r="PMZ146" s="22"/>
      <c r="PNA146" s="22"/>
      <c r="PNB146" s="22"/>
      <c r="PNC146" s="22"/>
      <c r="PND146" s="22"/>
      <c r="PNE146" s="22"/>
      <c r="PNF146" s="22"/>
      <c r="PNG146" s="22"/>
      <c r="PNH146" s="22"/>
      <c r="PNI146" s="22"/>
      <c r="PNJ146" s="22"/>
      <c r="PNK146" s="22"/>
      <c r="PNL146" s="22"/>
      <c r="PNM146" s="22"/>
      <c r="PNN146" s="22"/>
      <c r="PNO146" s="22"/>
      <c r="PNP146" s="22"/>
      <c r="PNQ146" s="22"/>
      <c r="PNR146" s="22"/>
      <c r="PNS146" s="22"/>
      <c r="PNT146" s="22"/>
      <c r="PNU146" s="22"/>
      <c r="PNV146" s="22"/>
      <c r="PNW146" s="22"/>
      <c r="PNX146" s="22"/>
      <c r="PNY146" s="22"/>
      <c r="PNZ146" s="22"/>
      <c r="POA146" s="22"/>
      <c r="POB146" s="22"/>
      <c r="POC146" s="22"/>
      <c r="POD146" s="22"/>
      <c r="POE146" s="22"/>
      <c r="POF146" s="22"/>
      <c r="POG146" s="22"/>
      <c r="POH146" s="22"/>
      <c r="POI146" s="22"/>
      <c r="POJ146" s="22"/>
      <c r="POK146" s="22"/>
      <c r="POL146" s="22"/>
      <c r="POM146" s="22"/>
      <c r="PON146" s="22"/>
      <c r="POO146" s="22"/>
      <c r="POP146" s="22"/>
      <c r="POQ146" s="22"/>
      <c r="POR146" s="22"/>
      <c r="POS146" s="22"/>
      <c r="POT146" s="22"/>
      <c r="POU146" s="22"/>
      <c r="POV146" s="22"/>
      <c r="POW146" s="22"/>
      <c r="POX146" s="22"/>
      <c r="POY146" s="22"/>
      <c r="POZ146" s="22"/>
      <c r="PPA146" s="22"/>
      <c r="PPB146" s="22"/>
      <c r="PPC146" s="22"/>
      <c r="PPD146" s="22"/>
      <c r="PPE146" s="22"/>
      <c r="PPF146" s="22"/>
      <c r="PPG146" s="22"/>
      <c r="PPH146" s="22"/>
      <c r="PPI146" s="22"/>
      <c r="PPJ146" s="22"/>
      <c r="PPK146" s="22"/>
      <c r="PPL146" s="22"/>
      <c r="PPM146" s="22"/>
      <c r="PPN146" s="22"/>
      <c r="PPO146" s="22"/>
      <c r="PPP146" s="22"/>
      <c r="PPQ146" s="22"/>
      <c r="PPR146" s="22"/>
      <c r="PPS146" s="22"/>
      <c r="PPT146" s="22"/>
      <c r="PPU146" s="22"/>
      <c r="PPV146" s="22"/>
      <c r="PPW146" s="22"/>
      <c r="PPX146" s="22"/>
      <c r="PPY146" s="22"/>
      <c r="PPZ146" s="22"/>
      <c r="PQA146" s="22"/>
      <c r="PQB146" s="22"/>
      <c r="PQC146" s="22"/>
      <c r="PQD146" s="22"/>
      <c r="PQE146" s="22"/>
      <c r="PQF146" s="22"/>
      <c r="PQG146" s="22"/>
      <c r="PQH146" s="22"/>
      <c r="PQI146" s="22"/>
      <c r="PQJ146" s="22"/>
      <c r="PQK146" s="22"/>
      <c r="PQL146" s="22"/>
      <c r="PQM146" s="22"/>
      <c r="PQN146" s="22"/>
      <c r="PQO146" s="22"/>
      <c r="PQP146" s="22"/>
      <c r="PQQ146" s="22"/>
      <c r="PQR146" s="22"/>
      <c r="PQS146" s="22"/>
      <c r="PQT146" s="22"/>
      <c r="PQU146" s="22"/>
      <c r="PQV146" s="22"/>
      <c r="PQW146" s="22"/>
      <c r="PQX146" s="22"/>
      <c r="PQY146" s="22"/>
      <c r="PQZ146" s="22"/>
      <c r="PRA146" s="22"/>
      <c r="PRB146" s="22"/>
      <c r="PRC146" s="22"/>
      <c r="PRD146" s="22"/>
      <c r="PRE146" s="22"/>
      <c r="PRF146" s="22"/>
      <c r="PRG146" s="22"/>
      <c r="PRH146" s="22"/>
      <c r="PRI146" s="22"/>
      <c r="PRJ146" s="22"/>
      <c r="PRK146" s="22"/>
      <c r="PRL146" s="22"/>
      <c r="PRM146" s="22"/>
      <c r="PRN146" s="22"/>
      <c r="PRO146" s="22"/>
      <c r="PRP146" s="22"/>
      <c r="PRQ146" s="22"/>
      <c r="PRR146" s="22"/>
      <c r="PRS146" s="22"/>
      <c r="PRT146" s="22"/>
      <c r="PRU146" s="22"/>
      <c r="PRV146" s="22"/>
      <c r="PRW146" s="22"/>
      <c r="PRX146" s="22"/>
      <c r="PRY146" s="22"/>
      <c r="PRZ146" s="22"/>
      <c r="PSA146" s="22"/>
      <c r="PSB146" s="22"/>
      <c r="PSC146" s="22"/>
      <c r="PSD146" s="22"/>
      <c r="PSE146" s="22"/>
      <c r="PSF146" s="22"/>
      <c r="PSG146" s="22"/>
      <c r="PSH146" s="22"/>
      <c r="PSI146" s="22"/>
      <c r="PSJ146" s="22"/>
      <c r="PSK146" s="22"/>
      <c r="PSL146" s="22"/>
      <c r="PSM146" s="22"/>
      <c r="PSN146" s="22"/>
      <c r="PSO146" s="22"/>
      <c r="PSP146" s="22"/>
      <c r="PSQ146" s="22"/>
      <c r="PSR146" s="22"/>
      <c r="PSS146" s="22"/>
      <c r="PST146" s="22"/>
      <c r="PSU146" s="22"/>
      <c r="PSV146" s="22"/>
      <c r="PSW146" s="22"/>
      <c r="PSX146" s="22"/>
      <c r="PSY146" s="22"/>
      <c r="PSZ146" s="22"/>
      <c r="PTA146" s="22"/>
      <c r="PTB146" s="22"/>
      <c r="PTC146" s="22"/>
      <c r="PTD146" s="22"/>
      <c r="PTE146" s="22"/>
      <c r="PTF146" s="22"/>
      <c r="PTG146" s="22"/>
      <c r="PTH146" s="22"/>
      <c r="PTI146" s="22"/>
      <c r="PTJ146" s="22"/>
      <c r="PTK146" s="22"/>
      <c r="PTL146" s="22"/>
      <c r="PTM146" s="22"/>
      <c r="PTN146" s="22"/>
      <c r="PTO146" s="22"/>
      <c r="PTP146" s="22"/>
      <c r="PTQ146" s="22"/>
      <c r="PTR146" s="22"/>
      <c r="PTS146" s="22"/>
      <c r="PTT146" s="22"/>
      <c r="PTU146" s="22"/>
      <c r="PTV146" s="22"/>
      <c r="PTW146" s="22"/>
      <c r="PTX146" s="22"/>
      <c r="PTY146" s="22"/>
      <c r="PTZ146" s="22"/>
      <c r="PUA146" s="22"/>
      <c r="PUB146" s="22"/>
      <c r="PUC146" s="22"/>
      <c r="PUD146" s="22"/>
      <c r="PUE146" s="22"/>
      <c r="PUF146" s="22"/>
      <c r="PUG146" s="22"/>
      <c r="PUH146" s="22"/>
      <c r="PUI146" s="22"/>
      <c r="PUJ146" s="22"/>
      <c r="PUK146" s="22"/>
      <c r="PUL146" s="22"/>
      <c r="PUM146" s="22"/>
      <c r="PUN146" s="22"/>
      <c r="PUO146" s="22"/>
      <c r="PUP146" s="22"/>
      <c r="PUQ146" s="22"/>
      <c r="PUR146" s="22"/>
      <c r="PUS146" s="22"/>
      <c r="PUT146" s="22"/>
      <c r="PUU146" s="22"/>
      <c r="PUV146" s="22"/>
      <c r="PUW146" s="22"/>
      <c r="PUX146" s="22"/>
      <c r="PUY146" s="22"/>
      <c r="PUZ146" s="22"/>
      <c r="PVA146" s="22"/>
      <c r="PVB146" s="22"/>
      <c r="PVC146" s="22"/>
      <c r="PVD146" s="22"/>
      <c r="PVE146" s="22"/>
      <c r="PVF146" s="22"/>
      <c r="PVG146" s="22"/>
      <c r="PVH146" s="22"/>
      <c r="PVI146" s="22"/>
      <c r="PVJ146" s="22"/>
      <c r="PVK146" s="22"/>
      <c r="PVL146" s="22"/>
      <c r="PVM146" s="22"/>
      <c r="PVN146" s="22"/>
      <c r="PVO146" s="22"/>
      <c r="PVP146" s="22"/>
      <c r="PVQ146" s="22"/>
      <c r="PVR146" s="22"/>
      <c r="PVS146" s="22"/>
      <c r="PVT146" s="22"/>
      <c r="PVU146" s="22"/>
      <c r="PVV146" s="22"/>
      <c r="PVW146" s="22"/>
      <c r="PVX146" s="22"/>
      <c r="PVY146" s="22"/>
      <c r="PVZ146" s="22"/>
      <c r="PWA146" s="22"/>
      <c r="PWB146" s="22"/>
      <c r="PWC146" s="22"/>
      <c r="PWD146" s="22"/>
      <c r="PWE146" s="22"/>
      <c r="PWF146" s="22"/>
      <c r="PWG146" s="22"/>
      <c r="PWH146" s="22"/>
      <c r="PWI146" s="22"/>
      <c r="PWJ146" s="22"/>
      <c r="PWK146" s="22"/>
      <c r="PWL146" s="22"/>
      <c r="PWM146" s="22"/>
      <c r="PWN146" s="22"/>
      <c r="PWO146" s="22"/>
      <c r="PWP146" s="22"/>
      <c r="PWQ146" s="22"/>
      <c r="PWR146" s="22"/>
      <c r="PWS146" s="22"/>
      <c r="PWT146" s="22"/>
      <c r="PWU146" s="22"/>
      <c r="PWV146" s="22"/>
      <c r="PWW146" s="22"/>
      <c r="PWX146" s="22"/>
      <c r="PWY146" s="22"/>
      <c r="PWZ146" s="22"/>
      <c r="PXA146" s="22"/>
      <c r="PXB146" s="22"/>
      <c r="PXC146" s="22"/>
      <c r="PXD146" s="22"/>
      <c r="PXE146" s="22"/>
      <c r="PXF146" s="22"/>
      <c r="PXG146" s="22"/>
      <c r="PXH146" s="22"/>
      <c r="PXI146" s="22"/>
      <c r="PXJ146" s="22"/>
      <c r="PXK146" s="22"/>
      <c r="PXL146" s="22"/>
      <c r="PXM146" s="22"/>
      <c r="PXN146" s="22"/>
      <c r="PXO146" s="22"/>
      <c r="PXP146" s="22"/>
      <c r="PXQ146" s="22"/>
      <c r="PXR146" s="22"/>
      <c r="PXS146" s="22"/>
      <c r="PXT146" s="22"/>
      <c r="PXU146" s="22"/>
      <c r="PXV146" s="22"/>
      <c r="PXW146" s="22"/>
      <c r="PXX146" s="22"/>
      <c r="PXY146" s="22"/>
      <c r="PXZ146" s="22"/>
      <c r="PYA146" s="22"/>
      <c r="PYB146" s="22"/>
      <c r="PYC146" s="22"/>
      <c r="PYD146" s="22"/>
      <c r="PYE146" s="22"/>
      <c r="PYF146" s="22"/>
      <c r="PYG146" s="22"/>
      <c r="PYH146" s="22"/>
      <c r="PYI146" s="22"/>
      <c r="PYJ146" s="22"/>
      <c r="PYK146" s="22"/>
      <c r="PYL146" s="22"/>
      <c r="PYM146" s="22"/>
      <c r="PYN146" s="22"/>
      <c r="PYO146" s="22"/>
      <c r="PYP146" s="22"/>
      <c r="PYQ146" s="22"/>
      <c r="PYR146" s="22"/>
      <c r="PYS146" s="22"/>
      <c r="PYT146" s="22"/>
      <c r="PYU146" s="22"/>
      <c r="PYV146" s="22"/>
      <c r="PYW146" s="22"/>
      <c r="PYX146" s="22"/>
      <c r="PYY146" s="22"/>
      <c r="PYZ146" s="22"/>
      <c r="PZA146" s="22"/>
      <c r="PZB146" s="22"/>
      <c r="PZC146" s="22"/>
      <c r="PZD146" s="22"/>
      <c r="PZE146" s="22"/>
      <c r="PZF146" s="22"/>
      <c r="PZG146" s="22"/>
      <c r="PZH146" s="22"/>
      <c r="PZI146" s="22"/>
      <c r="PZJ146" s="22"/>
      <c r="PZK146" s="22"/>
      <c r="PZL146" s="22"/>
      <c r="PZM146" s="22"/>
      <c r="PZN146" s="22"/>
      <c r="PZO146" s="22"/>
      <c r="PZP146" s="22"/>
      <c r="PZQ146" s="22"/>
      <c r="PZR146" s="22"/>
      <c r="PZS146" s="22"/>
      <c r="PZT146" s="22"/>
      <c r="PZU146" s="22"/>
      <c r="PZV146" s="22"/>
      <c r="PZW146" s="22"/>
      <c r="PZX146" s="22"/>
      <c r="PZY146" s="22"/>
      <c r="PZZ146" s="22"/>
      <c r="QAA146" s="22"/>
      <c r="QAB146" s="22"/>
      <c r="QAC146" s="22"/>
      <c r="QAD146" s="22"/>
      <c r="QAE146" s="22"/>
      <c r="QAF146" s="22"/>
      <c r="QAG146" s="22"/>
      <c r="QAH146" s="22"/>
      <c r="QAI146" s="22"/>
      <c r="QAJ146" s="22"/>
      <c r="QAK146" s="22"/>
      <c r="QAL146" s="22"/>
      <c r="QAM146" s="22"/>
      <c r="QAN146" s="22"/>
      <c r="QAO146" s="22"/>
      <c r="QAP146" s="22"/>
      <c r="QAQ146" s="22"/>
      <c r="QAR146" s="22"/>
      <c r="QAS146" s="22"/>
      <c r="QAT146" s="22"/>
      <c r="QAU146" s="22"/>
      <c r="QAV146" s="22"/>
      <c r="QAW146" s="22"/>
      <c r="QAX146" s="22"/>
      <c r="QAY146" s="22"/>
      <c r="QAZ146" s="22"/>
      <c r="QBA146" s="22"/>
      <c r="QBB146" s="22"/>
      <c r="QBC146" s="22"/>
      <c r="QBD146" s="22"/>
      <c r="QBE146" s="22"/>
      <c r="QBF146" s="22"/>
      <c r="QBG146" s="22"/>
      <c r="QBH146" s="22"/>
      <c r="QBI146" s="22"/>
      <c r="QBJ146" s="22"/>
      <c r="QBK146" s="22"/>
      <c r="QBL146" s="22"/>
      <c r="QBM146" s="22"/>
      <c r="QBN146" s="22"/>
      <c r="QBO146" s="22"/>
      <c r="QBP146" s="22"/>
      <c r="QBQ146" s="22"/>
      <c r="QBR146" s="22"/>
      <c r="QBS146" s="22"/>
      <c r="QBT146" s="22"/>
      <c r="QBU146" s="22"/>
      <c r="QBV146" s="22"/>
      <c r="QBW146" s="22"/>
      <c r="QBX146" s="22"/>
      <c r="QBY146" s="22"/>
      <c r="QBZ146" s="22"/>
      <c r="QCA146" s="22"/>
      <c r="QCB146" s="22"/>
      <c r="QCC146" s="22"/>
      <c r="QCD146" s="22"/>
      <c r="QCE146" s="22"/>
      <c r="QCF146" s="22"/>
      <c r="QCG146" s="22"/>
      <c r="QCH146" s="22"/>
      <c r="QCI146" s="22"/>
      <c r="QCJ146" s="22"/>
      <c r="QCK146" s="22"/>
      <c r="QCL146" s="22"/>
      <c r="QCM146" s="22"/>
      <c r="QCN146" s="22"/>
      <c r="QCO146" s="22"/>
      <c r="QCP146" s="22"/>
      <c r="QCQ146" s="22"/>
      <c r="QCR146" s="22"/>
      <c r="QCS146" s="22"/>
      <c r="QCT146" s="22"/>
      <c r="QCU146" s="22"/>
      <c r="QCV146" s="22"/>
      <c r="QCW146" s="22"/>
      <c r="QCX146" s="22"/>
      <c r="QCY146" s="22"/>
      <c r="QCZ146" s="22"/>
      <c r="QDA146" s="22"/>
      <c r="QDB146" s="22"/>
      <c r="QDC146" s="22"/>
      <c r="QDD146" s="22"/>
      <c r="QDE146" s="22"/>
      <c r="QDF146" s="22"/>
      <c r="QDG146" s="22"/>
      <c r="QDH146" s="22"/>
      <c r="QDI146" s="22"/>
      <c r="QDJ146" s="22"/>
      <c r="QDK146" s="22"/>
      <c r="QDL146" s="22"/>
      <c r="QDM146" s="22"/>
      <c r="QDN146" s="22"/>
      <c r="QDO146" s="22"/>
      <c r="QDP146" s="22"/>
      <c r="QDQ146" s="22"/>
      <c r="QDR146" s="22"/>
      <c r="QDS146" s="22"/>
      <c r="QDT146" s="22"/>
      <c r="QDU146" s="22"/>
      <c r="QDV146" s="22"/>
      <c r="QDW146" s="22"/>
      <c r="QDX146" s="22"/>
      <c r="QDY146" s="22"/>
      <c r="QDZ146" s="22"/>
      <c r="QEA146" s="22"/>
      <c r="QEB146" s="22"/>
      <c r="QEC146" s="22"/>
      <c r="QED146" s="22"/>
      <c r="QEE146" s="22"/>
      <c r="QEF146" s="22"/>
      <c r="QEG146" s="22"/>
      <c r="QEH146" s="22"/>
      <c r="QEI146" s="22"/>
      <c r="QEJ146" s="22"/>
      <c r="QEK146" s="22"/>
      <c r="QEL146" s="22"/>
      <c r="QEM146" s="22"/>
      <c r="QEN146" s="22"/>
      <c r="QEO146" s="22"/>
      <c r="QEP146" s="22"/>
      <c r="QEQ146" s="22"/>
      <c r="QER146" s="22"/>
      <c r="QES146" s="22"/>
      <c r="QET146" s="22"/>
      <c r="QEU146" s="22"/>
      <c r="QEV146" s="22"/>
      <c r="QEW146" s="22"/>
      <c r="QEX146" s="22"/>
      <c r="QEY146" s="22"/>
      <c r="QEZ146" s="22"/>
      <c r="QFA146" s="22"/>
      <c r="QFB146" s="22"/>
      <c r="QFC146" s="22"/>
      <c r="QFD146" s="22"/>
      <c r="QFE146" s="22"/>
      <c r="QFF146" s="22"/>
      <c r="QFG146" s="22"/>
      <c r="QFH146" s="22"/>
      <c r="QFI146" s="22"/>
      <c r="QFJ146" s="22"/>
      <c r="QFK146" s="22"/>
      <c r="QFL146" s="22"/>
      <c r="QFM146" s="22"/>
      <c r="QFN146" s="22"/>
      <c r="QFO146" s="22"/>
      <c r="QFP146" s="22"/>
      <c r="QFQ146" s="22"/>
      <c r="QFR146" s="22"/>
      <c r="QFS146" s="22"/>
      <c r="QFT146" s="22"/>
      <c r="QFU146" s="22"/>
      <c r="QFV146" s="22"/>
      <c r="QFW146" s="22"/>
      <c r="QFX146" s="22"/>
      <c r="QFY146" s="22"/>
      <c r="QFZ146" s="22"/>
      <c r="QGA146" s="22"/>
      <c r="QGB146" s="22"/>
      <c r="QGC146" s="22"/>
      <c r="QGD146" s="22"/>
      <c r="QGE146" s="22"/>
      <c r="QGF146" s="22"/>
      <c r="QGG146" s="22"/>
      <c r="QGH146" s="22"/>
      <c r="QGI146" s="22"/>
      <c r="QGJ146" s="22"/>
      <c r="QGK146" s="22"/>
      <c r="QGL146" s="22"/>
      <c r="QGM146" s="22"/>
      <c r="QGN146" s="22"/>
      <c r="QGO146" s="22"/>
      <c r="QGP146" s="22"/>
      <c r="QGQ146" s="22"/>
      <c r="QGR146" s="22"/>
      <c r="QGS146" s="22"/>
      <c r="QGT146" s="22"/>
      <c r="QGU146" s="22"/>
      <c r="QGV146" s="22"/>
      <c r="QGW146" s="22"/>
      <c r="QGX146" s="22"/>
      <c r="QGY146" s="22"/>
      <c r="QGZ146" s="22"/>
      <c r="QHA146" s="22"/>
      <c r="QHB146" s="22"/>
      <c r="QHC146" s="22"/>
      <c r="QHD146" s="22"/>
      <c r="QHE146" s="22"/>
      <c r="QHF146" s="22"/>
      <c r="QHG146" s="22"/>
      <c r="QHH146" s="22"/>
      <c r="QHI146" s="22"/>
      <c r="QHJ146" s="22"/>
      <c r="QHK146" s="22"/>
      <c r="QHL146" s="22"/>
      <c r="QHM146" s="22"/>
      <c r="QHN146" s="22"/>
      <c r="QHO146" s="22"/>
      <c r="QHP146" s="22"/>
      <c r="QHQ146" s="22"/>
      <c r="QHR146" s="22"/>
      <c r="QHS146" s="22"/>
      <c r="QHT146" s="22"/>
      <c r="QHU146" s="22"/>
      <c r="QHV146" s="22"/>
      <c r="QHW146" s="22"/>
      <c r="QHX146" s="22"/>
      <c r="QHY146" s="22"/>
      <c r="QHZ146" s="22"/>
      <c r="QIA146" s="22"/>
      <c r="QIB146" s="22"/>
      <c r="QIC146" s="22"/>
      <c r="QID146" s="22"/>
      <c r="QIE146" s="22"/>
      <c r="QIF146" s="22"/>
      <c r="QIG146" s="22"/>
      <c r="QIH146" s="22"/>
      <c r="QII146" s="22"/>
      <c r="QIJ146" s="22"/>
      <c r="QIK146" s="22"/>
      <c r="QIL146" s="22"/>
      <c r="QIM146" s="22"/>
      <c r="QIN146" s="22"/>
      <c r="QIO146" s="22"/>
      <c r="QIP146" s="22"/>
      <c r="QIQ146" s="22"/>
      <c r="QIR146" s="22"/>
      <c r="QIS146" s="22"/>
      <c r="QIT146" s="22"/>
      <c r="QIU146" s="22"/>
      <c r="QIV146" s="22"/>
      <c r="QIW146" s="22"/>
      <c r="QIX146" s="22"/>
      <c r="QIY146" s="22"/>
      <c r="QIZ146" s="22"/>
      <c r="QJA146" s="22"/>
      <c r="QJB146" s="22"/>
      <c r="QJC146" s="22"/>
      <c r="QJD146" s="22"/>
      <c r="QJE146" s="22"/>
      <c r="QJF146" s="22"/>
      <c r="QJG146" s="22"/>
      <c r="QJH146" s="22"/>
      <c r="QJI146" s="22"/>
      <c r="QJJ146" s="22"/>
      <c r="QJK146" s="22"/>
      <c r="QJL146" s="22"/>
      <c r="QJM146" s="22"/>
      <c r="QJN146" s="22"/>
      <c r="QJO146" s="22"/>
      <c r="QJP146" s="22"/>
      <c r="QJQ146" s="22"/>
      <c r="QJR146" s="22"/>
      <c r="QJS146" s="22"/>
      <c r="QJT146" s="22"/>
      <c r="QJU146" s="22"/>
      <c r="QJV146" s="22"/>
      <c r="QJW146" s="22"/>
      <c r="QJX146" s="22"/>
      <c r="QJY146" s="22"/>
      <c r="QJZ146" s="22"/>
      <c r="QKA146" s="22"/>
      <c r="QKB146" s="22"/>
      <c r="QKC146" s="22"/>
      <c r="QKD146" s="22"/>
      <c r="QKE146" s="22"/>
      <c r="QKF146" s="22"/>
      <c r="QKG146" s="22"/>
      <c r="QKH146" s="22"/>
      <c r="QKI146" s="22"/>
      <c r="QKJ146" s="22"/>
      <c r="QKK146" s="22"/>
      <c r="QKL146" s="22"/>
      <c r="QKM146" s="22"/>
      <c r="QKN146" s="22"/>
      <c r="QKO146" s="22"/>
      <c r="QKP146" s="22"/>
      <c r="QKQ146" s="22"/>
      <c r="QKR146" s="22"/>
      <c r="QKS146" s="22"/>
      <c r="QKT146" s="22"/>
      <c r="QKU146" s="22"/>
      <c r="QKV146" s="22"/>
      <c r="QKW146" s="22"/>
      <c r="QKX146" s="22"/>
      <c r="QKY146" s="22"/>
      <c r="QKZ146" s="22"/>
      <c r="QLA146" s="22"/>
      <c r="QLB146" s="22"/>
      <c r="QLC146" s="22"/>
      <c r="QLD146" s="22"/>
      <c r="QLE146" s="22"/>
      <c r="QLF146" s="22"/>
      <c r="QLG146" s="22"/>
      <c r="QLH146" s="22"/>
      <c r="QLI146" s="22"/>
      <c r="QLJ146" s="22"/>
      <c r="QLK146" s="22"/>
      <c r="QLL146" s="22"/>
      <c r="QLM146" s="22"/>
      <c r="QLN146" s="22"/>
      <c r="QLO146" s="22"/>
      <c r="QLP146" s="22"/>
      <c r="QLQ146" s="22"/>
      <c r="QLR146" s="22"/>
      <c r="QLS146" s="22"/>
      <c r="QLT146" s="22"/>
      <c r="QLU146" s="22"/>
      <c r="QLV146" s="22"/>
      <c r="QLW146" s="22"/>
      <c r="QLX146" s="22"/>
      <c r="QLY146" s="22"/>
      <c r="QLZ146" s="22"/>
      <c r="QMA146" s="22"/>
      <c r="QMB146" s="22"/>
      <c r="QMC146" s="22"/>
      <c r="QMD146" s="22"/>
      <c r="QME146" s="22"/>
      <c r="QMF146" s="22"/>
      <c r="QMG146" s="22"/>
      <c r="QMH146" s="22"/>
      <c r="QMI146" s="22"/>
      <c r="QMJ146" s="22"/>
      <c r="QMK146" s="22"/>
      <c r="QML146" s="22"/>
      <c r="QMM146" s="22"/>
      <c r="QMN146" s="22"/>
      <c r="QMO146" s="22"/>
      <c r="QMP146" s="22"/>
      <c r="QMQ146" s="22"/>
      <c r="QMR146" s="22"/>
      <c r="QMS146" s="22"/>
      <c r="QMT146" s="22"/>
      <c r="QMU146" s="22"/>
      <c r="QMV146" s="22"/>
      <c r="QMW146" s="22"/>
      <c r="QMX146" s="22"/>
      <c r="QMY146" s="22"/>
      <c r="QMZ146" s="22"/>
      <c r="QNA146" s="22"/>
      <c r="QNB146" s="22"/>
      <c r="QNC146" s="22"/>
      <c r="QND146" s="22"/>
      <c r="QNE146" s="22"/>
      <c r="QNF146" s="22"/>
      <c r="QNG146" s="22"/>
      <c r="QNH146" s="22"/>
      <c r="QNI146" s="22"/>
      <c r="QNJ146" s="22"/>
      <c r="QNK146" s="22"/>
      <c r="QNL146" s="22"/>
      <c r="QNM146" s="22"/>
      <c r="QNN146" s="22"/>
      <c r="QNO146" s="22"/>
      <c r="QNP146" s="22"/>
      <c r="QNQ146" s="22"/>
      <c r="QNR146" s="22"/>
      <c r="QNS146" s="22"/>
      <c r="QNT146" s="22"/>
      <c r="QNU146" s="22"/>
      <c r="QNV146" s="22"/>
      <c r="QNW146" s="22"/>
      <c r="QNX146" s="22"/>
      <c r="QNY146" s="22"/>
      <c r="QNZ146" s="22"/>
      <c r="QOA146" s="22"/>
      <c r="QOB146" s="22"/>
      <c r="QOC146" s="22"/>
      <c r="QOD146" s="22"/>
      <c r="QOE146" s="22"/>
      <c r="QOF146" s="22"/>
      <c r="QOG146" s="22"/>
      <c r="QOH146" s="22"/>
      <c r="QOI146" s="22"/>
      <c r="QOJ146" s="22"/>
      <c r="QOK146" s="22"/>
      <c r="QOL146" s="22"/>
      <c r="QOM146" s="22"/>
      <c r="QON146" s="22"/>
      <c r="QOO146" s="22"/>
      <c r="QOP146" s="22"/>
      <c r="QOQ146" s="22"/>
      <c r="QOR146" s="22"/>
      <c r="QOS146" s="22"/>
      <c r="QOT146" s="22"/>
      <c r="QOU146" s="22"/>
      <c r="QOV146" s="22"/>
      <c r="QOW146" s="22"/>
      <c r="QOX146" s="22"/>
      <c r="QOY146" s="22"/>
      <c r="QOZ146" s="22"/>
      <c r="QPA146" s="22"/>
      <c r="QPB146" s="22"/>
      <c r="QPC146" s="22"/>
      <c r="QPD146" s="22"/>
      <c r="QPE146" s="22"/>
      <c r="QPF146" s="22"/>
      <c r="QPG146" s="22"/>
      <c r="QPH146" s="22"/>
      <c r="QPI146" s="22"/>
      <c r="QPJ146" s="22"/>
      <c r="QPK146" s="22"/>
      <c r="QPL146" s="22"/>
      <c r="QPM146" s="22"/>
      <c r="QPN146" s="22"/>
      <c r="QPO146" s="22"/>
      <c r="QPP146" s="22"/>
      <c r="QPQ146" s="22"/>
      <c r="QPR146" s="22"/>
      <c r="QPS146" s="22"/>
      <c r="QPT146" s="22"/>
      <c r="QPU146" s="22"/>
      <c r="QPV146" s="22"/>
      <c r="QPW146" s="22"/>
      <c r="QPX146" s="22"/>
      <c r="QPY146" s="22"/>
      <c r="QPZ146" s="22"/>
      <c r="QQA146" s="22"/>
      <c r="QQB146" s="22"/>
      <c r="QQC146" s="22"/>
      <c r="QQD146" s="22"/>
      <c r="QQE146" s="22"/>
      <c r="QQF146" s="22"/>
      <c r="QQG146" s="22"/>
      <c r="QQH146" s="22"/>
      <c r="QQI146" s="22"/>
      <c r="QQJ146" s="22"/>
      <c r="QQK146" s="22"/>
      <c r="QQL146" s="22"/>
      <c r="QQM146" s="22"/>
      <c r="QQN146" s="22"/>
      <c r="QQO146" s="22"/>
      <c r="QQP146" s="22"/>
      <c r="QQQ146" s="22"/>
      <c r="QQR146" s="22"/>
      <c r="QQS146" s="22"/>
      <c r="QQT146" s="22"/>
      <c r="QQU146" s="22"/>
      <c r="QQV146" s="22"/>
      <c r="QQW146" s="22"/>
      <c r="QQX146" s="22"/>
      <c r="QQY146" s="22"/>
      <c r="QQZ146" s="22"/>
      <c r="QRA146" s="22"/>
      <c r="QRB146" s="22"/>
      <c r="QRC146" s="22"/>
      <c r="QRD146" s="22"/>
      <c r="QRE146" s="22"/>
      <c r="QRF146" s="22"/>
      <c r="QRG146" s="22"/>
      <c r="QRH146" s="22"/>
      <c r="QRI146" s="22"/>
      <c r="QRJ146" s="22"/>
      <c r="QRK146" s="22"/>
      <c r="QRL146" s="22"/>
      <c r="QRM146" s="22"/>
      <c r="QRN146" s="22"/>
      <c r="QRO146" s="22"/>
      <c r="QRP146" s="22"/>
      <c r="QRQ146" s="22"/>
      <c r="QRR146" s="22"/>
      <c r="QRS146" s="22"/>
      <c r="QRT146" s="22"/>
      <c r="QRU146" s="22"/>
      <c r="QRV146" s="22"/>
      <c r="QRW146" s="22"/>
      <c r="QRX146" s="22"/>
      <c r="QRY146" s="22"/>
      <c r="QRZ146" s="22"/>
      <c r="QSA146" s="22"/>
      <c r="QSB146" s="22"/>
      <c r="QSC146" s="22"/>
      <c r="QSD146" s="22"/>
      <c r="QSE146" s="22"/>
      <c r="QSF146" s="22"/>
      <c r="QSG146" s="22"/>
      <c r="QSH146" s="22"/>
      <c r="QSI146" s="22"/>
      <c r="QSJ146" s="22"/>
      <c r="QSK146" s="22"/>
      <c r="QSL146" s="22"/>
      <c r="QSM146" s="22"/>
      <c r="QSN146" s="22"/>
      <c r="QSO146" s="22"/>
      <c r="QSP146" s="22"/>
      <c r="QSQ146" s="22"/>
      <c r="QSR146" s="22"/>
      <c r="QSS146" s="22"/>
      <c r="QST146" s="22"/>
      <c r="QSU146" s="22"/>
      <c r="QSV146" s="22"/>
      <c r="QSW146" s="22"/>
      <c r="QSX146" s="22"/>
      <c r="QSY146" s="22"/>
      <c r="QSZ146" s="22"/>
      <c r="QTA146" s="22"/>
      <c r="QTB146" s="22"/>
      <c r="QTC146" s="22"/>
      <c r="QTD146" s="22"/>
      <c r="QTE146" s="22"/>
      <c r="QTF146" s="22"/>
      <c r="QTG146" s="22"/>
      <c r="QTH146" s="22"/>
      <c r="QTI146" s="22"/>
      <c r="QTJ146" s="22"/>
      <c r="QTK146" s="22"/>
      <c r="QTL146" s="22"/>
      <c r="QTM146" s="22"/>
      <c r="QTN146" s="22"/>
      <c r="QTO146" s="22"/>
      <c r="QTP146" s="22"/>
      <c r="QTQ146" s="22"/>
      <c r="QTR146" s="22"/>
      <c r="QTS146" s="22"/>
      <c r="QTT146" s="22"/>
      <c r="QTU146" s="22"/>
      <c r="QTV146" s="22"/>
      <c r="QTW146" s="22"/>
      <c r="QTX146" s="22"/>
      <c r="QTY146" s="22"/>
      <c r="QTZ146" s="22"/>
      <c r="QUA146" s="22"/>
      <c r="QUB146" s="22"/>
      <c r="QUC146" s="22"/>
      <c r="QUD146" s="22"/>
      <c r="QUE146" s="22"/>
      <c r="QUF146" s="22"/>
      <c r="QUG146" s="22"/>
      <c r="QUH146" s="22"/>
      <c r="QUI146" s="22"/>
      <c r="QUJ146" s="22"/>
      <c r="QUK146" s="22"/>
      <c r="QUL146" s="22"/>
      <c r="QUM146" s="22"/>
      <c r="QUN146" s="22"/>
      <c r="QUO146" s="22"/>
      <c r="QUP146" s="22"/>
      <c r="QUQ146" s="22"/>
      <c r="QUR146" s="22"/>
      <c r="QUS146" s="22"/>
      <c r="QUT146" s="22"/>
      <c r="QUU146" s="22"/>
      <c r="QUV146" s="22"/>
      <c r="QUW146" s="22"/>
      <c r="QUX146" s="22"/>
      <c r="QUY146" s="22"/>
      <c r="QUZ146" s="22"/>
      <c r="QVA146" s="22"/>
      <c r="QVB146" s="22"/>
      <c r="QVC146" s="22"/>
      <c r="QVD146" s="22"/>
      <c r="QVE146" s="22"/>
      <c r="QVF146" s="22"/>
      <c r="QVG146" s="22"/>
      <c r="QVH146" s="22"/>
      <c r="QVI146" s="22"/>
      <c r="QVJ146" s="22"/>
      <c r="QVK146" s="22"/>
      <c r="QVL146" s="22"/>
      <c r="QVM146" s="22"/>
      <c r="QVN146" s="22"/>
      <c r="QVO146" s="22"/>
      <c r="QVP146" s="22"/>
      <c r="QVQ146" s="22"/>
      <c r="QVR146" s="22"/>
      <c r="QVS146" s="22"/>
      <c r="QVT146" s="22"/>
      <c r="QVU146" s="22"/>
      <c r="QVV146" s="22"/>
      <c r="QVW146" s="22"/>
      <c r="QVX146" s="22"/>
      <c r="QVY146" s="22"/>
      <c r="QVZ146" s="22"/>
      <c r="QWA146" s="22"/>
      <c r="QWB146" s="22"/>
      <c r="QWC146" s="22"/>
      <c r="QWD146" s="22"/>
      <c r="QWE146" s="22"/>
      <c r="QWF146" s="22"/>
      <c r="QWG146" s="22"/>
      <c r="QWH146" s="22"/>
      <c r="QWI146" s="22"/>
      <c r="QWJ146" s="22"/>
      <c r="QWK146" s="22"/>
      <c r="QWL146" s="22"/>
      <c r="QWM146" s="22"/>
      <c r="QWN146" s="22"/>
      <c r="QWO146" s="22"/>
      <c r="QWP146" s="22"/>
      <c r="QWQ146" s="22"/>
      <c r="QWR146" s="22"/>
      <c r="QWS146" s="22"/>
      <c r="QWT146" s="22"/>
      <c r="QWU146" s="22"/>
      <c r="QWV146" s="22"/>
      <c r="QWW146" s="22"/>
      <c r="QWX146" s="22"/>
      <c r="QWY146" s="22"/>
      <c r="QWZ146" s="22"/>
      <c r="QXA146" s="22"/>
      <c r="QXB146" s="22"/>
      <c r="QXC146" s="22"/>
      <c r="QXD146" s="22"/>
      <c r="QXE146" s="22"/>
      <c r="QXF146" s="22"/>
      <c r="QXG146" s="22"/>
      <c r="QXH146" s="22"/>
      <c r="QXI146" s="22"/>
      <c r="QXJ146" s="22"/>
      <c r="QXK146" s="22"/>
      <c r="QXL146" s="22"/>
      <c r="QXM146" s="22"/>
      <c r="QXN146" s="22"/>
      <c r="QXO146" s="22"/>
      <c r="QXP146" s="22"/>
      <c r="QXQ146" s="22"/>
      <c r="QXR146" s="22"/>
      <c r="QXS146" s="22"/>
      <c r="QXT146" s="22"/>
      <c r="QXU146" s="22"/>
      <c r="QXV146" s="22"/>
      <c r="QXW146" s="22"/>
      <c r="QXX146" s="22"/>
      <c r="QXY146" s="22"/>
      <c r="QXZ146" s="22"/>
      <c r="QYA146" s="22"/>
      <c r="QYB146" s="22"/>
      <c r="QYC146" s="22"/>
      <c r="QYD146" s="22"/>
      <c r="QYE146" s="22"/>
      <c r="QYF146" s="22"/>
      <c r="QYG146" s="22"/>
      <c r="QYH146" s="22"/>
      <c r="QYI146" s="22"/>
      <c r="QYJ146" s="22"/>
      <c r="QYK146" s="22"/>
      <c r="QYL146" s="22"/>
      <c r="QYM146" s="22"/>
      <c r="QYN146" s="22"/>
      <c r="QYO146" s="22"/>
      <c r="QYP146" s="22"/>
      <c r="QYQ146" s="22"/>
      <c r="QYR146" s="22"/>
      <c r="QYS146" s="22"/>
      <c r="QYT146" s="22"/>
      <c r="QYU146" s="22"/>
      <c r="QYV146" s="22"/>
      <c r="QYW146" s="22"/>
      <c r="QYX146" s="22"/>
      <c r="QYY146" s="22"/>
      <c r="QYZ146" s="22"/>
      <c r="QZA146" s="22"/>
      <c r="QZB146" s="22"/>
      <c r="QZC146" s="22"/>
      <c r="QZD146" s="22"/>
      <c r="QZE146" s="22"/>
      <c r="QZF146" s="22"/>
      <c r="QZG146" s="22"/>
      <c r="QZH146" s="22"/>
      <c r="QZI146" s="22"/>
      <c r="QZJ146" s="22"/>
      <c r="QZK146" s="22"/>
      <c r="QZL146" s="22"/>
      <c r="QZM146" s="22"/>
      <c r="QZN146" s="22"/>
      <c r="QZO146" s="22"/>
      <c r="QZP146" s="22"/>
      <c r="QZQ146" s="22"/>
      <c r="QZR146" s="22"/>
      <c r="QZS146" s="22"/>
      <c r="QZT146" s="22"/>
      <c r="QZU146" s="22"/>
      <c r="QZV146" s="22"/>
      <c r="QZW146" s="22"/>
      <c r="QZX146" s="22"/>
      <c r="QZY146" s="22"/>
      <c r="QZZ146" s="22"/>
      <c r="RAA146" s="22"/>
      <c r="RAB146" s="22"/>
      <c r="RAC146" s="22"/>
      <c r="RAD146" s="22"/>
      <c r="RAE146" s="22"/>
      <c r="RAF146" s="22"/>
      <c r="RAG146" s="22"/>
      <c r="RAH146" s="22"/>
      <c r="RAI146" s="22"/>
      <c r="RAJ146" s="22"/>
      <c r="RAK146" s="22"/>
      <c r="RAL146" s="22"/>
      <c r="RAM146" s="22"/>
      <c r="RAN146" s="22"/>
      <c r="RAO146" s="22"/>
      <c r="RAP146" s="22"/>
      <c r="RAQ146" s="22"/>
      <c r="RAR146" s="22"/>
      <c r="RAS146" s="22"/>
      <c r="RAT146" s="22"/>
      <c r="RAU146" s="22"/>
      <c r="RAV146" s="22"/>
      <c r="RAW146" s="22"/>
      <c r="RAX146" s="22"/>
      <c r="RAY146" s="22"/>
      <c r="RAZ146" s="22"/>
      <c r="RBA146" s="22"/>
      <c r="RBB146" s="22"/>
      <c r="RBC146" s="22"/>
      <c r="RBD146" s="22"/>
      <c r="RBE146" s="22"/>
      <c r="RBF146" s="22"/>
      <c r="RBG146" s="22"/>
      <c r="RBH146" s="22"/>
      <c r="RBI146" s="22"/>
      <c r="RBJ146" s="22"/>
      <c r="RBK146" s="22"/>
      <c r="RBL146" s="22"/>
      <c r="RBM146" s="22"/>
      <c r="RBN146" s="22"/>
      <c r="RBO146" s="22"/>
      <c r="RBP146" s="22"/>
      <c r="RBQ146" s="22"/>
      <c r="RBR146" s="22"/>
      <c r="RBS146" s="22"/>
      <c r="RBT146" s="22"/>
      <c r="RBU146" s="22"/>
      <c r="RBV146" s="22"/>
      <c r="RBW146" s="22"/>
      <c r="RBX146" s="22"/>
      <c r="RBY146" s="22"/>
      <c r="RBZ146" s="22"/>
      <c r="RCA146" s="22"/>
      <c r="RCB146" s="22"/>
      <c r="RCC146" s="22"/>
      <c r="RCD146" s="22"/>
      <c r="RCE146" s="22"/>
      <c r="RCF146" s="22"/>
      <c r="RCG146" s="22"/>
      <c r="RCH146" s="22"/>
      <c r="RCI146" s="22"/>
      <c r="RCJ146" s="22"/>
      <c r="RCK146" s="22"/>
      <c r="RCL146" s="22"/>
      <c r="RCM146" s="22"/>
      <c r="RCN146" s="22"/>
      <c r="RCO146" s="22"/>
      <c r="RCP146" s="22"/>
      <c r="RCQ146" s="22"/>
      <c r="RCR146" s="22"/>
      <c r="RCS146" s="22"/>
      <c r="RCT146" s="22"/>
      <c r="RCU146" s="22"/>
      <c r="RCV146" s="22"/>
      <c r="RCW146" s="22"/>
      <c r="RCX146" s="22"/>
      <c r="RCY146" s="22"/>
      <c r="RCZ146" s="22"/>
      <c r="RDA146" s="22"/>
      <c r="RDB146" s="22"/>
      <c r="RDC146" s="22"/>
      <c r="RDD146" s="22"/>
      <c r="RDE146" s="22"/>
      <c r="RDF146" s="22"/>
      <c r="RDG146" s="22"/>
      <c r="RDH146" s="22"/>
      <c r="RDI146" s="22"/>
      <c r="RDJ146" s="22"/>
      <c r="RDK146" s="22"/>
      <c r="RDL146" s="22"/>
      <c r="RDM146" s="22"/>
      <c r="RDN146" s="22"/>
      <c r="RDO146" s="22"/>
      <c r="RDP146" s="22"/>
      <c r="RDQ146" s="22"/>
      <c r="RDR146" s="22"/>
      <c r="RDS146" s="22"/>
      <c r="RDT146" s="22"/>
      <c r="RDU146" s="22"/>
      <c r="RDV146" s="22"/>
      <c r="RDW146" s="22"/>
      <c r="RDX146" s="22"/>
      <c r="RDY146" s="22"/>
      <c r="RDZ146" s="22"/>
      <c r="REA146" s="22"/>
      <c r="REB146" s="22"/>
      <c r="REC146" s="22"/>
      <c r="RED146" s="22"/>
      <c r="REE146" s="22"/>
      <c r="REF146" s="22"/>
      <c r="REG146" s="22"/>
      <c r="REH146" s="22"/>
      <c r="REI146" s="22"/>
      <c r="REJ146" s="22"/>
      <c r="REK146" s="22"/>
      <c r="REL146" s="22"/>
      <c r="REM146" s="22"/>
      <c r="REN146" s="22"/>
      <c r="REO146" s="22"/>
      <c r="REP146" s="22"/>
      <c r="REQ146" s="22"/>
      <c r="RER146" s="22"/>
      <c r="RES146" s="22"/>
      <c r="RET146" s="22"/>
      <c r="REU146" s="22"/>
      <c r="REV146" s="22"/>
      <c r="REW146" s="22"/>
      <c r="REX146" s="22"/>
      <c r="REY146" s="22"/>
      <c r="REZ146" s="22"/>
      <c r="RFA146" s="22"/>
      <c r="RFB146" s="22"/>
      <c r="RFC146" s="22"/>
      <c r="RFD146" s="22"/>
      <c r="RFE146" s="22"/>
      <c r="RFF146" s="22"/>
      <c r="RFG146" s="22"/>
      <c r="RFH146" s="22"/>
      <c r="RFI146" s="22"/>
      <c r="RFJ146" s="22"/>
      <c r="RFK146" s="22"/>
      <c r="RFL146" s="22"/>
      <c r="RFM146" s="22"/>
      <c r="RFN146" s="22"/>
      <c r="RFO146" s="22"/>
      <c r="RFP146" s="22"/>
      <c r="RFQ146" s="22"/>
      <c r="RFR146" s="22"/>
      <c r="RFS146" s="22"/>
      <c r="RFT146" s="22"/>
      <c r="RFU146" s="22"/>
      <c r="RFV146" s="22"/>
      <c r="RFW146" s="22"/>
      <c r="RFX146" s="22"/>
      <c r="RFY146" s="22"/>
      <c r="RFZ146" s="22"/>
      <c r="RGA146" s="22"/>
      <c r="RGB146" s="22"/>
      <c r="RGC146" s="22"/>
      <c r="RGD146" s="22"/>
      <c r="RGE146" s="22"/>
      <c r="RGF146" s="22"/>
      <c r="RGG146" s="22"/>
      <c r="RGH146" s="22"/>
      <c r="RGI146" s="22"/>
      <c r="RGJ146" s="22"/>
      <c r="RGK146" s="22"/>
      <c r="RGL146" s="22"/>
      <c r="RGM146" s="22"/>
      <c r="RGN146" s="22"/>
      <c r="RGO146" s="22"/>
      <c r="RGP146" s="22"/>
      <c r="RGQ146" s="22"/>
      <c r="RGR146" s="22"/>
      <c r="RGS146" s="22"/>
      <c r="RGT146" s="22"/>
      <c r="RGU146" s="22"/>
      <c r="RGV146" s="22"/>
      <c r="RGW146" s="22"/>
      <c r="RGX146" s="22"/>
      <c r="RGY146" s="22"/>
      <c r="RGZ146" s="22"/>
      <c r="RHA146" s="22"/>
      <c r="RHB146" s="22"/>
      <c r="RHC146" s="22"/>
      <c r="RHD146" s="22"/>
      <c r="RHE146" s="22"/>
      <c r="RHF146" s="22"/>
      <c r="RHG146" s="22"/>
      <c r="RHH146" s="22"/>
      <c r="RHI146" s="22"/>
      <c r="RHJ146" s="22"/>
      <c r="RHK146" s="22"/>
      <c r="RHL146" s="22"/>
      <c r="RHM146" s="22"/>
      <c r="RHN146" s="22"/>
      <c r="RHO146" s="22"/>
      <c r="RHP146" s="22"/>
      <c r="RHQ146" s="22"/>
      <c r="RHR146" s="22"/>
      <c r="RHS146" s="22"/>
      <c r="RHT146" s="22"/>
      <c r="RHU146" s="22"/>
      <c r="RHV146" s="22"/>
      <c r="RHW146" s="22"/>
      <c r="RHX146" s="22"/>
      <c r="RHY146" s="22"/>
      <c r="RHZ146" s="22"/>
      <c r="RIA146" s="22"/>
      <c r="RIB146" s="22"/>
      <c r="RIC146" s="22"/>
      <c r="RID146" s="22"/>
      <c r="RIE146" s="22"/>
      <c r="RIF146" s="22"/>
      <c r="RIG146" s="22"/>
      <c r="RIH146" s="22"/>
      <c r="RII146" s="22"/>
      <c r="RIJ146" s="22"/>
      <c r="RIK146" s="22"/>
      <c r="RIL146" s="22"/>
      <c r="RIM146" s="22"/>
      <c r="RIN146" s="22"/>
      <c r="RIO146" s="22"/>
      <c r="RIP146" s="22"/>
      <c r="RIQ146" s="22"/>
      <c r="RIR146" s="22"/>
      <c r="RIS146" s="22"/>
      <c r="RIT146" s="22"/>
      <c r="RIU146" s="22"/>
      <c r="RIV146" s="22"/>
      <c r="RIW146" s="22"/>
      <c r="RIX146" s="22"/>
      <c r="RIY146" s="22"/>
      <c r="RIZ146" s="22"/>
      <c r="RJA146" s="22"/>
      <c r="RJB146" s="22"/>
      <c r="RJC146" s="22"/>
      <c r="RJD146" s="22"/>
      <c r="RJE146" s="22"/>
      <c r="RJF146" s="22"/>
      <c r="RJG146" s="22"/>
      <c r="RJH146" s="22"/>
      <c r="RJI146" s="22"/>
      <c r="RJJ146" s="22"/>
      <c r="RJK146" s="22"/>
      <c r="RJL146" s="22"/>
      <c r="RJM146" s="22"/>
      <c r="RJN146" s="22"/>
      <c r="RJO146" s="22"/>
      <c r="RJP146" s="22"/>
      <c r="RJQ146" s="22"/>
      <c r="RJR146" s="22"/>
      <c r="RJS146" s="22"/>
      <c r="RJT146" s="22"/>
      <c r="RJU146" s="22"/>
      <c r="RJV146" s="22"/>
      <c r="RJW146" s="22"/>
      <c r="RJX146" s="22"/>
      <c r="RJY146" s="22"/>
      <c r="RJZ146" s="22"/>
      <c r="RKA146" s="22"/>
      <c r="RKB146" s="22"/>
      <c r="RKC146" s="22"/>
      <c r="RKD146" s="22"/>
      <c r="RKE146" s="22"/>
      <c r="RKF146" s="22"/>
      <c r="RKG146" s="22"/>
      <c r="RKH146" s="22"/>
      <c r="RKI146" s="22"/>
      <c r="RKJ146" s="22"/>
      <c r="RKK146" s="22"/>
      <c r="RKL146" s="22"/>
      <c r="RKM146" s="22"/>
      <c r="RKN146" s="22"/>
      <c r="RKO146" s="22"/>
      <c r="RKP146" s="22"/>
      <c r="RKQ146" s="22"/>
      <c r="RKR146" s="22"/>
      <c r="RKS146" s="22"/>
      <c r="RKT146" s="22"/>
      <c r="RKU146" s="22"/>
      <c r="RKV146" s="22"/>
      <c r="RKW146" s="22"/>
      <c r="RKX146" s="22"/>
      <c r="RKY146" s="22"/>
      <c r="RKZ146" s="22"/>
      <c r="RLA146" s="22"/>
      <c r="RLB146" s="22"/>
      <c r="RLC146" s="22"/>
      <c r="RLD146" s="22"/>
      <c r="RLE146" s="22"/>
      <c r="RLF146" s="22"/>
      <c r="RLG146" s="22"/>
      <c r="RLH146" s="22"/>
      <c r="RLI146" s="22"/>
      <c r="RLJ146" s="22"/>
      <c r="RLK146" s="22"/>
      <c r="RLL146" s="22"/>
      <c r="RLM146" s="22"/>
      <c r="RLN146" s="22"/>
      <c r="RLO146" s="22"/>
      <c r="RLP146" s="22"/>
      <c r="RLQ146" s="22"/>
      <c r="RLR146" s="22"/>
      <c r="RLS146" s="22"/>
      <c r="RLT146" s="22"/>
      <c r="RLU146" s="22"/>
      <c r="RLV146" s="22"/>
      <c r="RLW146" s="22"/>
      <c r="RLX146" s="22"/>
      <c r="RLY146" s="22"/>
      <c r="RLZ146" s="22"/>
      <c r="RMA146" s="22"/>
      <c r="RMB146" s="22"/>
      <c r="RMC146" s="22"/>
      <c r="RMD146" s="22"/>
      <c r="RME146" s="22"/>
      <c r="RMF146" s="22"/>
      <c r="RMG146" s="22"/>
      <c r="RMH146" s="22"/>
      <c r="RMI146" s="22"/>
      <c r="RMJ146" s="22"/>
      <c r="RMK146" s="22"/>
      <c r="RML146" s="22"/>
      <c r="RMM146" s="22"/>
      <c r="RMN146" s="22"/>
      <c r="RMO146" s="22"/>
      <c r="RMP146" s="22"/>
      <c r="RMQ146" s="22"/>
      <c r="RMR146" s="22"/>
      <c r="RMS146" s="22"/>
      <c r="RMT146" s="22"/>
      <c r="RMU146" s="22"/>
      <c r="RMV146" s="22"/>
      <c r="RMW146" s="22"/>
      <c r="RMX146" s="22"/>
      <c r="RMY146" s="22"/>
      <c r="RMZ146" s="22"/>
      <c r="RNA146" s="22"/>
      <c r="RNB146" s="22"/>
      <c r="RNC146" s="22"/>
      <c r="RND146" s="22"/>
      <c r="RNE146" s="22"/>
      <c r="RNF146" s="22"/>
      <c r="RNG146" s="22"/>
      <c r="RNH146" s="22"/>
      <c r="RNI146" s="22"/>
      <c r="RNJ146" s="22"/>
      <c r="RNK146" s="22"/>
      <c r="RNL146" s="22"/>
      <c r="RNM146" s="22"/>
      <c r="RNN146" s="22"/>
      <c r="RNO146" s="22"/>
      <c r="RNP146" s="22"/>
      <c r="RNQ146" s="22"/>
      <c r="RNR146" s="22"/>
      <c r="RNS146" s="22"/>
      <c r="RNT146" s="22"/>
      <c r="RNU146" s="22"/>
      <c r="RNV146" s="22"/>
      <c r="RNW146" s="22"/>
      <c r="RNX146" s="22"/>
      <c r="RNY146" s="22"/>
      <c r="RNZ146" s="22"/>
      <c r="ROA146" s="22"/>
      <c r="ROB146" s="22"/>
      <c r="ROC146" s="22"/>
      <c r="ROD146" s="22"/>
      <c r="ROE146" s="22"/>
      <c r="ROF146" s="22"/>
      <c r="ROG146" s="22"/>
      <c r="ROH146" s="22"/>
      <c r="ROI146" s="22"/>
      <c r="ROJ146" s="22"/>
      <c r="ROK146" s="22"/>
      <c r="ROL146" s="22"/>
      <c r="ROM146" s="22"/>
      <c r="RON146" s="22"/>
      <c r="ROO146" s="22"/>
      <c r="ROP146" s="22"/>
      <c r="ROQ146" s="22"/>
      <c r="ROR146" s="22"/>
      <c r="ROS146" s="22"/>
      <c r="ROT146" s="22"/>
      <c r="ROU146" s="22"/>
      <c r="ROV146" s="22"/>
      <c r="ROW146" s="22"/>
      <c r="ROX146" s="22"/>
      <c r="ROY146" s="22"/>
      <c r="ROZ146" s="22"/>
      <c r="RPA146" s="22"/>
      <c r="RPB146" s="22"/>
      <c r="RPC146" s="22"/>
      <c r="RPD146" s="22"/>
      <c r="RPE146" s="22"/>
      <c r="RPF146" s="22"/>
      <c r="RPG146" s="22"/>
      <c r="RPH146" s="22"/>
      <c r="RPI146" s="22"/>
      <c r="RPJ146" s="22"/>
      <c r="RPK146" s="22"/>
      <c r="RPL146" s="22"/>
      <c r="RPM146" s="22"/>
      <c r="RPN146" s="22"/>
      <c r="RPO146" s="22"/>
      <c r="RPP146" s="22"/>
      <c r="RPQ146" s="22"/>
      <c r="RPR146" s="22"/>
      <c r="RPS146" s="22"/>
      <c r="RPT146" s="22"/>
      <c r="RPU146" s="22"/>
      <c r="RPV146" s="22"/>
      <c r="RPW146" s="22"/>
      <c r="RPX146" s="22"/>
      <c r="RPY146" s="22"/>
      <c r="RPZ146" s="22"/>
      <c r="RQA146" s="22"/>
      <c r="RQB146" s="22"/>
      <c r="RQC146" s="22"/>
      <c r="RQD146" s="22"/>
      <c r="RQE146" s="22"/>
      <c r="RQF146" s="22"/>
      <c r="RQG146" s="22"/>
      <c r="RQH146" s="22"/>
      <c r="RQI146" s="22"/>
      <c r="RQJ146" s="22"/>
      <c r="RQK146" s="22"/>
      <c r="RQL146" s="22"/>
      <c r="RQM146" s="22"/>
      <c r="RQN146" s="22"/>
      <c r="RQO146" s="22"/>
      <c r="RQP146" s="22"/>
      <c r="RQQ146" s="22"/>
      <c r="RQR146" s="22"/>
      <c r="RQS146" s="22"/>
      <c r="RQT146" s="22"/>
      <c r="RQU146" s="22"/>
      <c r="RQV146" s="22"/>
      <c r="RQW146" s="22"/>
      <c r="RQX146" s="22"/>
      <c r="RQY146" s="22"/>
      <c r="RQZ146" s="22"/>
      <c r="RRA146" s="22"/>
      <c r="RRB146" s="22"/>
      <c r="RRC146" s="22"/>
      <c r="RRD146" s="22"/>
      <c r="RRE146" s="22"/>
      <c r="RRF146" s="22"/>
      <c r="RRG146" s="22"/>
      <c r="RRH146" s="22"/>
      <c r="RRI146" s="22"/>
      <c r="RRJ146" s="22"/>
      <c r="RRK146" s="22"/>
      <c r="RRL146" s="22"/>
      <c r="RRM146" s="22"/>
      <c r="RRN146" s="22"/>
      <c r="RRO146" s="22"/>
      <c r="RRP146" s="22"/>
      <c r="RRQ146" s="22"/>
      <c r="RRR146" s="22"/>
      <c r="RRS146" s="22"/>
      <c r="RRT146" s="22"/>
      <c r="RRU146" s="22"/>
      <c r="RRV146" s="22"/>
      <c r="RRW146" s="22"/>
      <c r="RRX146" s="22"/>
      <c r="RRY146" s="22"/>
      <c r="RRZ146" s="22"/>
      <c r="RSA146" s="22"/>
      <c r="RSB146" s="22"/>
      <c r="RSC146" s="22"/>
      <c r="RSD146" s="22"/>
      <c r="RSE146" s="22"/>
      <c r="RSF146" s="22"/>
      <c r="RSG146" s="22"/>
      <c r="RSH146" s="22"/>
      <c r="RSI146" s="22"/>
      <c r="RSJ146" s="22"/>
      <c r="RSK146" s="22"/>
      <c r="RSL146" s="22"/>
      <c r="RSM146" s="22"/>
      <c r="RSN146" s="22"/>
      <c r="RSO146" s="22"/>
      <c r="RSP146" s="22"/>
      <c r="RSQ146" s="22"/>
      <c r="RSR146" s="22"/>
      <c r="RSS146" s="22"/>
      <c r="RST146" s="22"/>
      <c r="RSU146" s="22"/>
      <c r="RSV146" s="22"/>
      <c r="RSW146" s="22"/>
      <c r="RSX146" s="22"/>
      <c r="RSY146" s="22"/>
      <c r="RSZ146" s="22"/>
      <c r="RTA146" s="22"/>
      <c r="RTB146" s="22"/>
      <c r="RTC146" s="22"/>
      <c r="RTD146" s="22"/>
      <c r="RTE146" s="22"/>
      <c r="RTF146" s="22"/>
      <c r="RTG146" s="22"/>
      <c r="RTH146" s="22"/>
      <c r="RTI146" s="22"/>
      <c r="RTJ146" s="22"/>
      <c r="RTK146" s="22"/>
      <c r="RTL146" s="22"/>
      <c r="RTM146" s="22"/>
      <c r="RTN146" s="22"/>
      <c r="RTO146" s="22"/>
      <c r="RTP146" s="22"/>
      <c r="RTQ146" s="22"/>
      <c r="RTR146" s="22"/>
      <c r="RTS146" s="22"/>
      <c r="RTT146" s="22"/>
      <c r="RTU146" s="22"/>
      <c r="RTV146" s="22"/>
      <c r="RTW146" s="22"/>
      <c r="RTX146" s="22"/>
      <c r="RTY146" s="22"/>
      <c r="RTZ146" s="22"/>
      <c r="RUA146" s="22"/>
      <c r="RUB146" s="22"/>
      <c r="RUC146" s="22"/>
      <c r="RUD146" s="22"/>
      <c r="RUE146" s="22"/>
      <c r="RUF146" s="22"/>
      <c r="RUG146" s="22"/>
      <c r="RUH146" s="22"/>
      <c r="RUI146" s="22"/>
      <c r="RUJ146" s="22"/>
      <c r="RUK146" s="22"/>
      <c r="RUL146" s="22"/>
      <c r="RUM146" s="22"/>
      <c r="RUN146" s="22"/>
      <c r="RUO146" s="22"/>
      <c r="RUP146" s="22"/>
      <c r="RUQ146" s="22"/>
      <c r="RUR146" s="22"/>
      <c r="RUS146" s="22"/>
      <c r="RUT146" s="22"/>
      <c r="RUU146" s="22"/>
      <c r="RUV146" s="22"/>
      <c r="RUW146" s="22"/>
      <c r="RUX146" s="22"/>
      <c r="RUY146" s="22"/>
      <c r="RUZ146" s="22"/>
      <c r="RVA146" s="22"/>
      <c r="RVB146" s="22"/>
      <c r="RVC146" s="22"/>
      <c r="RVD146" s="22"/>
      <c r="RVE146" s="22"/>
      <c r="RVF146" s="22"/>
      <c r="RVG146" s="22"/>
      <c r="RVH146" s="22"/>
      <c r="RVI146" s="22"/>
      <c r="RVJ146" s="22"/>
      <c r="RVK146" s="22"/>
      <c r="RVL146" s="22"/>
      <c r="RVM146" s="22"/>
      <c r="RVN146" s="22"/>
      <c r="RVO146" s="22"/>
      <c r="RVP146" s="22"/>
      <c r="RVQ146" s="22"/>
      <c r="RVR146" s="22"/>
      <c r="RVS146" s="22"/>
      <c r="RVT146" s="22"/>
      <c r="RVU146" s="22"/>
      <c r="RVV146" s="22"/>
      <c r="RVW146" s="22"/>
      <c r="RVX146" s="22"/>
      <c r="RVY146" s="22"/>
      <c r="RVZ146" s="22"/>
      <c r="RWA146" s="22"/>
      <c r="RWB146" s="22"/>
      <c r="RWC146" s="22"/>
      <c r="RWD146" s="22"/>
      <c r="RWE146" s="22"/>
      <c r="RWF146" s="22"/>
      <c r="RWG146" s="22"/>
      <c r="RWH146" s="22"/>
      <c r="RWI146" s="22"/>
      <c r="RWJ146" s="22"/>
      <c r="RWK146" s="22"/>
      <c r="RWL146" s="22"/>
      <c r="RWM146" s="22"/>
      <c r="RWN146" s="22"/>
      <c r="RWO146" s="22"/>
      <c r="RWP146" s="22"/>
      <c r="RWQ146" s="22"/>
      <c r="RWR146" s="22"/>
      <c r="RWS146" s="22"/>
      <c r="RWT146" s="22"/>
      <c r="RWU146" s="22"/>
      <c r="RWV146" s="22"/>
      <c r="RWW146" s="22"/>
      <c r="RWX146" s="22"/>
      <c r="RWY146" s="22"/>
      <c r="RWZ146" s="22"/>
      <c r="RXA146" s="22"/>
      <c r="RXB146" s="22"/>
      <c r="RXC146" s="22"/>
      <c r="RXD146" s="22"/>
      <c r="RXE146" s="22"/>
      <c r="RXF146" s="22"/>
      <c r="RXG146" s="22"/>
      <c r="RXH146" s="22"/>
      <c r="RXI146" s="22"/>
      <c r="RXJ146" s="22"/>
      <c r="RXK146" s="22"/>
      <c r="RXL146" s="22"/>
      <c r="RXM146" s="22"/>
      <c r="RXN146" s="22"/>
      <c r="RXO146" s="22"/>
      <c r="RXP146" s="22"/>
      <c r="RXQ146" s="22"/>
      <c r="RXR146" s="22"/>
      <c r="RXS146" s="22"/>
      <c r="RXT146" s="22"/>
      <c r="RXU146" s="22"/>
      <c r="RXV146" s="22"/>
      <c r="RXW146" s="22"/>
      <c r="RXX146" s="22"/>
      <c r="RXY146" s="22"/>
      <c r="RXZ146" s="22"/>
      <c r="RYA146" s="22"/>
      <c r="RYB146" s="22"/>
      <c r="RYC146" s="22"/>
      <c r="RYD146" s="22"/>
      <c r="RYE146" s="22"/>
      <c r="RYF146" s="22"/>
      <c r="RYG146" s="22"/>
      <c r="RYH146" s="22"/>
      <c r="RYI146" s="22"/>
      <c r="RYJ146" s="22"/>
      <c r="RYK146" s="22"/>
      <c r="RYL146" s="22"/>
      <c r="RYM146" s="22"/>
      <c r="RYN146" s="22"/>
      <c r="RYO146" s="22"/>
      <c r="RYP146" s="22"/>
      <c r="RYQ146" s="22"/>
      <c r="RYR146" s="22"/>
      <c r="RYS146" s="22"/>
      <c r="RYT146" s="22"/>
      <c r="RYU146" s="22"/>
      <c r="RYV146" s="22"/>
      <c r="RYW146" s="22"/>
      <c r="RYX146" s="22"/>
      <c r="RYY146" s="22"/>
      <c r="RYZ146" s="22"/>
      <c r="RZA146" s="22"/>
      <c r="RZB146" s="22"/>
      <c r="RZC146" s="22"/>
      <c r="RZD146" s="22"/>
      <c r="RZE146" s="22"/>
      <c r="RZF146" s="22"/>
      <c r="RZG146" s="22"/>
      <c r="RZH146" s="22"/>
      <c r="RZI146" s="22"/>
      <c r="RZJ146" s="22"/>
      <c r="RZK146" s="22"/>
      <c r="RZL146" s="22"/>
      <c r="RZM146" s="22"/>
      <c r="RZN146" s="22"/>
      <c r="RZO146" s="22"/>
      <c r="RZP146" s="22"/>
      <c r="RZQ146" s="22"/>
      <c r="RZR146" s="22"/>
      <c r="RZS146" s="22"/>
      <c r="RZT146" s="22"/>
      <c r="RZU146" s="22"/>
      <c r="RZV146" s="22"/>
      <c r="RZW146" s="22"/>
      <c r="RZX146" s="22"/>
      <c r="RZY146" s="22"/>
      <c r="RZZ146" s="22"/>
      <c r="SAA146" s="22"/>
      <c r="SAB146" s="22"/>
      <c r="SAC146" s="22"/>
      <c r="SAD146" s="22"/>
      <c r="SAE146" s="22"/>
      <c r="SAF146" s="22"/>
      <c r="SAG146" s="22"/>
      <c r="SAH146" s="22"/>
      <c r="SAI146" s="22"/>
      <c r="SAJ146" s="22"/>
      <c r="SAK146" s="22"/>
      <c r="SAL146" s="22"/>
      <c r="SAM146" s="22"/>
      <c r="SAN146" s="22"/>
      <c r="SAO146" s="22"/>
      <c r="SAP146" s="22"/>
      <c r="SAQ146" s="22"/>
      <c r="SAR146" s="22"/>
      <c r="SAS146" s="22"/>
      <c r="SAT146" s="22"/>
      <c r="SAU146" s="22"/>
      <c r="SAV146" s="22"/>
      <c r="SAW146" s="22"/>
      <c r="SAX146" s="22"/>
      <c r="SAY146" s="22"/>
      <c r="SAZ146" s="22"/>
      <c r="SBA146" s="22"/>
      <c r="SBB146" s="22"/>
      <c r="SBC146" s="22"/>
      <c r="SBD146" s="22"/>
      <c r="SBE146" s="22"/>
      <c r="SBF146" s="22"/>
      <c r="SBG146" s="22"/>
      <c r="SBH146" s="22"/>
      <c r="SBI146" s="22"/>
      <c r="SBJ146" s="22"/>
      <c r="SBK146" s="22"/>
      <c r="SBL146" s="22"/>
      <c r="SBM146" s="22"/>
      <c r="SBN146" s="22"/>
      <c r="SBO146" s="22"/>
      <c r="SBP146" s="22"/>
      <c r="SBQ146" s="22"/>
      <c r="SBR146" s="22"/>
      <c r="SBS146" s="22"/>
      <c r="SBT146" s="22"/>
      <c r="SBU146" s="22"/>
      <c r="SBV146" s="22"/>
      <c r="SBW146" s="22"/>
      <c r="SBX146" s="22"/>
      <c r="SBY146" s="22"/>
      <c r="SBZ146" s="22"/>
      <c r="SCA146" s="22"/>
      <c r="SCB146" s="22"/>
      <c r="SCC146" s="22"/>
      <c r="SCD146" s="22"/>
      <c r="SCE146" s="22"/>
      <c r="SCF146" s="22"/>
      <c r="SCG146" s="22"/>
      <c r="SCH146" s="22"/>
      <c r="SCI146" s="22"/>
      <c r="SCJ146" s="22"/>
      <c r="SCK146" s="22"/>
      <c r="SCL146" s="22"/>
      <c r="SCM146" s="22"/>
      <c r="SCN146" s="22"/>
      <c r="SCO146" s="22"/>
      <c r="SCP146" s="22"/>
      <c r="SCQ146" s="22"/>
      <c r="SCR146" s="22"/>
      <c r="SCS146" s="22"/>
      <c r="SCT146" s="22"/>
      <c r="SCU146" s="22"/>
      <c r="SCV146" s="22"/>
      <c r="SCW146" s="22"/>
      <c r="SCX146" s="22"/>
      <c r="SCY146" s="22"/>
      <c r="SCZ146" s="22"/>
      <c r="SDA146" s="22"/>
      <c r="SDB146" s="22"/>
      <c r="SDC146" s="22"/>
      <c r="SDD146" s="22"/>
      <c r="SDE146" s="22"/>
      <c r="SDF146" s="22"/>
      <c r="SDG146" s="22"/>
      <c r="SDH146" s="22"/>
      <c r="SDI146" s="22"/>
      <c r="SDJ146" s="22"/>
      <c r="SDK146" s="22"/>
      <c r="SDL146" s="22"/>
      <c r="SDM146" s="22"/>
      <c r="SDN146" s="22"/>
      <c r="SDO146" s="22"/>
      <c r="SDP146" s="22"/>
      <c r="SDQ146" s="22"/>
      <c r="SDR146" s="22"/>
      <c r="SDS146" s="22"/>
      <c r="SDT146" s="22"/>
      <c r="SDU146" s="22"/>
      <c r="SDV146" s="22"/>
      <c r="SDW146" s="22"/>
      <c r="SDX146" s="22"/>
      <c r="SDY146" s="22"/>
      <c r="SDZ146" s="22"/>
      <c r="SEA146" s="22"/>
      <c r="SEB146" s="22"/>
      <c r="SEC146" s="22"/>
      <c r="SED146" s="22"/>
      <c r="SEE146" s="22"/>
      <c r="SEF146" s="22"/>
      <c r="SEG146" s="22"/>
      <c r="SEH146" s="22"/>
      <c r="SEI146" s="22"/>
      <c r="SEJ146" s="22"/>
      <c r="SEK146" s="22"/>
      <c r="SEL146" s="22"/>
      <c r="SEM146" s="22"/>
      <c r="SEN146" s="22"/>
      <c r="SEO146" s="22"/>
      <c r="SEP146" s="22"/>
      <c r="SEQ146" s="22"/>
      <c r="SER146" s="22"/>
      <c r="SES146" s="22"/>
      <c r="SET146" s="22"/>
      <c r="SEU146" s="22"/>
      <c r="SEV146" s="22"/>
      <c r="SEW146" s="22"/>
      <c r="SEX146" s="22"/>
      <c r="SEY146" s="22"/>
      <c r="SEZ146" s="22"/>
      <c r="SFA146" s="22"/>
      <c r="SFB146" s="22"/>
      <c r="SFC146" s="22"/>
      <c r="SFD146" s="22"/>
      <c r="SFE146" s="22"/>
      <c r="SFF146" s="22"/>
      <c r="SFG146" s="22"/>
      <c r="SFH146" s="22"/>
      <c r="SFI146" s="22"/>
      <c r="SFJ146" s="22"/>
      <c r="SFK146" s="22"/>
      <c r="SFL146" s="22"/>
      <c r="SFM146" s="22"/>
      <c r="SFN146" s="22"/>
      <c r="SFO146" s="22"/>
      <c r="SFP146" s="22"/>
      <c r="SFQ146" s="22"/>
      <c r="SFR146" s="22"/>
      <c r="SFS146" s="22"/>
      <c r="SFT146" s="22"/>
      <c r="SFU146" s="22"/>
      <c r="SFV146" s="22"/>
      <c r="SFW146" s="22"/>
      <c r="SFX146" s="22"/>
      <c r="SFY146" s="22"/>
      <c r="SFZ146" s="22"/>
      <c r="SGA146" s="22"/>
      <c r="SGB146" s="22"/>
      <c r="SGC146" s="22"/>
      <c r="SGD146" s="22"/>
      <c r="SGE146" s="22"/>
      <c r="SGF146" s="22"/>
      <c r="SGG146" s="22"/>
      <c r="SGH146" s="22"/>
      <c r="SGI146" s="22"/>
      <c r="SGJ146" s="22"/>
      <c r="SGK146" s="22"/>
      <c r="SGL146" s="22"/>
      <c r="SGM146" s="22"/>
      <c r="SGN146" s="22"/>
      <c r="SGO146" s="22"/>
      <c r="SGP146" s="22"/>
      <c r="SGQ146" s="22"/>
      <c r="SGR146" s="22"/>
      <c r="SGS146" s="22"/>
      <c r="SGT146" s="22"/>
      <c r="SGU146" s="22"/>
      <c r="SGV146" s="22"/>
      <c r="SGW146" s="22"/>
      <c r="SGX146" s="22"/>
      <c r="SGY146" s="22"/>
      <c r="SGZ146" s="22"/>
      <c r="SHA146" s="22"/>
      <c r="SHB146" s="22"/>
      <c r="SHC146" s="22"/>
      <c r="SHD146" s="22"/>
      <c r="SHE146" s="22"/>
      <c r="SHF146" s="22"/>
      <c r="SHG146" s="22"/>
      <c r="SHH146" s="22"/>
      <c r="SHI146" s="22"/>
      <c r="SHJ146" s="22"/>
      <c r="SHK146" s="22"/>
      <c r="SHL146" s="22"/>
      <c r="SHM146" s="22"/>
      <c r="SHN146" s="22"/>
      <c r="SHO146" s="22"/>
      <c r="SHP146" s="22"/>
      <c r="SHQ146" s="22"/>
      <c r="SHR146" s="22"/>
      <c r="SHS146" s="22"/>
      <c r="SHT146" s="22"/>
      <c r="SHU146" s="22"/>
      <c r="SHV146" s="22"/>
      <c r="SHW146" s="22"/>
      <c r="SHX146" s="22"/>
      <c r="SHY146" s="22"/>
      <c r="SHZ146" s="22"/>
      <c r="SIA146" s="22"/>
      <c r="SIB146" s="22"/>
      <c r="SIC146" s="22"/>
      <c r="SID146" s="22"/>
      <c r="SIE146" s="22"/>
      <c r="SIF146" s="22"/>
      <c r="SIG146" s="22"/>
      <c r="SIH146" s="22"/>
      <c r="SII146" s="22"/>
      <c r="SIJ146" s="22"/>
      <c r="SIK146" s="22"/>
      <c r="SIL146" s="22"/>
      <c r="SIM146" s="22"/>
      <c r="SIN146" s="22"/>
      <c r="SIO146" s="22"/>
      <c r="SIP146" s="22"/>
      <c r="SIQ146" s="22"/>
      <c r="SIR146" s="22"/>
      <c r="SIS146" s="22"/>
      <c r="SIT146" s="22"/>
      <c r="SIU146" s="22"/>
      <c r="SIV146" s="22"/>
      <c r="SIW146" s="22"/>
      <c r="SIX146" s="22"/>
      <c r="SIY146" s="22"/>
      <c r="SIZ146" s="22"/>
      <c r="SJA146" s="22"/>
      <c r="SJB146" s="22"/>
      <c r="SJC146" s="22"/>
      <c r="SJD146" s="22"/>
      <c r="SJE146" s="22"/>
      <c r="SJF146" s="22"/>
      <c r="SJG146" s="22"/>
      <c r="SJH146" s="22"/>
      <c r="SJI146" s="22"/>
      <c r="SJJ146" s="22"/>
      <c r="SJK146" s="22"/>
      <c r="SJL146" s="22"/>
      <c r="SJM146" s="22"/>
      <c r="SJN146" s="22"/>
      <c r="SJO146" s="22"/>
      <c r="SJP146" s="22"/>
      <c r="SJQ146" s="22"/>
      <c r="SJR146" s="22"/>
      <c r="SJS146" s="22"/>
      <c r="SJT146" s="22"/>
      <c r="SJU146" s="22"/>
      <c r="SJV146" s="22"/>
      <c r="SJW146" s="22"/>
      <c r="SJX146" s="22"/>
      <c r="SJY146" s="22"/>
      <c r="SJZ146" s="22"/>
      <c r="SKA146" s="22"/>
      <c r="SKB146" s="22"/>
      <c r="SKC146" s="22"/>
      <c r="SKD146" s="22"/>
      <c r="SKE146" s="22"/>
      <c r="SKF146" s="22"/>
      <c r="SKG146" s="22"/>
      <c r="SKH146" s="22"/>
      <c r="SKI146" s="22"/>
      <c r="SKJ146" s="22"/>
      <c r="SKK146" s="22"/>
      <c r="SKL146" s="22"/>
      <c r="SKM146" s="22"/>
      <c r="SKN146" s="22"/>
      <c r="SKO146" s="22"/>
      <c r="SKP146" s="22"/>
      <c r="SKQ146" s="22"/>
      <c r="SKR146" s="22"/>
      <c r="SKS146" s="22"/>
      <c r="SKT146" s="22"/>
      <c r="SKU146" s="22"/>
      <c r="SKV146" s="22"/>
      <c r="SKW146" s="22"/>
      <c r="SKX146" s="22"/>
      <c r="SKY146" s="22"/>
      <c r="SKZ146" s="22"/>
      <c r="SLA146" s="22"/>
      <c r="SLB146" s="22"/>
      <c r="SLC146" s="22"/>
      <c r="SLD146" s="22"/>
      <c r="SLE146" s="22"/>
      <c r="SLF146" s="22"/>
      <c r="SLG146" s="22"/>
      <c r="SLH146" s="22"/>
      <c r="SLI146" s="22"/>
      <c r="SLJ146" s="22"/>
      <c r="SLK146" s="22"/>
      <c r="SLL146" s="22"/>
      <c r="SLM146" s="22"/>
      <c r="SLN146" s="22"/>
      <c r="SLO146" s="22"/>
      <c r="SLP146" s="22"/>
      <c r="SLQ146" s="22"/>
      <c r="SLR146" s="22"/>
      <c r="SLS146" s="22"/>
      <c r="SLT146" s="22"/>
      <c r="SLU146" s="22"/>
      <c r="SLV146" s="22"/>
      <c r="SLW146" s="22"/>
      <c r="SLX146" s="22"/>
      <c r="SLY146" s="22"/>
      <c r="SLZ146" s="22"/>
      <c r="SMA146" s="22"/>
      <c r="SMB146" s="22"/>
      <c r="SMC146" s="22"/>
      <c r="SMD146" s="22"/>
      <c r="SME146" s="22"/>
      <c r="SMF146" s="22"/>
      <c r="SMG146" s="22"/>
      <c r="SMH146" s="22"/>
      <c r="SMI146" s="22"/>
      <c r="SMJ146" s="22"/>
      <c r="SMK146" s="22"/>
      <c r="SML146" s="22"/>
      <c r="SMM146" s="22"/>
      <c r="SMN146" s="22"/>
      <c r="SMO146" s="22"/>
      <c r="SMP146" s="22"/>
      <c r="SMQ146" s="22"/>
      <c r="SMR146" s="22"/>
      <c r="SMS146" s="22"/>
      <c r="SMT146" s="22"/>
      <c r="SMU146" s="22"/>
      <c r="SMV146" s="22"/>
      <c r="SMW146" s="22"/>
      <c r="SMX146" s="22"/>
      <c r="SMY146" s="22"/>
      <c r="SMZ146" s="22"/>
      <c r="SNA146" s="22"/>
      <c r="SNB146" s="22"/>
      <c r="SNC146" s="22"/>
      <c r="SND146" s="22"/>
      <c r="SNE146" s="22"/>
      <c r="SNF146" s="22"/>
      <c r="SNG146" s="22"/>
      <c r="SNH146" s="22"/>
      <c r="SNI146" s="22"/>
      <c r="SNJ146" s="22"/>
      <c r="SNK146" s="22"/>
      <c r="SNL146" s="22"/>
      <c r="SNM146" s="22"/>
      <c r="SNN146" s="22"/>
      <c r="SNO146" s="22"/>
      <c r="SNP146" s="22"/>
      <c r="SNQ146" s="22"/>
      <c r="SNR146" s="22"/>
      <c r="SNS146" s="22"/>
      <c r="SNT146" s="22"/>
      <c r="SNU146" s="22"/>
      <c r="SNV146" s="22"/>
      <c r="SNW146" s="22"/>
      <c r="SNX146" s="22"/>
      <c r="SNY146" s="22"/>
      <c r="SNZ146" s="22"/>
      <c r="SOA146" s="22"/>
      <c r="SOB146" s="22"/>
      <c r="SOC146" s="22"/>
      <c r="SOD146" s="22"/>
      <c r="SOE146" s="22"/>
      <c r="SOF146" s="22"/>
      <c r="SOG146" s="22"/>
      <c r="SOH146" s="22"/>
      <c r="SOI146" s="22"/>
      <c r="SOJ146" s="22"/>
      <c r="SOK146" s="22"/>
      <c r="SOL146" s="22"/>
      <c r="SOM146" s="22"/>
      <c r="SON146" s="22"/>
      <c r="SOO146" s="22"/>
      <c r="SOP146" s="22"/>
      <c r="SOQ146" s="22"/>
      <c r="SOR146" s="22"/>
      <c r="SOS146" s="22"/>
      <c r="SOT146" s="22"/>
      <c r="SOU146" s="22"/>
      <c r="SOV146" s="22"/>
      <c r="SOW146" s="22"/>
      <c r="SOX146" s="22"/>
      <c r="SOY146" s="22"/>
      <c r="SOZ146" s="22"/>
      <c r="SPA146" s="22"/>
      <c r="SPB146" s="22"/>
      <c r="SPC146" s="22"/>
      <c r="SPD146" s="22"/>
      <c r="SPE146" s="22"/>
      <c r="SPF146" s="22"/>
      <c r="SPG146" s="22"/>
      <c r="SPH146" s="22"/>
      <c r="SPI146" s="22"/>
      <c r="SPJ146" s="22"/>
      <c r="SPK146" s="22"/>
      <c r="SPL146" s="22"/>
      <c r="SPM146" s="22"/>
      <c r="SPN146" s="22"/>
      <c r="SPO146" s="22"/>
      <c r="SPP146" s="22"/>
      <c r="SPQ146" s="22"/>
      <c r="SPR146" s="22"/>
      <c r="SPS146" s="22"/>
      <c r="SPT146" s="22"/>
      <c r="SPU146" s="22"/>
      <c r="SPV146" s="22"/>
      <c r="SPW146" s="22"/>
      <c r="SPX146" s="22"/>
      <c r="SPY146" s="22"/>
      <c r="SPZ146" s="22"/>
      <c r="SQA146" s="22"/>
      <c r="SQB146" s="22"/>
      <c r="SQC146" s="22"/>
      <c r="SQD146" s="22"/>
      <c r="SQE146" s="22"/>
      <c r="SQF146" s="22"/>
      <c r="SQG146" s="22"/>
      <c r="SQH146" s="22"/>
      <c r="SQI146" s="22"/>
      <c r="SQJ146" s="22"/>
      <c r="SQK146" s="22"/>
      <c r="SQL146" s="22"/>
      <c r="SQM146" s="22"/>
      <c r="SQN146" s="22"/>
      <c r="SQO146" s="22"/>
      <c r="SQP146" s="22"/>
      <c r="SQQ146" s="22"/>
      <c r="SQR146" s="22"/>
      <c r="SQS146" s="22"/>
      <c r="SQT146" s="22"/>
      <c r="SQU146" s="22"/>
      <c r="SQV146" s="22"/>
      <c r="SQW146" s="22"/>
      <c r="SQX146" s="22"/>
      <c r="SQY146" s="22"/>
      <c r="SQZ146" s="22"/>
      <c r="SRA146" s="22"/>
      <c r="SRB146" s="22"/>
      <c r="SRC146" s="22"/>
      <c r="SRD146" s="22"/>
      <c r="SRE146" s="22"/>
      <c r="SRF146" s="22"/>
      <c r="SRG146" s="22"/>
      <c r="SRH146" s="22"/>
      <c r="SRI146" s="22"/>
      <c r="SRJ146" s="22"/>
      <c r="SRK146" s="22"/>
      <c r="SRL146" s="22"/>
      <c r="SRM146" s="22"/>
      <c r="SRN146" s="22"/>
      <c r="SRO146" s="22"/>
      <c r="SRP146" s="22"/>
      <c r="SRQ146" s="22"/>
      <c r="SRR146" s="22"/>
      <c r="SRS146" s="22"/>
      <c r="SRT146" s="22"/>
      <c r="SRU146" s="22"/>
      <c r="SRV146" s="22"/>
      <c r="SRW146" s="22"/>
      <c r="SRX146" s="22"/>
      <c r="SRY146" s="22"/>
      <c r="SRZ146" s="22"/>
      <c r="SSA146" s="22"/>
      <c r="SSB146" s="22"/>
      <c r="SSC146" s="22"/>
      <c r="SSD146" s="22"/>
      <c r="SSE146" s="22"/>
      <c r="SSF146" s="22"/>
      <c r="SSG146" s="22"/>
      <c r="SSH146" s="22"/>
      <c r="SSI146" s="22"/>
      <c r="SSJ146" s="22"/>
      <c r="SSK146" s="22"/>
      <c r="SSL146" s="22"/>
      <c r="SSM146" s="22"/>
      <c r="SSN146" s="22"/>
      <c r="SSO146" s="22"/>
      <c r="SSP146" s="22"/>
      <c r="SSQ146" s="22"/>
      <c r="SSR146" s="22"/>
      <c r="SSS146" s="22"/>
      <c r="SST146" s="22"/>
      <c r="SSU146" s="22"/>
      <c r="SSV146" s="22"/>
      <c r="SSW146" s="22"/>
      <c r="SSX146" s="22"/>
      <c r="SSY146" s="22"/>
      <c r="SSZ146" s="22"/>
      <c r="STA146" s="22"/>
      <c r="STB146" s="22"/>
      <c r="STC146" s="22"/>
      <c r="STD146" s="22"/>
      <c r="STE146" s="22"/>
      <c r="STF146" s="22"/>
      <c r="STG146" s="22"/>
      <c r="STH146" s="22"/>
      <c r="STI146" s="22"/>
      <c r="STJ146" s="22"/>
      <c r="STK146" s="22"/>
      <c r="STL146" s="22"/>
      <c r="STM146" s="22"/>
      <c r="STN146" s="22"/>
      <c r="STO146" s="22"/>
      <c r="STP146" s="22"/>
      <c r="STQ146" s="22"/>
      <c r="STR146" s="22"/>
      <c r="STS146" s="22"/>
      <c r="STT146" s="22"/>
      <c r="STU146" s="22"/>
      <c r="STV146" s="22"/>
      <c r="STW146" s="22"/>
      <c r="STX146" s="22"/>
      <c r="STY146" s="22"/>
      <c r="STZ146" s="22"/>
      <c r="SUA146" s="22"/>
      <c r="SUB146" s="22"/>
      <c r="SUC146" s="22"/>
      <c r="SUD146" s="22"/>
      <c r="SUE146" s="22"/>
      <c r="SUF146" s="22"/>
      <c r="SUG146" s="22"/>
      <c r="SUH146" s="22"/>
      <c r="SUI146" s="22"/>
      <c r="SUJ146" s="22"/>
      <c r="SUK146" s="22"/>
      <c r="SUL146" s="22"/>
      <c r="SUM146" s="22"/>
      <c r="SUN146" s="22"/>
      <c r="SUO146" s="22"/>
      <c r="SUP146" s="22"/>
      <c r="SUQ146" s="22"/>
      <c r="SUR146" s="22"/>
      <c r="SUS146" s="22"/>
      <c r="SUT146" s="22"/>
      <c r="SUU146" s="22"/>
      <c r="SUV146" s="22"/>
      <c r="SUW146" s="22"/>
      <c r="SUX146" s="22"/>
      <c r="SUY146" s="22"/>
      <c r="SUZ146" s="22"/>
      <c r="SVA146" s="22"/>
      <c r="SVB146" s="22"/>
      <c r="SVC146" s="22"/>
      <c r="SVD146" s="22"/>
      <c r="SVE146" s="22"/>
      <c r="SVF146" s="22"/>
      <c r="SVG146" s="22"/>
      <c r="SVH146" s="22"/>
      <c r="SVI146" s="22"/>
      <c r="SVJ146" s="22"/>
      <c r="SVK146" s="22"/>
      <c r="SVL146" s="22"/>
      <c r="SVM146" s="22"/>
      <c r="SVN146" s="22"/>
      <c r="SVO146" s="22"/>
      <c r="SVP146" s="22"/>
      <c r="SVQ146" s="22"/>
      <c r="SVR146" s="22"/>
      <c r="SVS146" s="22"/>
      <c r="SVT146" s="22"/>
      <c r="SVU146" s="22"/>
      <c r="SVV146" s="22"/>
      <c r="SVW146" s="22"/>
      <c r="SVX146" s="22"/>
      <c r="SVY146" s="22"/>
      <c r="SVZ146" s="22"/>
      <c r="SWA146" s="22"/>
      <c r="SWB146" s="22"/>
      <c r="SWC146" s="22"/>
      <c r="SWD146" s="22"/>
      <c r="SWE146" s="22"/>
      <c r="SWF146" s="22"/>
      <c r="SWG146" s="22"/>
      <c r="SWH146" s="22"/>
      <c r="SWI146" s="22"/>
      <c r="SWJ146" s="22"/>
      <c r="SWK146" s="22"/>
      <c r="SWL146" s="22"/>
      <c r="SWM146" s="22"/>
      <c r="SWN146" s="22"/>
      <c r="SWO146" s="22"/>
      <c r="SWP146" s="22"/>
      <c r="SWQ146" s="22"/>
      <c r="SWR146" s="22"/>
      <c r="SWS146" s="22"/>
      <c r="SWT146" s="22"/>
      <c r="SWU146" s="22"/>
      <c r="SWV146" s="22"/>
      <c r="SWW146" s="22"/>
      <c r="SWX146" s="22"/>
      <c r="SWY146" s="22"/>
      <c r="SWZ146" s="22"/>
      <c r="SXA146" s="22"/>
      <c r="SXB146" s="22"/>
      <c r="SXC146" s="22"/>
      <c r="SXD146" s="22"/>
      <c r="SXE146" s="22"/>
      <c r="SXF146" s="22"/>
      <c r="SXG146" s="22"/>
      <c r="SXH146" s="22"/>
      <c r="SXI146" s="22"/>
      <c r="SXJ146" s="22"/>
      <c r="SXK146" s="22"/>
      <c r="SXL146" s="22"/>
      <c r="SXM146" s="22"/>
      <c r="SXN146" s="22"/>
      <c r="SXO146" s="22"/>
      <c r="SXP146" s="22"/>
      <c r="SXQ146" s="22"/>
      <c r="SXR146" s="22"/>
      <c r="SXS146" s="22"/>
      <c r="SXT146" s="22"/>
      <c r="SXU146" s="22"/>
      <c r="SXV146" s="22"/>
      <c r="SXW146" s="22"/>
      <c r="SXX146" s="22"/>
      <c r="SXY146" s="22"/>
      <c r="SXZ146" s="22"/>
      <c r="SYA146" s="22"/>
      <c r="SYB146" s="22"/>
      <c r="SYC146" s="22"/>
      <c r="SYD146" s="22"/>
      <c r="SYE146" s="22"/>
      <c r="SYF146" s="22"/>
      <c r="SYG146" s="22"/>
      <c r="SYH146" s="22"/>
      <c r="SYI146" s="22"/>
      <c r="SYJ146" s="22"/>
      <c r="SYK146" s="22"/>
      <c r="SYL146" s="22"/>
      <c r="SYM146" s="22"/>
      <c r="SYN146" s="22"/>
      <c r="SYO146" s="22"/>
      <c r="SYP146" s="22"/>
      <c r="SYQ146" s="22"/>
      <c r="SYR146" s="22"/>
      <c r="SYS146" s="22"/>
      <c r="SYT146" s="22"/>
      <c r="SYU146" s="22"/>
      <c r="SYV146" s="22"/>
      <c r="SYW146" s="22"/>
      <c r="SYX146" s="22"/>
      <c r="SYY146" s="22"/>
      <c r="SYZ146" s="22"/>
      <c r="SZA146" s="22"/>
      <c r="SZB146" s="22"/>
      <c r="SZC146" s="22"/>
      <c r="SZD146" s="22"/>
      <c r="SZE146" s="22"/>
      <c r="SZF146" s="22"/>
      <c r="SZG146" s="22"/>
      <c r="SZH146" s="22"/>
      <c r="SZI146" s="22"/>
      <c r="SZJ146" s="22"/>
      <c r="SZK146" s="22"/>
      <c r="SZL146" s="22"/>
      <c r="SZM146" s="22"/>
      <c r="SZN146" s="22"/>
      <c r="SZO146" s="22"/>
      <c r="SZP146" s="22"/>
      <c r="SZQ146" s="22"/>
      <c r="SZR146" s="22"/>
      <c r="SZS146" s="22"/>
      <c r="SZT146" s="22"/>
      <c r="SZU146" s="22"/>
      <c r="SZV146" s="22"/>
      <c r="SZW146" s="22"/>
      <c r="SZX146" s="22"/>
      <c r="SZY146" s="22"/>
      <c r="SZZ146" s="22"/>
      <c r="TAA146" s="22"/>
      <c r="TAB146" s="22"/>
      <c r="TAC146" s="22"/>
      <c r="TAD146" s="22"/>
      <c r="TAE146" s="22"/>
      <c r="TAF146" s="22"/>
      <c r="TAG146" s="22"/>
      <c r="TAH146" s="22"/>
      <c r="TAI146" s="22"/>
      <c r="TAJ146" s="22"/>
      <c r="TAK146" s="22"/>
      <c r="TAL146" s="22"/>
      <c r="TAM146" s="22"/>
      <c r="TAN146" s="22"/>
      <c r="TAO146" s="22"/>
      <c r="TAP146" s="22"/>
      <c r="TAQ146" s="22"/>
      <c r="TAR146" s="22"/>
      <c r="TAS146" s="22"/>
      <c r="TAT146" s="22"/>
      <c r="TAU146" s="22"/>
      <c r="TAV146" s="22"/>
      <c r="TAW146" s="22"/>
      <c r="TAX146" s="22"/>
      <c r="TAY146" s="22"/>
      <c r="TAZ146" s="22"/>
      <c r="TBA146" s="22"/>
      <c r="TBB146" s="22"/>
      <c r="TBC146" s="22"/>
      <c r="TBD146" s="22"/>
      <c r="TBE146" s="22"/>
      <c r="TBF146" s="22"/>
      <c r="TBG146" s="22"/>
      <c r="TBH146" s="22"/>
      <c r="TBI146" s="22"/>
      <c r="TBJ146" s="22"/>
      <c r="TBK146" s="22"/>
      <c r="TBL146" s="22"/>
      <c r="TBM146" s="22"/>
      <c r="TBN146" s="22"/>
      <c r="TBO146" s="22"/>
      <c r="TBP146" s="22"/>
      <c r="TBQ146" s="22"/>
      <c r="TBR146" s="22"/>
      <c r="TBS146" s="22"/>
      <c r="TBT146" s="22"/>
      <c r="TBU146" s="22"/>
      <c r="TBV146" s="22"/>
      <c r="TBW146" s="22"/>
      <c r="TBX146" s="22"/>
      <c r="TBY146" s="22"/>
      <c r="TBZ146" s="22"/>
      <c r="TCA146" s="22"/>
      <c r="TCB146" s="22"/>
      <c r="TCC146" s="22"/>
      <c r="TCD146" s="22"/>
      <c r="TCE146" s="22"/>
      <c r="TCF146" s="22"/>
      <c r="TCG146" s="22"/>
      <c r="TCH146" s="22"/>
      <c r="TCI146" s="22"/>
      <c r="TCJ146" s="22"/>
      <c r="TCK146" s="22"/>
      <c r="TCL146" s="22"/>
      <c r="TCM146" s="22"/>
      <c r="TCN146" s="22"/>
      <c r="TCO146" s="22"/>
      <c r="TCP146" s="22"/>
      <c r="TCQ146" s="22"/>
      <c r="TCR146" s="22"/>
      <c r="TCS146" s="22"/>
      <c r="TCT146" s="22"/>
      <c r="TCU146" s="22"/>
      <c r="TCV146" s="22"/>
      <c r="TCW146" s="22"/>
      <c r="TCX146" s="22"/>
      <c r="TCY146" s="22"/>
      <c r="TCZ146" s="22"/>
      <c r="TDA146" s="22"/>
      <c r="TDB146" s="22"/>
      <c r="TDC146" s="22"/>
      <c r="TDD146" s="22"/>
      <c r="TDE146" s="22"/>
      <c r="TDF146" s="22"/>
      <c r="TDG146" s="22"/>
      <c r="TDH146" s="22"/>
      <c r="TDI146" s="22"/>
      <c r="TDJ146" s="22"/>
      <c r="TDK146" s="22"/>
      <c r="TDL146" s="22"/>
      <c r="TDM146" s="22"/>
      <c r="TDN146" s="22"/>
      <c r="TDO146" s="22"/>
      <c r="TDP146" s="22"/>
      <c r="TDQ146" s="22"/>
      <c r="TDR146" s="22"/>
      <c r="TDS146" s="22"/>
      <c r="TDT146" s="22"/>
      <c r="TDU146" s="22"/>
      <c r="TDV146" s="22"/>
      <c r="TDW146" s="22"/>
      <c r="TDX146" s="22"/>
      <c r="TDY146" s="22"/>
      <c r="TDZ146" s="22"/>
      <c r="TEA146" s="22"/>
      <c r="TEB146" s="22"/>
      <c r="TEC146" s="22"/>
      <c r="TED146" s="22"/>
      <c r="TEE146" s="22"/>
      <c r="TEF146" s="22"/>
      <c r="TEG146" s="22"/>
      <c r="TEH146" s="22"/>
      <c r="TEI146" s="22"/>
      <c r="TEJ146" s="22"/>
      <c r="TEK146" s="22"/>
      <c r="TEL146" s="22"/>
      <c r="TEM146" s="22"/>
      <c r="TEN146" s="22"/>
      <c r="TEO146" s="22"/>
      <c r="TEP146" s="22"/>
      <c r="TEQ146" s="22"/>
      <c r="TER146" s="22"/>
      <c r="TES146" s="22"/>
      <c r="TET146" s="22"/>
      <c r="TEU146" s="22"/>
      <c r="TEV146" s="22"/>
      <c r="TEW146" s="22"/>
      <c r="TEX146" s="22"/>
      <c r="TEY146" s="22"/>
      <c r="TEZ146" s="22"/>
      <c r="TFA146" s="22"/>
      <c r="TFB146" s="22"/>
      <c r="TFC146" s="22"/>
      <c r="TFD146" s="22"/>
      <c r="TFE146" s="22"/>
      <c r="TFF146" s="22"/>
      <c r="TFG146" s="22"/>
      <c r="TFH146" s="22"/>
      <c r="TFI146" s="22"/>
      <c r="TFJ146" s="22"/>
      <c r="TFK146" s="22"/>
      <c r="TFL146" s="22"/>
      <c r="TFM146" s="22"/>
      <c r="TFN146" s="22"/>
      <c r="TFO146" s="22"/>
      <c r="TFP146" s="22"/>
      <c r="TFQ146" s="22"/>
      <c r="TFR146" s="22"/>
      <c r="TFS146" s="22"/>
      <c r="TFT146" s="22"/>
      <c r="TFU146" s="22"/>
      <c r="TFV146" s="22"/>
      <c r="TFW146" s="22"/>
      <c r="TFX146" s="22"/>
      <c r="TFY146" s="22"/>
      <c r="TFZ146" s="22"/>
      <c r="TGA146" s="22"/>
      <c r="TGB146" s="22"/>
      <c r="TGC146" s="22"/>
      <c r="TGD146" s="22"/>
      <c r="TGE146" s="22"/>
      <c r="TGF146" s="22"/>
      <c r="TGG146" s="22"/>
      <c r="TGH146" s="22"/>
      <c r="TGI146" s="22"/>
      <c r="TGJ146" s="22"/>
      <c r="TGK146" s="22"/>
      <c r="TGL146" s="22"/>
      <c r="TGM146" s="22"/>
      <c r="TGN146" s="22"/>
      <c r="TGO146" s="22"/>
      <c r="TGP146" s="22"/>
      <c r="TGQ146" s="22"/>
      <c r="TGR146" s="22"/>
      <c r="TGS146" s="22"/>
      <c r="TGT146" s="22"/>
      <c r="TGU146" s="22"/>
      <c r="TGV146" s="22"/>
      <c r="TGW146" s="22"/>
      <c r="TGX146" s="22"/>
      <c r="TGY146" s="22"/>
      <c r="TGZ146" s="22"/>
      <c r="THA146" s="22"/>
      <c r="THB146" s="22"/>
      <c r="THC146" s="22"/>
      <c r="THD146" s="22"/>
      <c r="THE146" s="22"/>
      <c r="THF146" s="22"/>
      <c r="THG146" s="22"/>
      <c r="THH146" s="22"/>
      <c r="THI146" s="22"/>
      <c r="THJ146" s="22"/>
      <c r="THK146" s="22"/>
      <c r="THL146" s="22"/>
      <c r="THM146" s="22"/>
      <c r="THN146" s="22"/>
      <c r="THO146" s="22"/>
      <c r="THP146" s="22"/>
      <c r="THQ146" s="22"/>
      <c r="THR146" s="22"/>
      <c r="THS146" s="22"/>
      <c r="THT146" s="22"/>
      <c r="THU146" s="22"/>
      <c r="THV146" s="22"/>
      <c r="THW146" s="22"/>
      <c r="THX146" s="22"/>
      <c r="THY146" s="22"/>
      <c r="THZ146" s="22"/>
      <c r="TIA146" s="22"/>
      <c r="TIB146" s="22"/>
      <c r="TIC146" s="22"/>
      <c r="TID146" s="22"/>
      <c r="TIE146" s="22"/>
      <c r="TIF146" s="22"/>
      <c r="TIG146" s="22"/>
      <c r="TIH146" s="22"/>
      <c r="TII146" s="22"/>
      <c r="TIJ146" s="22"/>
      <c r="TIK146" s="22"/>
      <c r="TIL146" s="22"/>
      <c r="TIM146" s="22"/>
      <c r="TIN146" s="22"/>
      <c r="TIO146" s="22"/>
      <c r="TIP146" s="22"/>
      <c r="TIQ146" s="22"/>
      <c r="TIR146" s="22"/>
      <c r="TIS146" s="22"/>
      <c r="TIT146" s="22"/>
      <c r="TIU146" s="22"/>
      <c r="TIV146" s="22"/>
      <c r="TIW146" s="22"/>
      <c r="TIX146" s="22"/>
      <c r="TIY146" s="22"/>
      <c r="TIZ146" s="22"/>
      <c r="TJA146" s="22"/>
      <c r="TJB146" s="22"/>
      <c r="TJC146" s="22"/>
      <c r="TJD146" s="22"/>
      <c r="TJE146" s="22"/>
      <c r="TJF146" s="22"/>
      <c r="TJG146" s="22"/>
      <c r="TJH146" s="22"/>
      <c r="TJI146" s="22"/>
      <c r="TJJ146" s="22"/>
      <c r="TJK146" s="22"/>
      <c r="TJL146" s="22"/>
      <c r="TJM146" s="22"/>
      <c r="TJN146" s="22"/>
      <c r="TJO146" s="22"/>
      <c r="TJP146" s="22"/>
      <c r="TJQ146" s="22"/>
      <c r="TJR146" s="22"/>
      <c r="TJS146" s="22"/>
      <c r="TJT146" s="22"/>
      <c r="TJU146" s="22"/>
      <c r="TJV146" s="22"/>
      <c r="TJW146" s="22"/>
      <c r="TJX146" s="22"/>
      <c r="TJY146" s="22"/>
      <c r="TJZ146" s="22"/>
      <c r="TKA146" s="22"/>
      <c r="TKB146" s="22"/>
      <c r="TKC146" s="22"/>
      <c r="TKD146" s="22"/>
      <c r="TKE146" s="22"/>
      <c r="TKF146" s="22"/>
      <c r="TKG146" s="22"/>
      <c r="TKH146" s="22"/>
      <c r="TKI146" s="22"/>
      <c r="TKJ146" s="22"/>
      <c r="TKK146" s="22"/>
      <c r="TKL146" s="22"/>
      <c r="TKM146" s="22"/>
      <c r="TKN146" s="22"/>
      <c r="TKO146" s="22"/>
      <c r="TKP146" s="22"/>
      <c r="TKQ146" s="22"/>
      <c r="TKR146" s="22"/>
      <c r="TKS146" s="22"/>
      <c r="TKT146" s="22"/>
      <c r="TKU146" s="22"/>
      <c r="TKV146" s="22"/>
      <c r="TKW146" s="22"/>
      <c r="TKX146" s="22"/>
      <c r="TKY146" s="22"/>
      <c r="TKZ146" s="22"/>
      <c r="TLA146" s="22"/>
      <c r="TLB146" s="22"/>
      <c r="TLC146" s="22"/>
      <c r="TLD146" s="22"/>
      <c r="TLE146" s="22"/>
      <c r="TLF146" s="22"/>
      <c r="TLG146" s="22"/>
      <c r="TLH146" s="22"/>
      <c r="TLI146" s="22"/>
      <c r="TLJ146" s="22"/>
      <c r="TLK146" s="22"/>
      <c r="TLL146" s="22"/>
      <c r="TLM146" s="22"/>
      <c r="TLN146" s="22"/>
      <c r="TLO146" s="22"/>
      <c r="TLP146" s="22"/>
      <c r="TLQ146" s="22"/>
      <c r="TLR146" s="22"/>
      <c r="TLS146" s="22"/>
      <c r="TLT146" s="22"/>
      <c r="TLU146" s="22"/>
      <c r="TLV146" s="22"/>
      <c r="TLW146" s="22"/>
      <c r="TLX146" s="22"/>
      <c r="TLY146" s="22"/>
      <c r="TLZ146" s="22"/>
      <c r="TMA146" s="22"/>
      <c r="TMB146" s="22"/>
      <c r="TMC146" s="22"/>
      <c r="TMD146" s="22"/>
      <c r="TME146" s="22"/>
      <c r="TMF146" s="22"/>
      <c r="TMG146" s="22"/>
      <c r="TMH146" s="22"/>
      <c r="TMI146" s="22"/>
      <c r="TMJ146" s="22"/>
      <c r="TMK146" s="22"/>
      <c r="TML146" s="22"/>
      <c r="TMM146" s="22"/>
      <c r="TMN146" s="22"/>
      <c r="TMO146" s="22"/>
      <c r="TMP146" s="22"/>
      <c r="TMQ146" s="22"/>
      <c r="TMR146" s="22"/>
      <c r="TMS146" s="22"/>
      <c r="TMT146" s="22"/>
      <c r="TMU146" s="22"/>
      <c r="TMV146" s="22"/>
      <c r="TMW146" s="22"/>
      <c r="TMX146" s="22"/>
      <c r="TMY146" s="22"/>
      <c r="TMZ146" s="22"/>
      <c r="TNA146" s="22"/>
      <c r="TNB146" s="22"/>
      <c r="TNC146" s="22"/>
      <c r="TND146" s="22"/>
      <c r="TNE146" s="22"/>
      <c r="TNF146" s="22"/>
      <c r="TNG146" s="22"/>
      <c r="TNH146" s="22"/>
      <c r="TNI146" s="22"/>
      <c r="TNJ146" s="22"/>
      <c r="TNK146" s="22"/>
      <c r="TNL146" s="22"/>
      <c r="TNM146" s="22"/>
      <c r="TNN146" s="22"/>
      <c r="TNO146" s="22"/>
      <c r="TNP146" s="22"/>
      <c r="TNQ146" s="22"/>
      <c r="TNR146" s="22"/>
      <c r="TNS146" s="22"/>
      <c r="TNT146" s="22"/>
      <c r="TNU146" s="22"/>
      <c r="TNV146" s="22"/>
      <c r="TNW146" s="22"/>
      <c r="TNX146" s="22"/>
      <c r="TNY146" s="22"/>
      <c r="TNZ146" s="22"/>
      <c r="TOA146" s="22"/>
      <c r="TOB146" s="22"/>
      <c r="TOC146" s="22"/>
      <c r="TOD146" s="22"/>
      <c r="TOE146" s="22"/>
      <c r="TOF146" s="22"/>
      <c r="TOG146" s="22"/>
      <c r="TOH146" s="22"/>
      <c r="TOI146" s="22"/>
      <c r="TOJ146" s="22"/>
      <c r="TOK146" s="22"/>
      <c r="TOL146" s="22"/>
      <c r="TOM146" s="22"/>
      <c r="TON146" s="22"/>
      <c r="TOO146" s="22"/>
      <c r="TOP146" s="22"/>
      <c r="TOQ146" s="22"/>
      <c r="TOR146" s="22"/>
      <c r="TOS146" s="22"/>
      <c r="TOT146" s="22"/>
      <c r="TOU146" s="22"/>
      <c r="TOV146" s="22"/>
      <c r="TOW146" s="22"/>
      <c r="TOX146" s="22"/>
      <c r="TOY146" s="22"/>
      <c r="TOZ146" s="22"/>
      <c r="TPA146" s="22"/>
      <c r="TPB146" s="22"/>
      <c r="TPC146" s="22"/>
      <c r="TPD146" s="22"/>
      <c r="TPE146" s="22"/>
      <c r="TPF146" s="22"/>
      <c r="TPG146" s="22"/>
      <c r="TPH146" s="22"/>
      <c r="TPI146" s="22"/>
      <c r="TPJ146" s="22"/>
      <c r="TPK146" s="22"/>
      <c r="TPL146" s="22"/>
      <c r="TPM146" s="22"/>
      <c r="TPN146" s="22"/>
      <c r="TPO146" s="22"/>
      <c r="TPP146" s="22"/>
      <c r="TPQ146" s="22"/>
      <c r="TPR146" s="22"/>
      <c r="TPS146" s="22"/>
      <c r="TPT146" s="22"/>
      <c r="TPU146" s="22"/>
      <c r="TPV146" s="22"/>
      <c r="TPW146" s="22"/>
      <c r="TPX146" s="22"/>
      <c r="TPY146" s="22"/>
      <c r="TPZ146" s="22"/>
      <c r="TQA146" s="22"/>
      <c r="TQB146" s="22"/>
      <c r="TQC146" s="22"/>
      <c r="TQD146" s="22"/>
      <c r="TQE146" s="22"/>
      <c r="TQF146" s="22"/>
      <c r="TQG146" s="22"/>
      <c r="TQH146" s="22"/>
      <c r="TQI146" s="22"/>
      <c r="TQJ146" s="22"/>
      <c r="TQK146" s="22"/>
      <c r="TQL146" s="22"/>
      <c r="TQM146" s="22"/>
      <c r="TQN146" s="22"/>
      <c r="TQO146" s="22"/>
      <c r="TQP146" s="22"/>
      <c r="TQQ146" s="22"/>
      <c r="TQR146" s="22"/>
      <c r="TQS146" s="22"/>
      <c r="TQT146" s="22"/>
      <c r="TQU146" s="22"/>
      <c r="TQV146" s="22"/>
      <c r="TQW146" s="22"/>
      <c r="TQX146" s="22"/>
      <c r="TQY146" s="22"/>
      <c r="TQZ146" s="22"/>
      <c r="TRA146" s="22"/>
      <c r="TRB146" s="22"/>
      <c r="TRC146" s="22"/>
      <c r="TRD146" s="22"/>
      <c r="TRE146" s="22"/>
      <c r="TRF146" s="22"/>
      <c r="TRG146" s="22"/>
      <c r="TRH146" s="22"/>
      <c r="TRI146" s="22"/>
      <c r="TRJ146" s="22"/>
      <c r="TRK146" s="22"/>
      <c r="TRL146" s="22"/>
      <c r="TRM146" s="22"/>
      <c r="TRN146" s="22"/>
      <c r="TRO146" s="22"/>
      <c r="TRP146" s="22"/>
      <c r="TRQ146" s="22"/>
      <c r="TRR146" s="22"/>
      <c r="TRS146" s="22"/>
      <c r="TRT146" s="22"/>
      <c r="TRU146" s="22"/>
      <c r="TRV146" s="22"/>
      <c r="TRW146" s="22"/>
      <c r="TRX146" s="22"/>
      <c r="TRY146" s="22"/>
      <c r="TRZ146" s="22"/>
      <c r="TSA146" s="22"/>
      <c r="TSB146" s="22"/>
      <c r="TSC146" s="22"/>
      <c r="TSD146" s="22"/>
      <c r="TSE146" s="22"/>
      <c r="TSF146" s="22"/>
      <c r="TSG146" s="22"/>
      <c r="TSH146" s="22"/>
      <c r="TSI146" s="22"/>
      <c r="TSJ146" s="22"/>
      <c r="TSK146" s="22"/>
      <c r="TSL146" s="22"/>
      <c r="TSM146" s="22"/>
      <c r="TSN146" s="22"/>
      <c r="TSO146" s="22"/>
      <c r="TSP146" s="22"/>
      <c r="TSQ146" s="22"/>
      <c r="TSR146" s="22"/>
      <c r="TSS146" s="22"/>
      <c r="TST146" s="22"/>
      <c r="TSU146" s="22"/>
      <c r="TSV146" s="22"/>
      <c r="TSW146" s="22"/>
      <c r="TSX146" s="22"/>
      <c r="TSY146" s="22"/>
      <c r="TSZ146" s="22"/>
      <c r="TTA146" s="22"/>
      <c r="TTB146" s="22"/>
      <c r="TTC146" s="22"/>
      <c r="TTD146" s="22"/>
      <c r="TTE146" s="22"/>
      <c r="TTF146" s="22"/>
      <c r="TTG146" s="22"/>
      <c r="TTH146" s="22"/>
      <c r="TTI146" s="22"/>
      <c r="TTJ146" s="22"/>
      <c r="TTK146" s="22"/>
      <c r="TTL146" s="22"/>
      <c r="TTM146" s="22"/>
      <c r="TTN146" s="22"/>
      <c r="TTO146" s="22"/>
      <c r="TTP146" s="22"/>
      <c r="TTQ146" s="22"/>
      <c r="TTR146" s="22"/>
      <c r="TTS146" s="22"/>
      <c r="TTT146" s="22"/>
      <c r="TTU146" s="22"/>
      <c r="TTV146" s="22"/>
      <c r="TTW146" s="22"/>
      <c r="TTX146" s="22"/>
      <c r="TTY146" s="22"/>
      <c r="TTZ146" s="22"/>
      <c r="TUA146" s="22"/>
      <c r="TUB146" s="22"/>
      <c r="TUC146" s="22"/>
      <c r="TUD146" s="22"/>
      <c r="TUE146" s="22"/>
      <c r="TUF146" s="22"/>
      <c r="TUG146" s="22"/>
      <c r="TUH146" s="22"/>
      <c r="TUI146" s="22"/>
      <c r="TUJ146" s="22"/>
      <c r="TUK146" s="22"/>
      <c r="TUL146" s="22"/>
      <c r="TUM146" s="22"/>
      <c r="TUN146" s="22"/>
      <c r="TUO146" s="22"/>
      <c r="TUP146" s="22"/>
      <c r="TUQ146" s="22"/>
      <c r="TUR146" s="22"/>
      <c r="TUS146" s="22"/>
      <c r="TUT146" s="22"/>
      <c r="TUU146" s="22"/>
      <c r="TUV146" s="22"/>
      <c r="TUW146" s="22"/>
      <c r="TUX146" s="22"/>
      <c r="TUY146" s="22"/>
      <c r="TUZ146" s="22"/>
      <c r="TVA146" s="22"/>
      <c r="TVB146" s="22"/>
      <c r="TVC146" s="22"/>
      <c r="TVD146" s="22"/>
      <c r="TVE146" s="22"/>
      <c r="TVF146" s="22"/>
      <c r="TVG146" s="22"/>
      <c r="TVH146" s="22"/>
      <c r="TVI146" s="22"/>
      <c r="TVJ146" s="22"/>
      <c r="TVK146" s="22"/>
      <c r="TVL146" s="22"/>
      <c r="TVM146" s="22"/>
      <c r="TVN146" s="22"/>
      <c r="TVO146" s="22"/>
      <c r="TVP146" s="22"/>
      <c r="TVQ146" s="22"/>
      <c r="TVR146" s="22"/>
      <c r="TVS146" s="22"/>
      <c r="TVT146" s="22"/>
      <c r="TVU146" s="22"/>
      <c r="TVV146" s="22"/>
      <c r="TVW146" s="22"/>
      <c r="TVX146" s="22"/>
      <c r="TVY146" s="22"/>
      <c r="TVZ146" s="22"/>
      <c r="TWA146" s="22"/>
      <c r="TWB146" s="22"/>
      <c r="TWC146" s="22"/>
      <c r="TWD146" s="22"/>
      <c r="TWE146" s="22"/>
      <c r="TWF146" s="22"/>
      <c r="TWG146" s="22"/>
      <c r="TWH146" s="22"/>
      <c r="TWI146" s="22"/>
      <c r="TWJ146" s="22"/>
      <c r="TWK146" s="22"/>
      <c r="TWL146" s="22"/>
      <c r="TWM146" s="22"/>
      <c r="TWN146" s="22"/>
      <c r="TWO146" s="22"/>
      <c r="TWP146" s="22"/>
      <c r="TWQ146" s="22"/>
      <c r="TWR146" s="22"/>
      <c r="TWS146" s="22"/>
      <c r="TWT146" s="22"/>
      <c r="TWU146" s="22"/>
      <c r="TWV146" s="22"/>
      <c r="TWW146" s="22"/>
      <c r="TWX146" s="22"/>
      <c r="TWY146" s="22"/>
      <c r="TWZ146" s="22"/>
      <c r="TXA146" s="22"/>
      <c r="TXB146" s="22"/>
      <c r="TXC146" s="22"/>
      <c r="TXD146" s="22"/>
      <c r="TXE146" s="22"/>
      <c r="TXF146" s="22"/>
      <c r="TXG146" s="22"/>
      <c r="TXH146" s="22"/>
      <c r="TXI146" s="22"/>
      <c r="TXJ146" s="22"/>
      <c r="TXK146" s="22"/>
      <c r="TXL146" s="22"/>
      <c r="TXM146" s="22"/>
      <c r="TXN146" s="22"/>
      <c r="TXO146" s="22"/>
      <c r="TXP146" s="22"/>
      <c r="TXQ146" s="22"/>
      <c r="TXR146" s="22"/>
      <c r="TXS146" s="22"/>
      <c r="TXT146" s="22"/>
      <c r="TXU146" s="22"/>
      <c r="TXV146" s="22"/>
      <c r="TXW146" s="22"/>
      <c r="TXX146" s="22"/>
      <c r="TXY146" s="22"/>
      <c r="TXZ146" s="22"/>
      <c r="TYA146" s="22"/>
      <c r="TYB146" s="22"/>
      <c r="TYC146" s="22"/>
      <c r="TYD146" s="22"/>
      <c r="TYE146" s="22"/>
      <c r="TYF146" s="22"/>
      <c r="TYG146" s="22"/>
      <c r="TYH146" s="22"/>
      <c r="TYI146" s="22"/>
      <c r="TYJ146" s="22"/>
      <c r="TYK146" s="22"/>
      <c r="TYL146" s="22"/>
      <c r="TYM146" s="22"/>
      <c r="TYN146" s="22"/>
      <c r="TYO146" s="22"/>
      <c r="TYP146" s="22"/>
      <c r="TYQ146" s="22"/>
      <c r="TYR146" s="22"/>
      <c r="TYS146" s="22"/>
      <c r="TYT146" s="22"/>
      <c r="TYU146" s="22"/>
      <c r="TYV146" s="22"/>
      <c r="TYW146" s="22"/>
      <c r="TYX146" s="22"/>
      <c r="TYY146" s="22"/>
      <c r="TYZ146" s="22"/>
      <c r="TZA146" s="22"/>
      <c r="TZB146" s="22"/>
      <c r="TZC146" s="22"/>
      <c r="TZD146" s="22"/>
      <c r="TZE146" s="22"/>
      <c r="TZF146" s="22"/>
      <c r="TZG146" s="22"/>
      <c r="TZH146" s="22"/>
      <c r="TZI146" s="22"/>
      <c r="TZJ146" s="22"/>
      <c r="TZK146" s="22"/>
      <c r="TZL146" s="22"/>
      <c r="TZM146" s="22"/>
      <c r="TZN146" s="22"/>
      <c r="TZO146" s="22"/>
      <c r="TZP146" s="22"/>
      <c r="TZQ146" s="22"/>
      <c r="TZR146" s="22"/>
      <c r="TZS146" s="22"/>
      <c r="TZT146" s="22"/>
      <c r="TZU146" s="22"/>
      <c r="TZV146" s="22"/>
      <c r="TZW146" s="22"/>
      <c r="TZX146" s="22"/>
      <c r="TZY146" s="22"/>
      <c r="TZZ146" s="22"/>
      <c r="UAA146" s="22"/>
      <c r="UAB146" s="22"/>
      <c r="UAC146" s="22"/>
      <c r="UAD146" s="22"/>
      <c r="UAE146" s="22"/>
      <c r="UAF146" s="22"/>
      <c r="UAG146" s="22"/>
      <c r="UAH146" s="22"/>
      <c r="UAI146" s="22"/>
      <c r="UAJ146" s="22"/>
      <c r="UAK146" s="22"/>
      <c r="UAL146" s="22"/>
      <c r="UAM146" s="22"/>
      <c r="UAN146" s="22"/>
      <c r="UAO146" s="22"/>
      <c r="UAP146" s="22"/>
      <c r="UAQ146" s="22"/>
      <c r="UAR146" s="22"/>
      <c r="UAS146" s="22"/>
      <c r="UAT146" s="22"/>
      <c r="UAU146" s="22"/>
      <c r="UAV146" s="22"/>
      <c r="UAW146" s="22"/>
      <c r="UAX146" s="22"/>
      <c r="UAY146" s="22"/>
      <c r="UAZ146" s="22"/>
      <c r="UBA146" s="22"/>
      <c r="UBB146" s="22"/>
      <c r="UBC146" s="22"/>
      <c r="UBD146" s="22"/>
      <c r="UBE146" s="22"/>
      <c r="UBF146" s="22"/>
      <c r="UBG146" s="22"/>
      <c r="UBH146" s="22"/>
      <c r="UBI146" s="22"/>
      <c r="UBJ146" s="22"/>
      <c r="UBK146" s="22"/>
      <c r="UBL146" s="22"/>
      <c r="UBM146" s="22"/>
      <c r="UBN146" s="22"/>
      <c r="UBO146" s="22"/>
      <c r="UBP146" s="22"/>
      <c r="UBQ146" s="22"/>
      <c r="UBR146" s="22"/>
      <c r="UBS146" s="22"/>
      <c r="UBT146" s="22"/>
      <c r="UBU146" s="22"/>
      <c r="UBV146" s="22"/>
      <c r="UBW146" s="22"/>
      <c r="UBX146" s="22"/>
      <c r="UBY146" s="22"/>
      <c r="UBZ146" s="22"/>
      <c r="UCA146" s="22"/>
      <c r="UCB146" s="22"/>
      <c r="UCC146" s="22"/>
      <c r="UCD146" s="22"/>
      <c r="UCE146" s="22"/>
      <c r="UCF146" s="22"/>
      <c r="UCG146" s="22"/>
      <c r="UCH146" s="22"/>
      <c r="UCI146" s="22"/>
      <c r="UCJ146" s="22"/>
      <c r="UCK146" s="22"/>
      <c r="UCL146" s="22"/>
      <c r="UCM146" s="22"/>
      <c r="UCN146" s="22"/>
      <c r="UCO146" s="22"/>
      <c r="UCP146" s="22"/>
      <c r="UCQ146" s="22"/>
      <c r="UCR146" s="22"/>
      <c r="UCS146" s="22"/>
      <c r="UCT146" s="22"/>
      <c r="UCU146" s="22"/>
      <c r="UCV146" s="22"/>
      <c r="UCW146" s="22"/>
      <c r="UCX146" s="22"/>
      <c r="UCY146" s="22"/>
      <c r="UCZ146" s="22"/>
      <c r="UDA146" s="22"/>
      <c r="UDB146" s="22"/>
      <c r="UDC146" s="22"/>
      <c r="UDD146" s="22"/>
      <c r="UDE146" s="22"/>
      <c r="UDF146" s="22"/>
      <c r="UDG146" s="22"/>
      <c r="UDH146" s="22"/>
      <c r="UDI146" s="22"/>
      <c r="UDJ146" s="22"/>
      <c r="UDK146" s="22"/>
      <c r="UDL146" s="22"/>
      <c r="UDM146" s="22"/>
      <c r="UDN146" s="22"/>
      <c r="UDO146" s="22"/>
      <c r="UDP146" s="22"/>
      <c r="UDQ146" s="22"/>
      <c r="UDR146" s="22"/>
      <c r="UDS146" s="22"/>
      <c r="UDT146" s="22"/>
      <c r="UDU146" s="22"/>
      <c r="UDV146" s="22"/>
      <c r="UDW146" s="22"/>
      <c r="UDX146" s="22"/>
      <c r="UDY146" s="22"/>
      <c r="UDZ146" s="22"/>
      <c r="UEA146" s="22"/>
      <c r="UEB146" s="22"/>
      <c r="UEC146" s="22"/>
      <c r="UED146" s="22"/>
      <c r="UEE146" s="22"/>
      <c r="UEF146" s="22"/>
      <c r="UEG146" s="22"/>
      <c r="UEH146" s="22"/>
      <c r="UEI146" s="22"/>
      <c r="UEJ146" s="22"/>
      <c r="UEK146" s="22"/>
      <c r="UEL146" s="22"/>
      <c r="UEM146" s="22"/>
      <c r="UEN146" s="22"/>
      <c r="UEO146" s="22"/>
      <c r="UEP146" s="22"/>
      <c r="UEQ146" s="22"/>
      <c r="UER146" s="22"/>
      <c r="UES146" s="22"/>
      <c r="UET146" s="22"/>
      <c r="UEU146" s="22"/>
      <c r="UEV146" s="22"/>
      <c r="UEW146" s="22"/>
      <c r="UEX146" s="22"/>
      <c r="UEY146" s="22"/>
      <c r="UEZ146" s="22"/>
      <c r="UFA146" s="22"/>
      <c r="UFB146" s="22"/>
      <c r="UFC146" s="22"/>
      <c r="UFD146" s="22"/>
      <c r="UFE146" s="22"/>
      <c r="UFF146" s="22"/>
      <c r="UFG146" s="22"/>
      <c r="UFH146" s="22"/>
      <c r="UFI146" s="22"/>
      <c r="UFJ146" s="22"/>
      <c r="UFK146" s="22"/>
      <c r="UFL146" s="22"/>
      <c r="UFM146" s="22"/>
      <c r="UFN146" s="22"/>
      <c r="UFO146" s="22"/>
      <c r="UFP146" s="22"/>
      <c r="UFQ146" s="22"/>
      <c r="UFR146" s="22"/>
      <c r="UFS146" s="22"/>
      <c r="UFT146" s="22"/>
      <c r="UFU146" s="22"/>
      <c r="UFV146" s="22"/>
      <c r="UFW146" s="22"/>
      <c r="UFX146" s="22"/>
      <c r="UFY146" s="22"/>
      <c r="UFZ146" s="22"/>
      <c r="UGA146" s="22"/>
      <c r="UGB146" s="22"/>
      <c r="UGC146" s="22"/>
      <c r="UGD146" s="22"/>
      <c r="UGE146" s="22"/>
      <c r="UGF146" s="22"/>
      <c r="UGG146" s="22"/>
      <c r="UGH146" s="22"/>
      <c r="UGI146" s="22"/>
      <c r="UGJ146" s="22"/>
      <c r="UGK146" s="22"/>
      <c r="UGL146" s="22"/>
      <c r="UGM146" s="22"/>
      <c r="UGN146" s="22"/>
      <c r="UGO146" s="22"/>
      <c r="UGP146" s="22"/>
      <c r="UGQ146" s="22"/>
      <c r="UGR146" s="22"/>
      <c r="UGS146" s="22"/>
      <c r="UGT146" s="22"/>
      <c r="UGU146" s="22"/>
      <c r="UGV146" s="22"/>
      <c r="UGW146" s="22"/>
      <c r="UGX146" s="22"/>
      <c r="UGY146" s="22"/>
      <c r="UGZ146" s="22"/>
      <c r="UHA146" s="22"/>
      <c r="UHB146" s="22"/>
      <c r="UHC146" s="22"/>
      <c r="UHD146" s="22"/>
      <c r="UHE146" s="22"/>
      <c r="UHF146" s="22"/>
      <c r="UHG146" s="22"/>
      <c r="UHH146" s="22"/>
      <c r="UHI146" s="22"/>
      <c r="UHJ146" s="22"/>
      <c r="UHK146" s="22"/>
      <c r="UHL146" s="22"/>
      <c r="UHM146" s="22"/>
      <c r="UHN146" s="22"/>
      <c r="UHO146" s="22"/>
      <c r="UHP146" s="22"/>
      <c r="UHQ146" s="22"/>
      <c r="UHR146" s="22"/>
      <c r="UHS146" s="22"/>
      <c r="UHT146" s="22"/>
      <c r="UHU146" s="22"/>
      <c r="UHV146" s="22"/>
      <c r="UHW146" s="22"/>
      <c r="UHX146" s="22"/>
      <c r="UHY146" s="22"/>
      <c r="UHZ146" s="22"/>
      <c r="UIA146" s="22"/>
      <c r="UIB146" s="22"/>
      <c r="UIC146" s="22"/>
      <c r="UID146" s="22"/>
      <c r="UIE146" s="22"/>
      <c r="UIF146" s="22"/>
      <c r="UIG146" s="22"/>
      <c r="UIH146" s="22"/>
      <c r="UII146" s="22"/>
      <c r="UIJ146" s="22"/>
      <c r="UIK146" s="22"/>
      <c r="UIL146" s="22"/>
      <c r="UIM146" s="22"/>
      <c r="UIN146" s="22"/>
      <c r="UIO146" s="22"/>
      <c r="UIP146" s="22"/>
      <c r="UIQ146" s="22"/>
      <c r="UIR146" s="22"/>
      <c r="UIS146" s="22"/>
      <c r="UIT146" s="22"/>
      <c r="UIU146" s="22"/>
      <c r="UIV146" s="22"/>
      <c r="UIW146" s="22"/>
      <c r="UIX146" s="22"/>
      <c r="UIY146" s="22"/>
      <c r="UIZ146" s="22"/>
      <c r="UJA146" s="22"/>
      <c r="UJB146" s="22"/>
      <c r="UJC146" s="22"/>
      <c r="UJD146" s="22"/>
      <c r="UJE146" s="22"/>
      <c r="UJF146" s="22"/>
      <c r="UJG146" s="22"/>
      <c r="UJH146" s="22"/>
      <c r="UJI146" s="22"/>
      <c r="UJJ146" s="22"/>
      <c r="UJK146" s="22"/>
      <c r="UJL146" s="22"/>
      <c r="UJM146" s="22"/>
      <c r="UJN146" s="22"/>
      <c r="UJO146" s="22"/>
      <c r="UJP146" s="22"/>
      <c r="UJQ146" s="22"/>
      <c r="UJR146" s="22"/>
      <c r="UJS146" s="22"/>
      <c r="UJT146" s="22"/>
      <c r="UJU146" s="22"/>
      <c r="UJV146" s="22"/>
      <c r="UJW146" s="22"/>
      <c r="UJX146" s="22"/>
      <c r="UJY146" s="22"/>
      <c r="UJZ146" s="22"/>
      <c r="UKA146" s="22"/>
      <c r="UKB146" s="22"/>
      <c r="UKC146" s="22"/>
      <c r="UKD146" s="22"/>
      <c r="UKE146" s="22"/>
      <c r="UKF146" s="22"/>
      <c r="UKG146" s="22"/>
      <c r="UKH146" s="22"/>
      <c r="UKI146" s="22"/>
      <c r="UKJ146" s="22"/>
      <c r="UKK146" s="22"/>
      <c r="UKL146" s="22"/>
      <c r="UKM146" s="22"/>
      <c r="UKN146" s="22"/>
      <c r="UKO146" s="22"/>
      <c r="UKP146" s="22"/>
      <c r="UKQ146" s="22"/>
      <c r="UKR146" s="22"/>
      <c r="UKS146" s="22"/>
      <c r="UKT146" s="22"/>
      <c r="UKU146" s="22"/>
      <c r="UKV146" s="22"/>
      <c r="UKW146" s="22"/>
      <c r="UKX146" s="22"/>
      <c r="UKY146" s="22"/>
      <c r="UKZ146" s="22"/>
      <c r="ULA146" s="22"/>
      <c r="ULB146" s="22"/>
      <c r="ULC146" s="22"/>
      <c r="ULD146" s="22"/>
      <c r="ULE146" s="22"/>
      <c r="ULF146" s="22"/>
      <c r="ULG146" s="22"/>
      <c r="ULH146" s="22"/>
      <c r="ULI146" s="22"/>
      <c r="ULJ146" s="22"/>
      <c r="ULK146" s="22"/>
      <c r="ULL146" s="22"/>
      <c r="ULM146" s="22"/>
      <c r="ULN146" s="22"/>
      <c r="ULO146" s="22"/>
      <c r="ULP146" s="22"/>
      <c r="ULQ146" s="22"/>
      <c r="ULR146" s="22"/>
      <c r="ULS146" s="22"/>
      <c r="ULT146" s="22"/>
      <c r="ULU146" s="22"/>
      <c r="ULV146" s="22"/>
      <c r="ULW146" s="22"/>
      <c r="ULX146" s="22"/>
      <c r="ULY146" s="22"/>
      <c r="ULZ146" s="22"/>
      <c r="UMA146" s="22"/>
      <c r="UMB146" s="22"/>
      <c r="UMC146" s="22"/>
      <c r="UMD146" s="22"/>
      <c r="UME146" s="22"/>
      <c r="UMF146" s="22"/>
      <c r="UMG146" s="22"/>
      <c r="UMH146" s="22"/>
      <c r="UMI146" s="22"/>
      <c r="UMJ146" s="22"/>
      <c r="UMK146" s="22"/>
      <c r="UML146" s="22"/>
      <c r="UMM146" s="22"/>
      <c r="UMN146" s="22"/>
      <c r="UMO146" s="22"/>
      <c r="UMP146" s="22"/>
      <c r="UMQ146" s="22"/>
      <c r="UMR146" s="22"/>
      <c r="UMS146" s="22"/>
      <c r="UMT146" s="22"/>
      <c r="UMU146" s="22"/>
      <c r="UMV146" s="22"/>
      <c r="UMW146" s="22"/>
      <c r="UMX146" s="22"/>
      <c r="UMY146" s="22"/>
      <c r="UMZ146" s="22"/>
      <c r="UNA146" s="22"/>
      <c r="UNB146" s="22"/>
      <c r="UNC146" s="22"/>
      <c r="UND146" s="22"/>
      <c r="UNE146" s="22"/>
      <c r="UNF146" s="22"/>
      <c r="UNG146" s="22"/>
      <c r="UNH146" s="22"/>
      <c r="UNI146" s="22"/>
      <c r="UNJ146" s="22"/>
      <c r="UNK146" s="22"/>
      <c r="UNL146" s="22"/>
      <c r="UNM146" s="22"/>
      <c r="UNN146" s="22"/>
      <c r="UNO146" s="22"/>
      <c r="UNP146" s="22"/>
      <c r="UNQ146" s="22"/>
      <c r="UNR146" s="22"/>
      <c r="UNS146" s="22"/>
      <c r="UNT146" s="22"/>
      <c r="UNU146" s="22"/>
      <c r="UNV146" s="22"/>
      <c r="UNW146" s="22"/>
      <c r="UNX146" s="22"/>
      <c r="UNY146" s="22"/>
      <c r="UNZ146" s="22"/>
      <c r="UOA146" s="22"/>
      <c r="UOB146" s="22"/>
      <c r="UOC146" s="22"/>
      <c r="UOD146" s="22"/>
      <c r="UOE146" s="22"/>
      <c r="UOF146" s="22"/>
      <c r="UOG146" s="22"/>
      <c r="UOH146" s="22"/>
      <c r="UOI146" s="22"/>
      <c r="UOJ146" s="22"/>
      <c r="UOK146" s="22"/>
      <c r="UOL146" s="22"/>
      <c r="UOM146" s="22"/>
      <c r="UON146" s="22"/>
      <c r="UOO146" s="22"/>
      <c r="UOP146" s="22"/>
      <c r="UOQ146" s="22"/>
      <c r="UOR146" s="22"/>
      <c r="UOS146" s="22"/>
      <c r="UOT146" s="22"/>
      <c r="UOU146" s="22"/>
      <c r="UOV146" s="22"/>
      <c r="UOW146" s="22"/>
      <c r="UOX146" s="22"/>
      <c r="UOY146" s="22"/>
      <c r="UOZ146" s="22"/>
      <c r="UPA146" s="22"/>
      <c r="UPB146" s="22"/>
      <c r="UPC146" s="22"/>
      <c r="UPD146" s="22"/>
      <c r="UPE146" s="22"/>
      <c r="UPF146" s="22"/>
      <c r="UPG146" s="22"/>
      <c r="UPH146" s="22"/>
      <c r="UPI146" s="22"/>
      <c r="UPJ146" s="22"/>
      <c r="UPK146" s="22"/>
      <c r="UPL146" s="22"/>
      <c r="UPM146" s="22"/>
      <c r="UPN146" s="22"/>
      <c r="UPO146" s="22"/>
      <c r="UPP146" s="22"/>
      <c r="UPQ146" s="22"/>
      <c r="UPR146" s="22"/>
      <c r="UPS146" s="22"/>
      <c r="UPT146" s="22"/>
      <c r="UPU146" s="22"/>
      <c r="UPV146" s="22"/>
      <c r="UPW146" s="22"/>
      <c r="UPX146" s="22"/>
      <c r="UPY146" s="22"/>
      <c r="UPZ146" s="22"/>
      <c r="UQA146" s="22"/>
      <c r="UQB146" s="22"/>
      <c r="UQC146" s="22"/>
      <c r="UQD146" s="22"/>
      <c r="UQE146" s="22"/>
      <c r="UQF146" s="22"/>
      <c r="UQG146" s="22"/>
      <c r="UQH146" s="22"/>
      <c r="UQI146" s="22"/>
      <c r="UQJ146" s="22"/>
      <c r="UQK146" s="22"/>
      <c r="UQL146" s="22"/>
      <c r="UQM146" s="22"/>
      <c r="UQN146" s="22"/>
      <c r="UQO146" s="22"/>
      <c r="UQP146" s="22"/>
      <c r="UQQ146" s="22"/>
      <c r="UQR146" s="22"/>
      <c r="UQS146" s="22"/>
      <c r="UQT146" s="22"/>
      <c r="UQU146" s="22"/>
      <c r="UQV146" s="22"/>
      <c r="UQW146" s="22"/>
      <c r="UQX146" s="22"/>
      <c r="UQY146" s="22"/>
      <c r="UQZ146" s="22"/>
      <c r="URA146" s="22"/>
      <c r="URB146" s="22"/>
      <c r="URC146" s="22"/>
      <c r="URD146" s="22"/>
      <c r="URE146" s="22"/>
      <c r="URF146" s="22"/>
      <c r="URG146" s="22"/>
      <c r="URH146" s="22"/>
      <c r="URI146" s="22"/>
      <c r="URJ146" s="22"/>
      <c r="URK146" s="22"/>
      <c r="URL146" s="22"/>
      <c r="URM146" s="22"/>
      <c r="URN146" s="22"/>
      <c r="URO146" s="22"/>
      <c r="URP146" s="22"/>
      <c r="URQ146" s="22"/>
      <c r="URR146" s="22"/>
      <c r="URS146" s="22"/>
      <c r="URT146" s="22"/>
      <c r="URU146" s="22"/>
      <c r="URV146" s="22"/>
      <c r="URW146" s="22"/>
      <c r="URX146" s="22"/>
      <c r="URY146" s="22"/>
      <c r="URZ146" s="22"/>
      <c r="USA146" s="22"/>
      <c r="USB146" s="22"/>
      <c r="USC146" s="22"/>
      <c r="USD146" s="22"/>
      <c r="USE146" s="22"/>
      <c r="USF146" s="22"/>
      <c r="USG146" s="22"/>
      <c r="USH146" s="22"/>
      <c r="USI146" s="22"/>
      <c r="USJ146" s="22"/>
      <c r="USK146" s="22"/>
      <c r="USL146" s="22"/>
      <c r="USM146" s="22"/>
      <c r="USN146" s="22"/>
      <c r="USO146" s="22"/>
      <c r="USP146" s="22"/>
      <c r="USQ146" s="22"/>
      <c r="USR146" s="22"/>
      <c r="USS146" s="22"/>
      <c r="UST146" s="22"/>
      <c r="USU146" s="22"/>
      <c r="USV146" s="22"/>
      <c r="USW146" s="22"/>
      <c r="USX146" s="22"/>
      <c r="USY146" s="22"/>
      <c r="USZ146" s="22"/>
      <c r="UTA146" s="22"/>
      <c r="UTB146" s="22"/>
      <c r="UTC146" s="22"/>
      <c r="UTD146" s="22"/>
      <c r="UTE146" s="22"/>
      <c r="UTF146" s="22"/>
      <c r="UTG146" s="22"/>
      <c r="UTH146" s="22"/>
      <c r="UTI146" s="22"/>
      <c r="UTJ146" s="22"/>
      <c r="UTK146" s="22"/>
      <c r="UTL146" s="22"/>
      <c r="UTM146" s="22"/>
      <c r="UTN146" s="22"/>
      <c r="UTO146" s="22"/>
      <c r="UTP146" s="22"/>
      <c r="UTQ146" s="22"/>
      <c r="UTR146" s="22"/>
      <c r="UTS146" s="22"/>
      <c r="UTT146" s="22"/>
      <c r="UTU146" s="22"/>
      <c r="UTV146" s="22"/>
      <c r="UTW146" s="22"/>
      <c r="UTX146" s="22"/>
      <c r="UTY146" s="22"/>
      <c r="UTZ146" s="22"/>
      <c r="UUA146" s="22"/>
      <c r="UUB146" s="22"/>
      <c r="UUC146" s="22"/>
      <c r="UUD146" s="22"/>
      <c r="UUE146" s="22"/>
      <c r="UUF146" s="22"/>
      <c r="UUG146" s="22"/>
      <c r="UUH146" s="22"/>
      <c r="UUI146" s="22"/>
      <c r="UUJ146" s="22"/>
      <c r="UUK146" s="22"/>
      <c r="UUL146" s="22"/>
      <c r="UUM146" s="22"/>
      <c r="UUN146" s="22"/>
      <c r="UUO146" s="22"/>
      <c r="UUP146" s="22"/>
      <c r="UUQ146" s="22"/>
      <c r="UUR146" s="22"/>
      <c r="UUS146" s="22"/>
      <c r="UUT146" s="22"/>
      <c r="UUU146" s="22"/>
      <c r="UUV146" s="22"/>
      <c r="UUW146" s="22"/>
      <c r="UUX146" s="22"/>
      <c r="UUY146" s="22"/>
      <c r="UUZ146" s="22"/>
      <c r="UVA146" s="22"/>
      <c r="UVB146" s="22"/>
      <c r="UVC146" s="22"/>
      <c r="UVD146" s="22"/>
      <c r="UVE146" s="22"/>
      <c r="UVF146" s="22"/>
      <c r="UVG146" s="22"/>
      <c r="UVH146" s="22"/>
      <c r="UVI146" s="22"/>
      <c r="UVJ146" s="22"/>
      <c r="UVK146" s="22"/>
      <c r="UVL146" s="22"/>
      <c r="UVM146" s="22"/>
      <c r="UVN146" s="22"/>
      <c r="UVO146" s="22"/>
      <c r="UVP146" s="22"/>
      <c r="UVQ146" s="22"/>
      <c r="UVR146" s="22"/>
      <c r="UVS146" s="22"/>
      <c r="UVT146" s="22"/>
      <c r="UVU146" s="22"/>
      <c r="UVV146" s="22"/>
      <c r="UVW146" s="22"/>
      <c r="UVX146" s="22"/>
      <c r="UVY146" s="22"/>
      <c r="UVZ146" s="22"/>
      <c r="UWA146" s="22"/>
      <c r="UWB146" s="22"/>
      <c r="UWC146" s="22"/>
      <c r="UWD146" s="22"/>
      <c r="UWE146" s="22"/>
      <c r="UWF146" s="22"/>
      <c r="UWG146" s="22"/>
      <c r="UWH146" s="22"/>
      <c r="UWI146" s="22"/>
      <c r="UWJ146" s="22"/>
      <c r="UWK146" s="22"/>
      <c r="UWL146" s="22"/>
      <c r="UWM146" s="22"/>
      <c r="UWN146" s="22"/>
      <c r="UWO146" s="22"/>
      <c r="UWP146" s="22"/>
      <c r="UWQ146" s="22"/>
      <c r="UWR146" s="22"/>
      <c r="UWS146" s="22"/>
      <c r="UWT146" s="22"/>
      <c r="UWU146" s="22"/>
      <c r="UWV146" s="22"/>
      <c r="UWW146" s="22"/>
      <c r="UWX146" s="22"/>
      <c r="UWY146" s="22"/>
      <c r="UWZ146" s="22"/>
      <c r="UXA146" s="22"/>
      <c r="UXB146" s="22"/>
      <c r="UXC146" s="22"/>
      <c r="UXD146" s="22"/>
      <c r="UXE146" s="22"/>
      <c r="UXF146" s="22"/>
      <c r="UXG146" s="22"/>
      <c r="UXH146" s="22"/>
      <c r="UXI146" s="22"/>
      <c r="UXJ146" s="22"/>
      <c r="UXK146" s="22"/>
      <c r="UXL146" s="22"/>
      <c r="UXM146" s="22"/>
      <c r="UXN146" s="22"/>
      <c r="UXO146" s="22"/>
      <c r="UXP146" s="22"/>
      <c r="UXQ146" s="22"/>
      <c r="UXR146" s="22"/>
      <c r="UXS146" s="22"/>
      <c r="UXT146" s="22"/>
      <c r="UXU146" s="22"/>
      <c r="UXV146" s="22"/>
      <c r="UXW146" s="22"/>
      <c r="UXX146" s="22"/>
      <c r="UXY146" s="22"/>
      <c r="UXZ146" s="22"/>
      <c r="UYA146" s="22"/>
      <c r="UYB146" s="22"/>
      <c r="UYC146" s="22"/>
      <c r="UYD146" s="22"/>
      <c r="UYE146" s="22"/>
      <c r="UYF146" s="22"/>
      <c r="UYG146" s="22"/>
      <c r="UYH146" s="22"/>
      <c r="UYI146" s="22"/>
      <c r="UYJ146" s="22"/>
      <c r="UYK146" s="22"/>
      <c r="UYL146" s="22"/>
      <c r="UYM146" s="22"/>
      <c r="UYN146" s="22"/>
      <c r="UYO146" s="22"/>
      <c r="UYP146" s="22"/>
      <c r="UYQ146" s="22"/>
      <c r="UYR146" s="22"/>
      <c r="UYS146" s="22"/>
      <c r="UYT146" s="22"/>
      <c r="UYU146" s="22"/>
      <c r="UYV146" s="22"/>
      <c r="UYW146" s="22"/>
      <c r="UYX146" s="22"/>
      <c r="UYY146" s="22"/>
      <c r="UYZ146" s="22"/>
      <c r="UZA146" s="22"/>
      <c r="UZB146" s="22"/>
      <c r="UZC146" s="22"/>
      <c r="UZD146" s="22"/>
      <c r="UZE146" s="22"/>
      <c r="UZF146" s="22"/>
      <c r="UZG146" s="22"/>
      <c r="UZH146" s="22"/>
      <c r="UZI146" s="22"/>
      <c r="UZJ146" s="22"/>
      <c r="UZK146" s="22"/>
      <c r="UZL146" s="22"/>
      <c r="UZM146" s="22"/>
      <c r="UZN146" s="22"/>
      <c r="UZO146" s="22"/>
      <c r="UZP146" s="22"/>
      <c r="UZQ146" s="22"/>
      <c r="UZR146" s="22"/>
      <c r="UZS146" s="22"/>
      <c r="UZT146" s="22"/>
      <c r="UZU146" s="22"/>
      <c r="UZV146" s="22"/>
      <c r="UZW146" s="22"/>
      <c r="UZX146" s="22"/>
      <c r="UZY146" s="22"/>
      <c r="UZZ146" s="22"/>
      <c r="VAA146" s="22"/>
      <c r="VAB146" s="22"/>
      <c r="VAC146" s="22"/>
      <c r="VAD146" s="22"/>
      <c r="VAE146" s="22"/>
      <c r="VAF146" s="22"/>
      <c r="VAG146" s="22"/>
      <c r="VAH146" s="22"/>
      <c r="VAI146" s="22"/>
      <c r="VAJ146" s="22"/>
      <c r="VAK146" s="22"/>
      <c r="VAL146" s="22"/>
      <c r="VAM146" s="22"/>
      <c r="VAN146" s="22"/>
      <c r="VAO146" s="22"/>
      <c r="VAP146" s="22"/>
      <c r="VAQ146" s="22"/>
      <c r="VAR146" s="22"/>
      <c r="VAS146" s="22"/>
      <c r="VAT146" s="22"/>
      <c r="VAU146" s="22"/>
      <c r="VAV146" s="22"/>
      <c r="VAW146" s="22"/>
      <c r="VAX146" s="22"/>
      <c r="VAY146" s="22"/>
      <c r="VAZ146" s="22"/>
      <c r="VBA146" s="22"/>
      <c r="VBB146" s="22"/>
      <c r="VBC146" s="22"/>
      <c r="VBD146" s="22"/>
      <c r="VBE146" s="22"/>
      <c r="VBF146" s="22"/>
      <c r="VBG146" s="22"/>
      <c r="VBH146" s="22"/>
      <c r="VBI146" s="22"/>
      <c r="VBJ146" s="22"/>
      <c r="VBK146" s="22"/>
      <c r="VBL146" s="22"/>
      <c r="VBM146" s="22"/>
      <c r="VBN146" s="22"/>
      <c r="VBO146" s="22"/>
      <c r="VBP146" s="22"/>
      <c r="VBQ146" s="22"/>
      <c r="VBR146" s="22"/>
      <c r="VBS146" s="22"/>
      <c r="VBT146" s="22"/>
      <c r="VBU146" s="22"/>
      <c r="VBV146" s="22"/>
      <c r="VBW146" s="22"/>
      <c r="VBX146" s="22"/>
      <c r="VBY146" s="22"/>
      <c r="VBZ146" s="22"/>
      <c r="VCA146" s="22"/>
      <c r="VCB146" s="22"/>
      <c r="VCC146" s="22"/>
      <c r="VCD146" s="22"/>
      <c r="VCE146" s="22"/>
      <c r="VCF146" s="22"/>
      <c r="VCG146" s="22"/>
      <c r="VCH146" s="22"/>
      <c r="VCI146" s="22"/>
      <c r="VCJ146" s="22"/>
      <c r="VCK146" s="22"/>
      <c r="VCL146" s="22"/>
      <c r="VCM146" s="22"/>
      <c r="VCN146" s="22"/>
      <c r="VCO146" s="22"/>
      <c r="VCP146" s="22"/>
      <c r="VCQ146" s="22"/>
      <c r="VCR146" s="22"/>
      <c r="VCS146" s="22"/>
      <c r="VCT146" s="22"/>
      <c r="VCU146" s="22"/>
      <c r="VCV146" s="22"/>
      <c r="VCW146" s="22"/>
      <c r="VCX146" s="22"/>
      <c r="VCY146" s="22"/>
      <c r="VCZ146" s="22"/>
      <c r="VDA146" s="22"/>
      <c r="VDB146" s="22"/>
      <c r="VDC146" s="22"/>
      <c r="VDD146" s="22"/>
      <c r="VDE146" s="22"/>
      <c r="VDF146" s="22"/>
      <c r="VDG146" s="22"/>
      <c r="VDH146" s="22"/>
      <c r="VDI146" s="22"/>
      <c r="VDJ146" s="22"/>
      <c r="VDK146" s="22"/>
      <c r="VDL146" s="22"/>
      <c r="VDM146" s="22"/>
      <c r="VDN146" s="22"/>
      <c r="VDO146" s="22"/>
      <c r="VDP146" s="22"/>
      <c r="VDQ146" s="22"/>
      <c r="VDR146" s="22"/>
      <c r="VDS146" s="22"/>
      <c r="VDT146" s="22"/>
      <c r="VDU146" s="22"/>
      <c r="VDV146" s="22"/>
      <c r="VDW146" s="22"/>
      <c r="VDX146" s="22"/>
      <c r="VDY146" s="22"/>
      <c r="VDZ146" s="22"/>
      <c r="VEA146" s="22"/>
      <c r="VEB146" s="22"/>
      <c r="VEC146" s="22"/>
      <c r="VED146" s="22"/>
      <c r="VEE146" s="22"/>
      <c r="VEF146" s="22"/>
      <c r="VEG146" s="22"/>
      <c r="VEH146" s="22"/>
      <c r="VEI146" s="22"/>
      <c r="VEJ146" s="22"/>
      <c r="VEK146" s="22"/>
      <c r="VEL146" s="22"/>
      <c r="VEM146" s="22"/>
      <c r="VEN146" s="22"/>
      <c r="VEO146" s="22"/>
      <c r="VEP146" s="22"/>
      <c r="VEQ146" s="22"/>
      <c r="VER146" s="22"/>
      <c r="VES146" s="22"/>
      <c r="VET146" s="22"/>
      <c r="VEU146" s="22"/>
      <c r="VEV146" s="22"/>
      <c r="VEW146" s="22"/>
      <c r="VEX146" s="22"/>
      <c r="VEY146" s="22"/>
      <c r="VEZ146" s="22"/>
      <c r="VFA146" s="22"/>
      <c r="VFB146" s="22"/>
      <c r="VFC146" s="22"/>
      <c r="VFD146" s="22"/>
      <c r="VFE146" s="22"/>
      <c r="VFF146" s="22"/>
      <c r="VFG146" s="22"/>
      <c r="VFH146" s="22"/>
      <c r="VFI146" s="22"/>
      <c r="VFJ146" s="22"/>
      <c r="VFK146" s="22"/>
      <c r="VFL146" s="22"/>
      <c r="VFM146" s="22"/>
      <c r="VFN146" s="22"/>
      <c r="VFO146" s="22"/>
      <c r="VFP146" s="22"/>
      <c r="VFQ146" s="22"/>
      <c r="VFR146" s="22"/>
      <c r="VFS146" s="22"/>
      <c r="VFT146" s="22"/>
      <c r="VFU146" s="22"/>
      <c r="VFV146" s="22"/>
      <c r="VFW146" s="22"/>
      <c r="VFX146" s="22"/>
      <c r="VFY146" s="22"/>
      <c r="VFZ146" s="22"/>
      <c r="VGA146" s="22"/>
      <c r="VGB146" s="22"/>
      <c r="VGC146" s="22"/>
      <c r="VGD146" s="22"/>
      <c r="VGE146" s="22"/>
      <c r="VGF146" s="22"/>
      <c r="VGG146" s="22"/>
      <c r="VGH146" s="22"/>
      <c r="VGI146" s="22"/>
      <c r="VGJ146" s="22"/>
      <c r="VGK146" s="22"/>
      <c r="VGL146" s="22"/>
      <c r="VGM146" s="22"/>
      <c r="VGN146" s="22"/>
      <c r="VGO146" s="22"/>
      <c r="VGP146" s="22"/>
      <c r="VGQ146" s="22"/>
      <c r="VGR146" s="22"/>
      <c r="VGS146" s="22"/>
      <c r="VGT146" s="22"/>
      <c r="VGU146" s="22"/>
      <c r="VGV146" s="22"/>
      <c r="VGW146" s="22"/>
      <c r="VGX146" s="22"/>
      <c r="VGY146" s="22"/>
      <c r="VGZ146" s="22"/>
      <c r="VHA146" s="22"/>
      <c r="VHB146" s="22"/>
      <c r="VHC146" s="22"/>
      <c r="VHD146" s="22"/>
      <c r="VHE146" s="22"/>
      <c r="VHF146" s="22"/>
      <c r="VHG146" s="22"/>
      <c r="VHH146" s="22"/>
      <c r="VHI146" s="22"/>
      <c r="VHJ146" s="22"/>
      <c r="VHK146" s="22"/>
      <c r="VHL146" s="22"/>
      <c r="VHM146" s="22"/>
      <c r="VHN146" s="22"/>
      <c r="VHO146" s="22"/>
      <c r="VHP146" s="22"/>
      <c r="VHQ146" s="22"/>
      <c r="VHR146" s="22"/>
      <c r="VHS146" s="22"/>
      <c r="VHT146" s="22"/>
      <c r="VHU146" s="22"/>
      <c r="VHV146" s="22"/>
      <c r="VHW146" s="22"/>
      <c r="VHX146" s="22"/>
      <c r="VHY146" s="22"/>
      <c r="VHZ146" s="22"/>
      <c r="VIA146" s="22"/>
      <c r="VIB146" s="22"/>
      <c r="VIC146" s="22"/>
      <c r="VID146" s="22"/>
      <c r="VIE146" s="22"/>
      <c r="VIF146" s="22"/>
      <c r="VIG146" s="22"/>
      <c r="VIH146" s="22"/>
      <c r="VII146" s="22"/>
      <c r="VIJ146" s="22"/>
      <c r="VIK146" s="22"/>
      <c r="VIL146" s="22"/>
      <c r="VIM146" s="22"/>
      <c r="VIN146" s="22"/>
      <c r="VIO146" s="22"/>
      <c r="VIP146" s="22"/>
      <c r="VIQ146" s="22"/>
      <c r="VIR146" s="22"/>
      <c r="VIS146" s="22"/>
      <c r="VIT146" s="22"/>
      <c r="VIU146" s="22"/>
      <c r="VIV146" s="22"/>
      <c r="VIW146" s="22"/>
      <c r="VIX146" s="22"/>
      <c r="VIY146" s="22"/>
      <c r="VIZ146" s="22"/>
      <c r="VJA146" s="22"/>
      <c r="VJB146" s="22"/>
      <c r="VJC146" s="22"/>
      <c r="VJD146" s="22"/>
      <c r="VJE146" s="22"/>
      <c r="VJF146" s="22"/>
      <c r="VJG146" s="22"/>
      <c r="VJH146" s="22"/>
      <c r="VJI146" s="22"/>
      <c r="VJJ146" s="22"/>
      <c r="VJK146" s="22"/>
      <c r="VJL146" s="22"/>
      <c r="VJM146" s="22"/>
      <c r="VJN146" s="22"/>
      <c r="VJO146" s="22"/>
      <c r="VJP146" s="22"/>
      <c r="VJQ146" s="22"/>
      <c r="VJR146" s="22"/>
      <c r="VJS146" s="22"/>
      <c r="VJT146" s="22"/>
      <c r="VJU146" s="22"/>
      <c r="VJV146" s="22"/>
      <c r="VJW146" s="22"/>
      <c r="VJX146" s="22"/>
      <c r="VJY146" s="22"/>
      <c r="VJZ146" s="22"/>
      <c r="VKA146" s="22"/>
      <c r="VKB146" s="22"/>
      <c r="VKC146" s="22"/>
      <c r="VKD146" s="22"/>
      <c r="VKE146" s="22"/>
      <c r="VKF146" s="22"/>
      <c r="VKG146" s="22"/>
      <c r="VKH146" s="22"/>
      <c r="VKI146" s="22"/>
      <c r="VKJ146" s="22"/>
      <c r="VKK146" s="22"/>
      <c r="VKL146" s="22"/>
      <c r="VKM146" s="22"/>
      <c r="VKN146" s="22"/>
      <c r="VKO146" s="22"/>
      <c r="VKP146" s="22"/>
      <c r="VKQ146" s="22"/>
      <c r="VKR146" s="22"/>
      <c r="VKS146" s="22"/>
      <c r="VKT146" s="22"/>
      <c r="VKU146" s="22"/>
      <c r="VKV146" s="22"/>
      <c r="VKW146" s="22"/>
      <c r="VKX146" s="22"/>
      <c r="VKY146" s="22"/>
      <c r="VKZ146" s="22"/>
      <c r="VLA146" s="22"/>
      <c r="VLB146" s="22"/>
      <c r="VLC146" s="22"/>
      <c r="VLD146" s="22"/>
      <c r="VLE146" s="22"/>
      <c r="VLF146" s="22"/>
      <c r="VLG146" s="22"/>
      <c r="VLH146" s="22"/>
      <c r="VLI146" s="22"/>
      <c r="VLJ146" s="22"/>
      <c r="VLK146" s="22"/>
      <c r="VLL146" s="22"/>
      <c r="VLM146" s="22"/>
      <c r="VLN146" s="22"/>
      <c r="VLO146" s="22"/>
      <c r="VLP146" s="22"/>
      <c r="VLQ146" s="22"/>
      <c r="VLR146" s="22"/>
      <c r="VLS146" s="22"/>
      <c r="VLT146" s="22"/>
      <c r="VLU146" s="22"/>
      <c r="VLV146" s="22"/>
      <c r="VLW146" s="22"/>
      <c r="VLX146" s="22"/>
      <c r="VLY146" s="22"/>
      <c r="VLZ146" s="22"/>
      <c r="VMA146" s="22"/>
      <c r="VMB146" s="22"/>
      <c r="VMC146" s="22"/>
      <c r="VMD146" s="22"/>
      <c r="VME146" s="22"/>
      <c r="VMF146" s="22"/>
      <c r="VMG146" s="22"/>
      <c r="VMH146" s="22"/>
      <c r="VMI146" s="22"/>
      <c r="VMJ146" s="22"/>
      <c r="VMK146" s="22"/>
      <c r="VML146" s="22"/>
      <c r="VMM146" s="22"/>
      <c r="VMN146" s="22"/>
      <c r="VMO146" s="22"/>
      <c r="VMP146" s="22"/>
      <c r="VMQ146" s="22"/>
      <c r="VMR146" s="22"/>
      <c r="VMS146" s="22"/>
      <c r="VMT146" s="22"/>
      <c r="VMU146" s="22"/>
      <c r="VMV146" s="22"/>
      <c r="VMW146" s="22"/>
      <c r="VMX146" s="22"/>
      <c r="VMY146" s="22"/>
      <c r="VMZ146" s="22"/>
      <c r="VNA146" s="22"/>
      <c r="VNB146" s="22"/>
      <c r="VNC146" s="22"/>
      <c r="VND146" s="22"/>
      <c r="VNE146" s="22"/>
      <c r="VNF146" s="22"/>
      <c r="VNG146" s="22"/>
      <c r="VNH146" s="22"/>
      <c r="VNI146" s="22"/>
      <c r="VNJ146" s="22"/>
      <c r="VNK146" s="22"/>
      <c r="VNL146" s="22"/>
      <c r="VNM146" s="22"/>
      <c r="VNN146" s="22"/>
      <c r="VNO146" s="22"/>
      <c r="VNP146" s="22"/>
      <c r="VNQ146" s="22"/>
      <c r="VNR146" s="22"/>
      <c r="VNS146" s="22"/>
      <c r="VNT146" s="22"/>
      <c r="VNU146" s="22"/>
      <c r="VNV146" s="22"/>
      <c r="VNW146" s="22"/>
      <c r="VNX146" s="22"/>
      <c r="VNY146" s="22"/>
      <c r="VNZ146" s="22"/>
      <c r="VOA146" s="22"/>
      <c r="VOB146" s="22"/>
      <c r="VOC146" s="22"/>
      <c r="VOD146" s="22"/>
      <c r="VOE146" s="22"/>
      <c r="VOF146" s="22"/>
      <c r="VOG146" s="22"/>
      <c r="VOH146" s="22"/>
      <c r="VOI146" s="22"/>
      <c r="VOJ146" s="22"/>
      <c r="VOK146" s="22"/>
      <c r="VOL146" s="22"/>
      <c r="VOM146" s="22"/>
      <c r="VON146" s="22"/>
      <c r="VOO146" s="22"/>
      <c r="VOP146" s="22"/>
      <c r="VOQ146" s="22"/>
      <c r="VOR146" s="22"/>
      <c r="VOS146" s="22"/>
      <c r="VOT146" s="22"/>
      <c r="VOU146" s="22"/>
      <c r="VOV146" s="22"/>
      <c r="VOW146" s="22"/>
      <c r="VOX146" s="22"/>
      <c r="VOY146" s="22"/>
      <c r="VOZ146" s="22"/>
      <c r="VPA146" s="22"/>
      <c r="VPB146" s="22"/>
      <c r="VPC146" s="22"/>
      <c r="VPD146" s="22"/>
      <c r="VPE146" s="22"/>
      <c r="VPF146" s="22"/>
      <c r="VPG146" s="22"/>
      <c r="VPH146" s="22"/>
      <c r="VPI146" s="22"/>
      <c r="VPJ146" s="22"/>
      <c r="VPK146" s="22"/>
      <c r="VPL146" s="22"/>
      <c r="VPM146" s="22"/>
      <c r="VPN146" s="22"/>
      <c r="VPO146" s="22"/>
      <c r="VPP146" s="22"/>
      <c r="VPQ146" s="22"/>
      <c r="VPR146" s="22"/>
      <c r="VPS146" s="22"/>
      <c r="VPT146" s="22"/>
      <c r="VPU146" s="22"/>
      <c r="VPV146" s="22"/>
      <c r="VPW146" s="22"/>
      <c r="VPX146" s="22"/>
      <c r="VPY146" s="22"/>
      <c r="VPZ146" s="22"/>
      <c r="VQA146" s="22"/>
      <c r="VQB146" s="22"/>
      <c r="VQC146" s="22"/>
      <c r="VQD146" s="22"/>
      <c r="VQE146" s="22"/>
      <c r="VQF146" s="22"/>
      <c r="VQG146" s="22"/>
      <c r="VQH146" s="22"/>
      <c r="VQI146" s="22"/>
      <c r="VQJ146" s="22"/>
      <c r="VQK146" s="22"/>
      <c r="VQL146" s="22"/>
      <c r="VQM146" s="22"/>
      <c r="VQN146" s="22"/>
      <c r="VQO146" s="22"/>
      <c r="VQP146" s="22"/>
      <c r="VQQ146" s="22"/>
      <c r="VQR146" s="22"/>
      <c r="VQS146" s="22"/>
      <c r="VQT146" s="22"/>
      <c r="VQU146" s="22"/>
      <c r="VQV146" s="22"/>
      <c r="VQW146" s="22"/>
      <c r="VQX146" s="22"/>
      <c r="VQY146" s="22"/>
      <c r="VQZ146" s="22"/>
      <c r="VRA146" s="22"/>
      <c r="VRB146" s="22"/>
      <c r="VRC146" s="22"/>
      <c r="VRD146" s="22"/>
      <c r="VRE146" s="22"/>
      <c r="VRF146" s="22"/>
      <c r="VRG146" s="22"/>
      <c r="VRH146" s="22"/>
      <c r="VRI146" s="22"/>
      <c r="VRJ146" s="22"/>
      <c r="VRK146" s="22"/>
      <c r="VRL146" s="22"/>
      <c r="VRM146" s="22"/>
      <c r="VRN146" s="22"/>
      <c r="VRO146" s="22"/>
      <c r="VRP146" s="22"/>
      <c r="VRQ146" s="22"/>
      <c r="VRR146" s="22"/>
      <c r="VRS146" s="22"/>
      <c r="VRT146" s="22"/>
      <c r="VRU146" s="22"/>
      <c r="VRV146" s="22"/>
      <c r="VRW146" s="22"/>
      <c r="VRX146" s="22"/>
      <c r="VRY146" s="22"/>
      <c r="VRZ146" s="22"/>
      <c r="VSA146" s="22"/>
      <c r="VSB146" s="22"/>
      <c r="VSC146" s="22"/>
      <c r="VSD146" s="22"/>
      <c r="VSE146" s="22"/>
      <c r="VSF146" s="22"/>
      <c r="VSG146" s="22"/>
      <c r="VSH146" s="22"/>
      <c r="VSI146" s="22"/>
      <c r="VSJ146" s="22"/>
      <c r="VSK146" s="22"/>
      <c r="VSL146" s="22"/>
      <c r="VSM146" s="22"/>
      <c r="VSN146" s="22"/>
      <c r="VSO146" s="22"/>
      <c r="VSP146" s="22"/>
      <c r="VSQ146" s="22"/>
      <c r="VSR146" s="22"/>
      <c r="VSS146" s="22"/>
      <c r="VST146" s="22"/>
      <c r="VSU146" s="22"/>
      <c r="VSV146" s="22"/>
      <c r="VSW146" s="22"/>
      <c r="VSX146" s="22"/>
      <c r="VSY146" s="22"/>
      <c r="VSZ146" s="22"/>
      <c r="VTA146" s="22"/>
      <c r="VTB146" s="22"/>
      <c r="VTC146" s="22"/>
      <c r="VTD146" s="22"/>
      <c r="VTE146" s="22"/>
      <c r="VTF146" s="22"/>
      <c r="VTG146" s="22"/>
      <c r="VTH146" s="22"/>
      <c r="VTI146" s="22"/>
      <c r="VTJ146" s="22"/>
      <c r="VTK146" s="22"/>
      <c r="VTL146" s="22"/>
      <c r="VTM146" s="22"/>
      <c r="VTN146" s="22"/>
      <c r="VTO146" s="22"/>
      <c r="VTP146" s="22"/>
      <c r="VTQ146" s="22"/>
      <c r="VTR146" s="22"/>
      <c r="VTS146" s="22"/>
      <c r="VTT146" s="22"/>
      <c r="VTU146" s="22"/>
      <c r="VTV146" s="22"/>
      <c r="VTW146" s="22"/>
      <c r="VTX146" s="22"/>
      <c r="VTY146" s="22"/>
      <c r="VTZ146" s="22"/>
      <c r="VUA146" s="22"/>
      <c r="VUB146" s="22"/>
      <c r="VUC146" s="22"/>
      <c r="VUD146" s="22"/>
      <c r="VUE146" s="22"/>
      <c r="VUF146" s="22"/>
      <c r="VUG146" s="22"/>
      <c r="VUH146" s="22"/>
      <c r="VUI146" s="22"/>
      <c r="VUJ146" s="22"/>
      <c r="VUK146" s="22"/>
      <c r="VUL146" s="22"/>
      <c r="VUM146" s="22"/>
      <c r="VUN146" s="22"/>
      <c r="VUO146" s="22"/>
      <c r="VUP146" s="22"/>
      <c r="VUQ146" s="22"/>
      <c r="VUR146" s="22"/>
      <c r="VUS146" s="22"/>
      <c r="VUT146" s="22"/>
      <c r="VUU146" s="22"/>
      <c r="VUV146" s="22"/>
      <c r="VUW146" s="22"/>
      <c r="VUX146" s="22"/>
      <c r="VUY146" s="22"/>
      <c r="VUZ146" s="22"/>
      <c r="VVA146" s="22"/>
      <c r="VVB146" s="22"/>
      <c r="VVC146" s="22"/>
      <c r="VVD146" s="22"/>
      <c r="VVE146" s="22"/>
      <c r="VVF146" s="22"/>
      <c r="VVG146" s="22"/>
      <c r="VVH146" s="22"/>
      <c r="VVI146" s="22"/>
      <c r="VVJ146" s="22"/>
      <c r="VVK146" s="22"/>
      <c r="VVL146" s="22"/>
      <c r="VVM146" s="22"/>
      <c r="VVN146" s="22"/>
      <c r="VVO146" s="22"/>
      <c r="VVP146" s="22"/>
      <c r="VVQ146" s="22"/>
      <c r="VVR146" s="22"/>
      <c r="VVS146" s="22"/>
      <c r="VVT146" s="22"/>
      <c r="VVU146" s="22"/>
      <c r="VVV146" s="22"/>
      <c r="VVW146" s="22"/>
      <c r="VVX146" s="22"/>
      <c r="VVY146" s="22"/>
      <c r="VVZ146" s="22"/>
      <c r="VWA146" s="22"/>
      <c r="VWB146" s="22"/>
      <c r="VWC146" s="22"/>
      <c r="VWD146" s="22"/>
      <c r="VWE146" s="22"/>
      <c r="VWF146" s="22"/>
      <c r="VWG146" s="22"/>
      <c r="VWH146" s="22"/>
      <c r="VWI146" s="22"/>
      <c r="VWJ146" s="22"/>
      <c r="VWK146" s="22"/>
      <c r="VWL146" s="22"/>
      <c r="VWM146" s="22"/>
      <c r="VWN146" s="22"/>
      <c r="VWO146" s="22"/>
      <c r="VWP146" s="22"/>
      <c r="VWQ146" s="22"/>
      <c r="VWR146" s="22"/>
      <c r="VWS146" s="22"/>
      <c r="VWT146" s="22"/>
      <c r="VWU146" s="22"/>
      <c r="VWV146" s="22"/>
      <c r="VWW146" s="22"/>
      <c r="VWX146" s="22"/>
      <c r="VWY146" s="22"/>
      <c r="VWZ146" s="22"/>
      <c r="VXA146" s="22"/>
      <c r="VXB146" s="22"/>
      <c r="VXC146" s="22"/>
      <c r="VXD146" s="22"/>
      <c r="VXE146" s="22"/>
      <c r="VXF146" s="22"/>
      <c r="VXG146" s="22"/>
      <c r="VXH146" s="22"/>
      <c r="VXI146" s="22"/>
      <c r="VXJ146" s="22"/>
      <c r="VXK146" s="22"/>
      <c r="VXL146" s="22"/>
      <c r="VXM146" s="22"/>
      <c r="VXN146" s="22"/>
      <c r="VXO146" s="22"/>
      <c r="VXP146" s="22"/>
      <c r="VXQ146" s="22"/>
      <c r="VXR146" s="22"/>
      <c r="VXS146" s="22"/>
      <c r="VXT146" s="22"/>
      <c r="VXU146" s="22"/>
      <c r="VXV146" s="22"/>
      <c r="VXW146" s="22"/>
      <c r="VXX146" s="22"/>
      <c r="VXY146" s="22"/>
      <c r="VXZ146" s="22"/>
      <c r="VYA146" s="22"/>
      <c r="VYB146" s="22"/>
      <c r="VYC146" s="22"/>
      <c r="VYD146" s="22"/>
      <c r="VYE146" s="22"/>
      <c r="VYF146" s="22"/>
      <c r="VYG146" s="22"/>
      <c r="VYH146" s="22"/>
      <c r="VYI146" s="22"/>
      <c r="VYJ146" s="22"/>
      <c r="VYK146" s="22"/>
      <c r="VYL146" s="22"/>
      <c r="VYM146" s="22"/>
      <c r="VYN146" s="22"/>
      <c r="VYO146" s="22"/>
      <c r="VYP146" s="22"/>
      <c r="VYQ146" s="22"/>
      <c r="VYR146" s="22"/>
      <c r="VYS146" s="22"/>
      <c r="VYT146" s="22"/>
      <c r="VYU146" s="22"/>
      <c r="VYV146" s="22"/>
      <c r="VYW146" s="22"/>
      <c r="VYX146" s="22"/>
      <c r="VYY146" s="22"/>
      <c r="VYZ146" s="22"/>
      <c r="VZA146" s="22"/>
      <c r="VZB146" s="22"/>
      <c r="VZC146" s="22"/>
      <c r="VZD146" s="22"/>
      <c r="VZE146" s="22"/>
      <c r="VZF146" s="22"/>
      <c r="VZG146" s="22"/>
      <c r="VZH146" s="22"/>
      <c r="VZI146" s="22"/>
      <c r="VZJ146" s="22"/>
      <c r="VZK146" s="22"/>
      <c r="VZL146" s="22"/>
      <c r="VZM146" s="22"/>
      <c r="VZN146" s="22"/>
      <c r="VZO146" s="22"/>
      <c r="VZP146" s="22"/>
      <c r="VZQ146" s="22"/>
      <c r="VZR146" s="22"/>
      <c r="VZS146" s="22"/>
      <c r="VZT146" s="22"/>
      <c r="VZU146" s="22"/>
      <c r="VZV146" s="22"/>
      <c r="VZW146" s="22"/>
      <c r="VZX146" s="22"/>
      <c r="VZY146" s="22"/>
      <c r="VZZ146" s="22"/>
      <c r="WAA146" s="22"/>
      <c r="WAB146" s="22"/>
      <c r="WAC146" s="22"/>
      <c r="WAD146" s="22"/>
      <c r="WAE146" s="22"/>
      <c r="WAF146" s="22"/>
      <c r="WAG146" s="22"/>
      <c r="WAH146" s="22"/>
      <c r="WAI146" s="22"/>
      <c r="WAJ146" s="22"/>
      <c r="WAK146" s="22"/>
      <c r="WAL146" s="22"/>
      <c r="WAM146" s="22"/>
      <c r="WAN146" s="22"/>
      <c r="WAO146" s="22"/>
      <c r="WAP146" s="22"/>
      <c r="WAQ146" s="22"/>
      <c r="WAR146" s="22"/>
      <c r="WAS146" s="22"/>
      <c r="WAT146" s="22"/>
      <c r="WAU146" s="22"/>
      <c r="WAV146" s="22"/>
      <c r="WAW146" s="22"/>
      <c r="WAX146" s="22"/>
      <c r="WAY146" s="22"/>
      <c r="WAZ146" s="22"/>
      <c r="WBA146" s="22"/>
      <c r="WBB146" s="22"/>
      <c r="WBC146" s="22"/>
      <c r="WBD146" s="22"/>
      <c r="WBE146" s="22"/>
      <c r="WBF146" s="22"/>
      <c r="WBG146" s="22"/>
      <c r="WBH146" s="22"/>
      <c r="WBI146" s="22"/>
      <c r="WBJ146" s="22"/>
      <c r="WBK146" s="22"/>
      <c r="WBL146" s="22"/>
      <c r="WBM146" s="22"/>
      <c r="WBN146" s="22"/>
      <c r="WBO146" s="22"/>
      <c r="WBP146" s="22"/>
      <c r="WBQ146" s="22"/>
      <c r="WBR146" s="22"/>
      <c r="WBS146" s="22"/>
      <c r="WBT146" s="22"/>
      <c r="WBU146" s="22"/>
      <c r="WBV146" s="22"/>
      <c r="WBW146" s="22"/>
      <c r="WBX146" s="22"/>
      <c r="WBY146" s="22"/>
      <c r="WBZ146" s="22"/>
      <c r="WCA146" s="22"/>
      <c r="WCB146" s="22"/>
      <c r="WCC146" s="22"/>
      <c r="WCD146" s="22"/>
      <c r="WCE146" s="22"/>
      <c r="WCF146" s="22"/>
      <c r="WCG146" s="22"/>
      <c r="WCH146" s="22"/>
      <c r="WCI146" s="22"/>
      <c r="WCJ146" s="22"/>
      <c r="WCK146" s="22"/>
      <c r="WCL146" s="22"/>
      <c r="WCM146" s="22"/>
      <c r="WCN146" s="22"/>
      <c r="WCO146" s="22"/>
      <c r="WCP146" s="22"/>
      <c r="WCQ146" s="22"/>
      <c r="WCR146" s="22"/>
      <c r="WCS146" s="22"/>
      <c r="WCT146" s="22"/>
      <c r="WCU146" s="22"/>
      <c r="WCV146" s="22"/>
      <c r="WCW146" s="22"/>
      <c r="WCX146" s="22"/>
      <c r="WCY146" s="22"/>
      <c r="WCZ146" s="22"/>
      <c r="WDA146" s="22"/>
      <c r="WDB146" s="22"/>
      <c r="WDC146" s="22"/>
      <c r="WDD146" s="22"/>
      <c r="WDE146" s="22"/>
      <c r="WDF146" s="22"/>
      <c r="WDG146" s="22"/>
      <c r="WDH146" s="22"/>
      <c r="WDI146" s="22"/>
      <c r="WDJ146" s="22"/>
      <c r="WDK146" s="22"/>
      <c r="WDL146" s="22"/>
      <c r="WDM146" s="22"/>
      <c r="WDN146" s="22"/>
      <c r="WDO146" s="22"/>
      <c r="WDP146" s="22"/>
      <c r="WDQ146" s="22"/>
      <c r="WDR146" s="22"/>
      <c r="WDS146" s="22"/>
      <c r="WDT146" s="22"/>
      <c r="WDU146" s="22"/>
      <c r="WDV146" s="22"/>
      <c r="WDW146" s="22"/>
      <c r="WDX146" s="22"/>
      <c r="WDY146" s="22"/>
      <c r="WDZ146" s="22"/>
      <c r="WEA146" s="22"/>
      <c r="WEB146" s="22"/>
      <c r="WEC146" s="22"/>
      <c r="WED146" s="22"/>
      <c r="WEE146" s="22"/>
      <c r="WEF146" s="22"/>
      <c r="WEG146" s="22"/>
      <c r="WEH146" s="22"/>
      <c r="WEI146" s="22"/>
      <c r="WEJ146" s="22"/>
      <c r="WEK146" s="22"/>
      <c r="WEL146" s="22"/>
      <c r="WEM146" s="22"/>
      <c r="WEN146" s="22"/>
      <c r="WEO146" s="22"/>
      <c r="WEP146" s="22"/>
      <c r="WEQ146" s="22"/>
      <c r="WER146" s="22"/>
      <c r="WES146" s="22"/>
      <c r="WET146" s="22"/>
      <c r="WEU146" s="22"/>
      <c r="WEV146" s="22"/>
      <c r="WEW146" s="22"/>
      <c r="WEX146" s="22"/>
      <c r="WEY146" s="22"/>
      <c r="WEZ146" s="22"/>
      <c r="WFA146" s="22"/>
      <c r="WFB146" s="22"/>
      <c r="WFC146" s="22"/>
      <c r="WFD146" s="22"/>
      <c r="WFE146" s="22"/>
      <c r="WFF146" s="22"/>
      <c r="WFG146" s="22"/>
      <c r="WFH146" s="22"/>
      <c r="WFI146" s="22"/>
      <c r="WFJ146" s="22"/>
      <c r="WFK146" s="22"/>
      <c r="WFL146" s="22"/>
      <c r="WFM146" s="22"/>
      <c r="WFN146" s="22"/>
      <c r="WFO146" s="22"/>
      <c r="WFP146" s="22"/>
      <c r="WFQ146" s="22"/>
      <c r="WFR146" s="22"/>
      <c r="WFS146" s="22"/>
      <c r="WFT146" s="22"/>
      <c r="WFU146" s="22"/>
      <c r="WFV146" s="22"/>
      <c r="WFW146" s="22"/>
      <c r="WFX146" s="22"/>
      <c r="WFY146" s="22"/>
      <c r="WFZ146" s="22"/>
      <c r="WGA146" s="22"/>
      <c r="WGB146" s="22"/>
      <c r="WGC146" s="22"/>
      <c r="WGD146" s="22"/>
      <c r="WGE146" s="22"/>
      <c r="WGF146" s="22"/>
      <c r="WGG146" s="22"/>
      <c r="WGH146" s="22"/>
      <c r="WGI146" s="22"/>
      <c r="WGJ146" s="22"/>
      <c r="WGK146" s="22"/>
      <c r="WGL146" s="22"/>
      <c r="WGM146" s="22"/>
      <c r="WGN146" s="22"/>
      <c r="WGO146" s="22"/>
      <c r="WGP146" s="22"/>
      <c r="WGQ146" s="22"/>
      <c r="WGR146" s="22"/>
      <c r="WGS146" s="22"/>
      <c r="WGT146" s="22"/>
      <c r="WGU146" s="22"/>
      <c r="WGV146" s="22"/>
      <c r="WGW146" s="22"/>
      <c r="WGX146" s="22"/>
      <c r="WGY146" s="22"/>
      <c r="WGZ146" s="22"/>
      <c r="WHA146" s="22"/>
      <c r="WHB146" s="22"/>
      <c r="WHC146" s="22"/>
      <c r="WHD146" s="22"/>
      <c r="WHE146" s="22"/>
      <c r="WHF146" s="22"/>
      <c r="WHG146" s="22"/>
      <c r="WHH146" s="22"/>
      <c r="WHI146" s="22"/>
      <c r="WHJ146" s="22"/>
      <c r="WHK146" s="22"/>
      <c r="WHL146" s="22"/>
      <c r="WHM146" s="22"/>
      <c r="WHN146" s="22"/>
      <c r="WHO146" s="22"/>
      <c r="WHP146" s="22"/>
      <c r="WHQ146" s="22"/>
      <c r="WHR146" s="22"/>
      <c r="WHS146" s="22"/>
      <c r="WHT146" s="22"/>
      <c r="WHU146" s="22"/>
      <c r="WHV146" s="22"/>
      <c r="WHW146" s="22"/>
      <c r="WHX146" s="22"/>
      <c r="WHY146" s="22"/>
      <c r="WHZ146" s="22"/>
      <c r="WIA146" s="22"/>
      <c r="WIB146" s="22"/>
      <c r="WIC146" s="22"/>
      <c r="WID146" s="22"/>
      <c r="WIE146" s="22"/>
      <c r="WIF146" s="22"/>
      <c r="WIG146" s="22"/>
      <c r="WIH146" s="22"/>
      <c r="WII146" s="22"/>
      <c r="WIJ146" s="22"/>
      <c r="WIK146" s="22"/>
      <c r="WIL146" s="22"/>
      <c r="WIM146" s="22"/>
      <c r="WIN146" s="22"/>
      <c r="WIO146" s="22"/>
      <c r="WIP146" s="22"/>
      <c r="WIQ146" s="22"/>
      <c r="WIR146" s="22"/>
      <c r="WIS146" s="22"/>
      <c r="WIT146" s="22"/>
      <c r="WIU146" s="22"/>
      <c r="WIV146" s="22"/>
      <c r="WIW146" s="22"/>
      <c r="WIX146" s="22"/>
      <c r="WIY146" s="22"/>
      <c r="WIZ146" s="22"/>
      <c r="WJA146" s="22"/>
      <c r="WJB146" s="22"/>
      <c r="WJC146" s="22"/>
      <c r="WJD146" s="22"/>
      <c r="WJE146" s="22"/>
      <c r="WJF146" s="22"/>
      <c r="WJG146" s="22"/>
      <c r="WJH146" s="22"/>
      <c r="WJI146" s="22"/>
      <c r="WJJ146" s="22"/>
      <c r="WJK146" s="22"/>
      <c r="WJL146" s="22"/>
      <c r="WJM146" s="22"/>
      <c r="WJN146" s="22"/>
      <c r="WJO146" s="22"/>
      <c r="WJP146" s="22"/>
      <c r="WJQ146" s="22"/>
      <c r="WJR146" s="22"/>
      <c r="WJS146" s="22"/>
      <c r="WJT146" s="22"/>
      <c r="WJU146" s="22"/>
      <c r="WJV146" s="22"/>
      <c r="WJW146" s="22"/>
      <c r="WJX146" s="22"/>
      <c r="WJY146" s="22"/>
      <c r="WJZ146" s="22"/>
      <c r="WKA146" s="22"/>
      <c r="WKB146" s="22"/>
      <c r="WKC146" s="22"/>
      <c r="WKD146" s="22"/>
      <c r="WKE146" s="22"/>
      <c r="WKF146" s="22"/>
      <c r="WKG146" s="22"/>
      <c r="WKH146" s="22"/>
      <c r="WKI146" s="22"/>
      <c r="WKJ146" s="22"/>
      <c r="WKK146" s="22"/>
      <c r="WKL146" s="22"/>
      <c r="WKM146" s="22"/>
      <c r="WKN146" s="22"/>
      <c r="WKO146" s="22"/>
      <c r="WKP146" s="22"/>
      <c r="WKQ146" s="22"/>
      <c r="WKR146" s="22"/>
      <c r="WKS146" s="22"/>
      <c r="WKT146" s="22"/>
      <c r="WKU146" s="22"/>
      <c r="WKV146" s="22"/>
      <c r="WKW146" s="22"/>
      <c r="WKX146" s="22"/>
      <c r="WKY146" s="22"/>
      <c r="WKZ146" s="22"/>
      <c r="WLA146" s="22"/>
      <c r="WLB146" s="22"/>
      <c r="WLC146" s="22"/>
      <c r="WLD146" s="22"/>
      <c r="WLE146" s="22"/>
      <c r="WLF146" s="22"/>
      <c r="WLG146" s="22"/>
      <c r="WLH146" s="22"/>
      <c r="WLI146" s="22"/>
      <c r="WLJ146" s="22"/>
      <c r="WLK146" s="22"/>
      <c r="WLL146" s="22"/>
      <c r="WLM146" s="22"/>
      <c r="WLN146" s="22"/>
      <c r="WLO146" s="22"/>
      <c r="WLP146" s="22"/>
      <c r="WLQ146" s="22"/>
      <c r="WLR146" s="22"/>
      <c r="WLS146" s="22"/>
      <c r="WLT146" s="22"/>
      <c r="WLU146" s="22"/>
      <c r="WLV146" s="22"/>
      <c r="WLW146" s="22"/>
      <c r="WLX146" s="22"/>
      <c r="WLY146" s="22"/>
      <c r="WLZ146" s="22"/>
      <c r="WMA146" s="22"/>
      <c r="WMB146" s="22"/>
      <c r="WMC146" s="22"/>
      <c r="WMD146" s="22"/>
      <c r="WME146" s="22"/>
      <c r="WMF146" s="22"/>
      <c r="WMG146" s="22"/>
      <c r="WMH146" s="22"/>
      <c r="WMI146" s="22"/>
      <c r="WMJ146" s="22"/>
      <c r="WMK146" s="22"/>
      <c r="WML146" s="22"/>
      <c r="WMM146" s="22"/>
      <c r="WMN146" s="22"/>
      <c r="WMO146" s="22"/>
      <c r="WMP146" s="22"/>
      <c r="WMQ146" s="22"/>
      <c r="WMR146" s="22"/>
      <c r="WMS146" s="22"/>
      <c r="WMT146" s="22"/>
      <c r="WMU146" s="22"/>
      <c r="WMV146" s="22"/>
      <c r="WMW146" s="22"/>
      <c r="WMX146" s="22"/>
      <c r="WMY146" s="22"/>
      <c r="WMZ146" s="22"/>
      <c r="WNA146" s="22"/>
      <c r="WNB146" s="22"/>
      <c r="WNC146" s="22"/>
      <c r="WND146" s="22"/>
      <c r="WNE146" s="22"/>
      <c r="WNF146" s="22"/>
      <c r="WNG146" s="22"/>
      <c r="WNH146" s="22"/>
      <c r="WNI146" s="22"/>
      <c r="WNJ146" s="22"/>
      <c r="WNK146" s="22"/>
      <c r="WNL146" s="22"/>
      <c r="WNM146" s="22"/>
      <c r="WNN146" s="22"/>
      <c r="WNO146" s="22"/>
      <c r="WNP146" s="22"/>
      <c r="WNQ146" s="22"/>
      <c r="WNR146" s="22"/>
      <c r="WNS146" s="22"/>
      <c r="WNT146" s="22"/>
      <c r="WNU146" s="22"/>
      <c r="WNV146" s="22"/>
      <c r="WNW146" s="22"/>
      <c r="WNX146" s="22"/>
      <c r="WNY146" s="22"/>
      <c r="WNZ146" s="22"/>
      <c r="WOA146" s="22"/>
      <c r="WOB146" s="22"/>
      <c r="WOC146" s="22"/>
      <c r="WOD146" s="22"/>
      <c r="WOE146" s="22"/>
      <c r="WOF146" s="22"/>
      <c r="WOG146" s="22"/>
      <c r="WOH146" s="22"/>
      <c r="WOI146" s="22"/>
      <c r="WOJ146" s="22"/>
      <c r="WOK146" s="22"/>
      <c r="WOL146" s="22"/>
      <c r="WOM146" s="22"/>
      <c r="WON146" s="22"/>
      <c r="WOO146" s="22"/>
      <c r="WOP146" s="22"/>
      <c r="WOQ146" s="22"/>
      <c r="WOR146" s="22"/>
      <c r="WOS146" s="22"/>
      <c r="WOT146" s="22"/>
      <c r="WOU146" s="22"/>
      <c r="WOV146" s="22"/>
      <c r="WOW146" s="22"/>
      <c r="WOX146" s="22"/>
      <c r="WOY146" s="22"/>
      <c r="WOZ146" s="22"/>
      <c r="WPA146" s="22"/>
      <c r="WPB146" s="22"/>
      <c r="WPC146" s="22"/>
      <c r="WPD146" s="22"/>
      <c r="WPE146" s="22"/>
      <c r="WPF146" s="22"/>
      <c r="WPG146" s="22"/>
      <c r="WPH146" s="22"/>
      <c r="WPI146" s="22"/>
      <c r="WPJ146" s="22"/>
      <c r="WPK146" s="22"/>
      <c r="WPL146" s="22"/>
      <c r="WPM146" s="22"/>
      <c r="WPN146" s="22"/>
      <c r="WPO146" s="22"/>
      <c r="WPP146" s="22"/>
      <c r="WPQ146" s="22"/>
      <c r="WPR146" s="22"/>
      <c r="WPS146" s="22"/>
      <c r="WPT146" s="22"/>
      <c r="WPU146" s="22"/>
      <c r="WPV146" s="22"/>
      <c r="WPW146" s="22"/>
      <c r="WPX146" s="22"/>
      <c r="WPY146" s="22"/>
      <c r="WPZ146" s="22"/>
      <c r="WQA146" s="22"/>
      <c r="WQB146" s="22"/>
      <c r="WQC146" s="22"/>
      <c r="WQD146" s="22"/>
      <c r="WQE146" s="22"/>
      <c r="WQF146" s="22"/>
      <c r="WQG146" s="22"/>
      <c r="WQH146" s="22"/>
      <c r="WQI146" s="22"/>
      <c r="WQJ146" s="22"/>
      <c r="WQK146" s="22"/>
      <c r="WQL146" s="22"/>
      <c r="WQM146" s="22"/>
      <c r="WQN146" s="22"/>
      <c r="WQO146" s="22"/>
      <c r="WQP146" s="22"/>
      <c r="WQQ146" s="22"/>
      <c r="WQR146" s="22"/>
      <c r="WQS146" s="22"/>
      <c r="WQT146" s="22"/>
      <c r="WQU146" s="22"/>
      <c r="WQV146" s="22"/>
      <c r="WQW146" s="22"/>
      <c r="WQX146" s="22"/>
      <c r="WQY146" s="22"/>
      <c r="WQZ146" s="22"/>
      <c r="WRA146" s="22"/>
      <c r="WRB146" s="22"/>
      <c r="WRC146" s="22"/>
      <c r="WRD146" s="22"/>
      <c r="WRE146" s="22"/>
      <c r="WRF146" s="22"/>
      <c r="WRG146" s="22"/>
      <c r="WRH146" s="22"/>
      <c r="WRI146" s="22"/>
      <c r="WRJ146" s="22"/>
      <c r="WRK146" s="22"/>
      <c r="WRL146" s="22"/>
      <c r="WRM146" s="22"/>
      <c r="WRN146" s="22"/>
      <c r="WRO146" s="22"/>
      <c r="WRP146" s="22"/>
      <c r="WRQ146" s="22"/>
      <c r="WRR146" s="22"/>
      <c r="WRS146" s="22"/>
      <c r="WRT146" s="22"/>
      <c r="WRU146" s="22"/>
      <c r="WRV146" s="22"/>
      <c r="WRW146" s="22"/>
      <c r="WRX146" s="22"/>
      <c r="WRY146" s="22"/>
      <c r="WRZ146" s="22"/>
      <c r="WSA146" s="22"/>
      <c r="WSB146" s="22"/>
      <c r="WSC146" s="22"/>
      <c r="WSD146" s="22"/>
      <c r="WSE146" s="22"/>
      <c r="WSF146" s="22"/>
      <c r="WSG146" s="22"/>
      <c r="WSH146" s="22"/>
      <c r="WSI146" s="22"/>
      <c r="WSJ146" s="22"/>
      <c r="WSK146" s="22"/>
      <c r="WSL146" s="22"/>
      <c r="WSM146" s="22"/>
      <c r="WSN146" s="22"/>
      <c r="WSO146" s="22"/>
      <c r="WSP146" s="22"/>
      <c r="WSQ146" s="22"/>
      <c r="WSR146" s="22"/>
      <c r="WSS146" s="22"/>
      <c r="WST146" s="22"/>
      <c r="WSU146" s="22"/>
      <c r="WSV146" s="22"/>
      <c r="WSW146" s="22"/>
      <c r="WSX146" s="22"/>
      <c r="WSY146" s="22"/>
      <c r="WSZ146" s="22"/>
      <c r="WTA146" s="22"/>
      <c r="WTB146" s="22"/>
      <c r="WTC146" s="22"/>
      <c r="WTD146" s="22"/>
      <c r="WTE146" s="22"/>
      <c r="WTF146" s="22"/>
      <c r="WTG146" s="22"/>
      <c r="WTH146" s="22"/>
      <c r="WTI146" s="22"/>
      <c r="WTJ146" s="22"/>
      <c r="WTK146" s="22"/>
      <c r="WTL146" s="22"/>
      <c r="WTM146" s="22"/>
      <c r="WTN146" s="22"/>
      <c r="WTO146" s="22"/>
      <c r="WTP146" s="22"/>
      <c r="WTQ146" s="22"/>
      <c r="WTR146" s="22"/>
      <c r="WTS146" s="22"/>
      <c r="WTT146" s="22"/>
      <c r="WTU146" s="22"/>
      <c r="WTV146" s="22"/>
      <c r="WTW146" s="22"/>
      <c r="WTX146" s="22"/>
      <c r="WTY146" s="22"/>
      <c r="WTZ146" s="22"/>
      <c r="WUA146" s="22"/>
      <c r="WUB146" s="22"/>
      <c r="WUC146" s="22"/>
      <c r="WUD146" s="22"/>
      <c r="WUE146" s="22"/>
      <c r="WUF146" s="22"/>
      <c r="WUG146" s="22"/>
      <c r="WUH146" s="22"/>
      <c r="WUI146" s="22"/>
      <c r="WUJ146" s="22"/>
      <c r="WUK146" s="22"/>
      <c r="WUL146" s="22"/>
      <c r="WUM146" s="22"/>
      <c r="WUN146" s="22"/>
      <c r="WUO146" s="22"/>
      <c r="WUP146" s="22"/>
      <c r="WUQ146" s="22"/>
      <c r="WUR146" s="22"/>
      <c r="WUS146" s="22"/>
      <c r="WUT146" s="22"/>
      <c r="WUU146" s="22"/>
      <c r="WUV146" s="22"/>
      <c r="WUW146" s="22"/>
      <c r="WUX146" s="22"/>
      <c r="WUY146" s="22"/>
      <c r="WUZ146" s="22"/>
      <c r="WVA146" s="22"/>
      <c r="WVB146" s="22"/>
      <c r="WVC146" s="22"/>
      <c r="WVD146" s="22"/>
      <c r="WVE146" s="22"/>
      <c r="WVF146" s="22"/>
      <c r="WVG146" s="22"/>
      <c r="WVH146" s="22"/>
      <c r="WVI146" s="22"/>
      <c r="WVJ146" s="22"/>
      <c r="WVK146" s="22"/>
      <c r="WVL146" s="22"/>
      <c r="WVM146" s="22"/>
      <c r="WVN146" s="22"/>
      <c r="WVO146" s="22"/>
      <c r="WVP146" s="22"/>
      <c r="WVQ146" s="22"/>
      <c r="WVR146" s="22"/>
      <c r="WVS146" s="22"/>
      <c r="WVT146" s="22"/>
      <c r="WVU146" s="22"/>
      <c r="WVV146" s="22"/>
      <c r="WVW146" s="22"/>
      <c r="WVX146" s="22"/>
      <c r="WVY146" s="22"/>
      <c r="WVZ146" s="22"/>
      <c r="WWA146" s="22"/>
      <c r="WWB146" s="22"/>
      <c r="WWC146" s="22"/>
      <c r="WWD146" s="22"/>
      <c r="WWE146" s="22"/>
      <c r="WWF146" s="22"/>
      <c r="WWG146" s="22"/>
      <c r="WWH146" s="22"/>
      <c r="WWI146" s="22"/>
      <c r="WWJ146" s="22"/>
      <c r="WWK146" s="22"/>
      <c r="WWL146" s="22"/>
      <c r="WWM146" s="22"/>
      <c r="WWN146" s="22"/>
      <c r="WWO146" s="22"/>
      <c r="WWP146" s="22"/>
      <c r="WWQ146" s="22"/>
      <c r="WWR146" s="22"/>
      <c r="WWS146" s="22"/>
      <c r="WWT146" s="22"/>
      <c r="WWU146" s="22"/>
      <c r="WWV146" s="22"/>
      <c r="WWW146" s="22"/>
      <c r="WWX146" s="22"/>
      <c r="WWY146" s="22"/>
      <c r="WWZ146" s="22"/>
      <c r="WXA146" s="22"/>
      <c r="WXB146" s="22"/>
      <c r="WXC146" s="22"/>
      <c r="WXD146" s="22"/>
      <c r="WXE146" s="22"/>
      <c r="WXF146" s="22"/>
      <c r="WXG146" s="22"/>
      <c r="WXH146" s="22"/>
      <c r="WXI146" s="22"/>
      <c r="WXJ146" s="22"/>
      <c r="WXK146" s="22"/>
      <c r="WXL146" s="22"/>
      <c r="WXM146" s="22"/>
      <c r="WXN146" s="22"/>
      <c r="WXO146" s="22"/>
      <c r="WXP146" s="22"/>
      <c r="WXQ146" s="22"/>
      <c r="WXR146" s="22"/>
      <c r="WXS146" s="22"/>
      <c r="WXT146" s="22"/>
      <c r="WXU146" s="22"/>
      <c r="WXV146" s="22"/>
      <c r="WXW146" s="22"/>
      <c r="WXX146" s="22"/>
      <c r="WXY146" s="22"/>
      <c r="WXZ146" s="22"/>
      <c r="WYA146" s="22"/>
      <c r="WYB146" s="22"/>
      <c r="WYC146" s="22"/>
      <c r="WYD146" s="22"/>
      <c r="WYE146" s="22"/>
      <c r="WYF146" s="22"/>
      <c r="WYG146" s="22"/>
      <c r="WYH146" s="22"/>
      <c r="WYI146" s="22"/>
      <c r="WYJ146" s="22"/>
      <c r="WYK146" s="22"/>
      <c r="WYL146" s="22"/>
      <c r="WYM146" s="22"/>
      <c r="WYN146" s="22"/>
      <c r="WYO146" s="22"/>
      <c r="WYP146" s="22"/>
      <c r="WYQ146" s="22"/>
      <c r="WYR146" s="22"/>
      <c r="WYS146" s="22"/>
      <c r="WYT146" s="22"/>
      <c r="WYU146" s="22"/>
      <c r="WYV146" s="22"/>
      <c r="WYW146" s="22"/>
      <c r="WYX146" s="22"/>
      <c r="WYY146" s="22"/>
      <c r="WYZ146" s="22"/>
      <c r="WZA146" s="22"/>
      <c r="WZB146" s="22"/>
      <c r="WZC146" s="22"/>
      <c r="WZD146" s="22"/>
      <c r="WZE146" s="22"/>
      <c r="WZF146" s="22"/>
      <c r="WZG146" s="22"/>
      <c r="WZH146" s="22"/>
      <c r="WZI146" s="22"/>
      <c r="WZJ146" s="22"/>
      <c r="WZK146" s="22"/>
      <c r="WZL146" s="22"/>
      <c r="WZM146" s="22"/>
      <c r="WZN146" s="22"/>
      <c r="WZO146" s="22"/>
      <c r="WZP146" s="22"/>
      <c r="WZQ146" s="22"/>
      <c r="WZR146" s="22"/>
      <c r="WZS146" s="22"/>
      <c r="WZT146" s="22"/>
      <c r="WZU146" s="22"/>
      <c r="WZV146" s="22"/>
      <c r="WZW146" s="22"/>
      <c r="WZX146" s="22"/>
      <c r="WZY146" s="22"/>
      <c r="WZZ146" s="22"/>
      <c r="XAA146" s="22"/>
      <c r="XAB146" s="22"/>
      <c r="XAC146" s="22"/>
      <c r="XAD146" s="22"/>
      <c r="XAE146" s="22"/>
      <c r="XAF146" s="22"/>
      <c r="XAG146" s="22"/>
      <c r="XAH146" s="22"/>
      <c r="XAI146" s="22"/>
      <c r="XAJ146" s="22"/>
      <c r="XAK146" s="22"/>
      <c r="XAL146" s="22"/>
      <c r="XAM146" s="22"/>
      <c r="XAN146" s="22"/>
      <c r="XAO146" s="22"/>
      <c r="XAP146" s="22"/>
      <c r="XAQ146" s="22"/>
      <c r="XAR146" s="22"/>
      <c r="XAS146" s="22"/>
      <c r="XAT146" s="22"/>
      <c r="XAU146" s="22"/>
      <c r="XAV146" s="22"/>
      <c r="XAW146" s="22"/>
      <c r="XAX146" s="22"/>
      <c r="XAY146" s="22"/>
      <c r="XAZ146" s="22"/>
      <c r="XBA146" s="22"/>
      <c r="XBB146" s="22"/>
      <c r="XBC146" s="22"/>
      <c r="XBD146" s="22"/>
      <c r="XBE146" s="22"/>
      <c r="XBF146" s="22"/>
      <c r="XBG146" s="22"/>
      <c r="XBH146" s="22"/>
      <c r="XBI146" s="22"/>
      <c r="XBJ146" s="22"/>
      <c r="XBK146" s="22"/>
      <c r="XBL146" s="22"/>
      <c r="XBM146" s="22"/>
      <c r="XBN146" s="22"/>
      <c r="XBO146" s="22"/>
      <c r="XBP146" s="22"/>
      <c r="XBQ146" s="22"/>
      <c r="XBR146" s="22"/>
      <c r="XBS146" s="22"/>
      <c r="XBT146" s="22"/>
      <c r="XBU146" s="22"/>
      <c r="XBV146" s="22"/>
      <c r="XBW146" s="22"/>
      <c r="XBX146" s="22"/>
      <c r="XBY146" s="22"/>
      <c r="XBZ146" s="22"/>
      <c r="XCA146" s="22"/>
      <c r="XCB146" s="22"/>
      <c r="XCC146" s="22"/>
      <c r="XCD146" s="22"/>
      <c r="XCE146" s="22"/>
      <c r="XCF146" s="22"/>
      <c r="XCG146" s="22"/>
      <c r="XCH146" s="22"/>
      <c r="XCI146" s="22"/>
      <c r="XCJ146" s="22"/>
      <c r="XCK146" s="22"/>
      <c r="XCL146" s="22"/>
      <c r="XCM146" s="22"/>
      <c r="XCN146" s="22"/>
      <c r="XCO146" s="22"/>
      <c r="XCP146" s="22"/>
      <c r="XCQ146" s="22"/>
      <c r="XCR146" s="22"/>
      <c r="XCS146" s="22"/>
      <c r="XCT146" s="22"/>
      <c r="XCU146" s="22"/>
      <c r="XCV146" s="22"/>
      <c r="XCW146" s="22"/>
      <c r="XCX146" s="22"/>
      <c r="XCY146" s="22"/>
      <c r="XCZ146" s="22"/>
      <c r="XDA146" s="22"/>
      <c r="XDB146" s="22"/>
      <c r="XDC146" s="22"/>
      <c r="XDD146" s="22"/>
      <c r="XDE146" s="22"/>
      <c r="XDF146" s="22"/>
      <c r="XDG146" s="22"/>
      <c r="XDH146" s="22"/>
      <c r="XDI146" s="22"/>
      <c r="XDJ146" s="22"/>
      <c r="XDK146" s="22"/>
      <c r="XDL146" s="22"/>
      <c r="XDM146" s="22"/>
      <c r="XDN146" s="22"/>
      <c r="XDO146" s="22"/>
      <c r="XDP146" s="22"/>
      <c r="XDQ146" s="22"/>
      <c r="XDR146" s="22"/>
      <c r="XDS146" s="22"/>
      <c r="XDT146" s="22"/>
      <c r="XDU146" s="22"/>
      <c r="XDV146" s="22"/>
      <c r="XDW146" s="22"/>
      <c r="XDX146" s="22"/>
      <c r="XDY146" s="22"/>
      <c r="XDZ146" s="22"/>
      <c r="XEA146" s="22"/>
      <c r="XEB146" s="22"/>
      <c r="XEC146" s="22"/>
      <c r="XED146" s="22"/>
      <c r="XEE146" s="22"/>
      <c r="XEF146" s="22"/>
      <c r="XEG146" s="22"/>
      <c r="XEH146" s="22"/>
      <c r="XEI146" s="22"/>
      <c r="XEJ146" s="22"/>
      <c r="XEK146" s="22"/>
      <c r="XEL146" s="22"/>
      <c r="XEM146" s="22"/>
      <c r="XEN146" s="22"/>
      <c r="XEO146" s="22"/>
      <c r="XEP146" s="22"/>
      <c r="XEQ146" s="22"/>
      <c r="XER146" s="22"/>
      <c r="XES146" s="22"/>
      <c r="XET146" s="22"/>
      <c r="XEU146" s="22"/>
      <c r="XEV146" s="22"/>
      <c r="XEW146" s="22"/>
      <c r="XEX146" s="22"/>
      <c r="XEY146" s="22"/>
      <c r="XEZ146" s="22"/>
      <c r="XFA146" s="22"/>
      <c r="XFB146" s="22"/>
      <c r="XFC146" s="22"/>
      <c r="XFD146" s="22"/>
    </row>
    <row r="147" spans="1:16384" s="35" customFormat="1" hidden="1" outlineLevel="1" x14ac:dyDescent="0.25">
      <c r="A147" s="14"/>
      <c r="B147" s="15"/>
      <c r="C147" s="16" t="str">
        <f t="shared" si="191"/>
        <v xml:space="preserve"> </v>
      </c>
      <c r="D147" s="16" t="str">
        <f t="shared" si="192"/>
        <v xml:space="preserve"> </v>
      </c>
      <c r="E147" s="18"/>
      <c r="F147" s="18"/>
      <c r="G147" s="47">
        <f t="shared" si="193"/>
        <v>0</v>
      </c>
      <c r="H147" s="20">
        <f t="shared" si="194"/>
        <v>0</v>
      </c>
      <c r="I147" s="18"/>
      <c r="J147" s="21">
        <f t="shared" si="195"/>
        <v>0</v>
      </c>
    </row>
    <row r="148" spans="1:16384" s="22" customFormat="1" hidden="1" outlineLevel="1" x14ac:dyDescent="0.25">
      <c r="A148" s="14"/>
      <c r="B148" s="15"/>
      <c r="C148" s="16" t="str">
        <f>VLOOKUP(LEFT(B148,2)&amp;0,invCustomer,2)</f>
        <v xml:space="preserve"> </v>
      </c>
      <c r="D148" s="16" t="str">
        <f>VLOOKUP(LEFT(B148,4)&amp;0,invProject,2)</f>
        <v xml:space="preserve"> </v>
      </c>
      <c r="E148" s="18"/>
      <c r="F148" s="18"/>
      <c r="G148" s="47">
        <f>ROUND(SUM(E148:F148)*0.1,2)</f>
        <v>0</v>
      </c>
      <c r="H148" s="20">
        <f>SUM(E148:G148)</f>
        <v>0</v>
      </c>
      <c r="I148" s="18"/>
      <c r="J148" s="21">
        <f>SUM(H148:I148)</f>
        <v>0</v>
      </c>
      <c r="K148" s="318"/>
    </row>
    <row r="149" spans="1:16384" s="54" customFormat="1" hidden="1" outlineLevel="1" x14ac:dyDescent="0.25">
      <c r="A149" s="14"/>
      <c r="B149" s="15"/>
      <c r="C149" s="16" t="str">
        <f t="shared" ref="C149:C150" si="206">VLOOKUP(LEFT(B149,2)&amp;0,invCustomer,2)</f>
        <v xml:space="preserve"> </v>
      </c>
      <c r="D149" s="16" t="str">
        <f t="shared" ref="D149:D150" si="207">VLOOKUP(LEFT(B149,4)&amp;0,invProject,2)</f>
        <v xml:space="preserve"> </v>
      </c>
      <c r="E149" s="18"/>
      <c r="F149" s="18"/>
      <c r="G149" s="47">
        <f t="shared" ref="G149:G150" si="208">ROUND(SUM(E149:F149)*0.1,2)</f>
        <v>0</v>
      </c>
      <c r="H149" s="20">
        <f t="shared" ref="H149:H150" si="209">SUM(E149:G149)</f>
        <v>0</v>
      </c>
      <c r="I149" s="18"/>
      <c r="J149" s="21">
        <f t="shared" ref="J149:J150" si="210">SUM(H149:I149)</f>
        <v>0</v>
      </c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2"/>
      <c r="BO149" s="22"/>
      <c r="BP149" s="22"/>
      <c r="BQ149" s="22"/>
      <c r="BR149" s="22"/>
      <c r="BS149" s="22"/>
      <c r="BT149" s="22"/>
      <c r="BU149" s="22"/>
      <c r="BV149" s="22"/>
      <c r="BW149" s="22"/>
      <c r="BX149" s="22"/>
      <c r="BY149" s="22"/>
      <c r="BZ149" s="22"/>
      <c r="CA149" s="22"/>
      <c r="CB149" s="22"/>
      <c r="CC149" s="22"/>
      <c r="CD149" s="22"/>
      <c r="CE149" s="22"/>
      <c r="CF149" s="22"/>
      <c r="CG149" s="22"/>
      <c r="CH149" s="22"/>
      <c r="CI149" s="22"/>
      <c r="CJ149" s="22"/>
      <c r="CK149" s="22"/>
      <c r="CL149" s="22"/>
      <c r="CM149" s="22"/>
      <c r="CN149" s="22"/>
      <c r="CO149" s="22"/>
      <c r="CP149" s="22"/>
      <c r="CQ149" s="22"/>
      <c r="CR149" s="22"/>
      <c r="CS149" s="22"/>
      <c r="CT149" s="22"/>
      <c r="CU149" s="22"/>
      <c r="CV149" s="22"/>
      <c r="CW149" s="22"/>
      <c r="CX149" s="22"/>
      <c r="CY149" s="22"/>
      <c r="CZ149" s="22"/>
      <c r="DA149" s="22"/>
      <c r="DB149" s="22"/>
      <c r="DC149" s="22"/>
      <c r="DD149" s="22"/>
      <c r="DE149" s="22"/>
      <c r="DF149" s="22"/>
      <c r="DG149" s="22"/>
      <c r="DH149" s="22"/>
      <c r="DI149" s="22"/>
      <c r="DJ149" s="22"/>
      <c r="DK149" s="22"/>
      <c r="DL149" s="22"/>
      <c r="DM149" s="22"/>
      <c r="DN149" s="22"/>
      <c r="DO149" s="22"/>
      <c r="DP149" s="22"/>
      <c r="DQ149" s="22"/>
      <c r="DR149" s="22"/>
      <c r="DS149" s="22"/>
      <c r="DT149" s="22"/>
      <c r="DU149" s="22"/>
      <c r="DV149" s="22"/>
      <c r="DW149" s="22"/>
      <c r="DX149" s="22"/>
      <c r="DY149" s="22"/>
      <c r="DZ149" s="22"/>
      <c r="EA149" s="22"/>
      <c r="EB149" s="22"/>
      <c r="EC149" s="22"/>
      <c r="ED149" s="22"/>
      <c r="EE149" s="22"/>
      <c r="EF149" s="22"/>
      <c r="EG149" s="22"/>
      <c r="EH149" s="22"/>
      <c r="EI149" s="22"/>
      <c r="EJ149" s="22"/>
      <c r="EK149" s="22"/>
      <c r="EL149" s="22"/>
      <c r="EM149" s="22"/>
      <c r="EN149" s="22"/>
      <c r="EO149" s="22"/>
      <c r="EP149" s="22"/>
      <c r="EQ149" s="22"/>
      <c r="ER149" s="22"/>
      <c r="ES149" s="22"/>
      <c r="ET149" s="22"/>
      <c r="EU149" s="22"/>
      <c r="EV149" s="22"/>
      <c r="EW149" s="22"/>
      <c r="EX149" s="22"/>
      <c r="EY149" s="22"/>
      <c r="EZ149" s="22"/>
      <c r="FA149" s="22"/>
      <c r="FB149" s="22"/>
      <c r="FC149" s="22"/>
      <c r="FD149" s="22"/>
      <c r="FE149" s="22"/>
      <c r="FF149" s="22"/>
      <c r="FG149" s="22"/>
      <c r="FH149" s="22"/>
      <c r="FI149" s="22"/>
      <c r="FJ149" s="22"/>
      <c r="FK149" s="22"/>
      <c r="FL149" s="22"/>
      <c r="FM149" s="22"/>
      <c r="FN149" s="22"/>
      <c r="FO149" s="22"/>
      <c r="FP149" s="22"/>
      <c r="FQ149" s="22"/>
      <c r="FR149" s="22"/>
      <c r="FS149" s="22"/>
      <c r="FT149" s="22"/>
      <c r="FU149" s="22"/>
      <c r="FV149" s="22"/>
      <c r="FW149" s="22"/>
      <c r="FX149" s="22"/>
      <c r="FY149" s="22"/>
      <c r="FZ149" s="22"/>
      <c r="GA149" s="22"/>
      <c r="GB149" s="22"/>
      <c r="GC149" s="22"/>
      <c r="GD149" s="22"/>
      <c r="GE149" s="22"/>
      <c r="GF149" s="22"/>
      <c r="GG149" s="22"/>
      <c r="GH149" s="22"/>
      <c r="GI149" s="22"/>
      <c r="GJ149" s="22"/>
      <c r="GK149" s="22"/>
      <c r="GL149" s="22"/>
      <c r="GM149" s="22"/>
      <c r="GN149" s="22"/>
      <c r="GO149" s="22"/>
      <c r="GP149" s="22"/>
      <c r="GQ149" s="22"/>
      <c r="GR149" s="22"/>
      <c r="GS149" s="22"/>
      <c r="GT149" s="22"/>
      <c r="GU149" s="22"/>
      <c r="GV149" s="22"/>
      <c r="GW149" s="22"/>
      <c r="GX149" s="22"/>
      <c r="GY149" s="22"/>
      <c r="GZ149" s="22"/>
      <c r="HA149" s="22"/>
      <c r="HB149" s="22"/>
      <c r="HC149" s="22"/>
      <c r="HD149" s="22"/>
      <c r="HE149" s="22"/>
      <c r="HF149" s="22"/>
      <c r="HG149" s="22"/>
      <c r="HH149" s="22"/>
      <c r="HI149" s="22"/>
      <c r="HJ149" s="22"/>
      <c r="HK149" s="22"/>
      <c r="HL149" s="22"/>
      <c r="HM149" s="22"/>
      <c r="HN149" s="22"/>
      <c r="HO149" s="22"/>
      <c r="HP149" s="22"/>
      <c r="HQ149" s="22"/>
      <c r="HR149" s="22"/>
      <c r="HS149" s="22"/>
      <c r="HT149" s="22"/>
      <c r="HU149" s="22"/>
      <c r="HV149" s="22"/>
      <c r="HW149" s="22"/>
      <c r="HX149" s="22"/>
      <c r="HY149" s="22"/>
      <c r="HZ149" s="22"/>
      <c r="IA149" s="22"/>
      <c r="IB149" s="22"/>
      <c r="IC149" s="22"/>
      <c r="ID149" s="22"/>
      <c r="IE149" s="22"/>
      <c r="IF149" s="22"/>
      <c r="IG149" s="22"/>
      <c r="IH149" s="22"/>
      <c r="II149" s="22"/>
      <c r="IJ149" s="22"/>
      <c r="IK149" s="22"/>
      <c r="IL149" s="22"/>
      <c r="IM149" s="22"/>
      <c r="IN149" s="22"/>
      <c r="IO149" s="22"/>
      <c r="IP149" s="22"/>
      <c r="IQ149" s="22"/>
      <c r="IR149" s="22"/>
      <c r="IS149" s="22"/>
      <c r="IT149" s="22"/>
      <c r="IU149" s="22"/>
      <c r="IV149" s="22"/>
      <c r="IW149" s="22"/>
      <c r="IX149" s="22"/>
      <c r="IY149" s="22"/>
      <c r="IZ149" s="22"/>
      <c r="JA149" s="22"/>
      <c r="JB149" s="22"/>
      <c r="JC149" s="22"/>
      <c r="JD149" s="22"/>
      <c r="JE149" s="22"/>
      <c r="JF149" s="22"/>
      <c r="JG149" s="22"/>
      <c r="JH149" s="22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2"/>
      <c r="LK149" s="22"/>
      <c r="LL149" s="22"/>
      <c r="LM149" s="22"/>
      <c r="LN149" s="22"/>
      <c r="LO149" s="22"/>
      <c r="LP149" s="22"/>
      <c r="LQ149" s="22"/>
      <c r="LR149" s="22"/>
      <c r="LS149" s="22"/>
      <c r="LT149" s="22"/>
      <c r="LU149" s="22"/>
      <c r="LV149" s="22"/>
      <c r="LW149" s="22"/>
      <c r="LX149" s="22"/>
      <c r="LY149" s="22"/>
      <c r="LZ149" s="22"/>
      <c r="MA149" s="22"/>
      <c r="MB149" s="22"/>
      <c r="MC149" s="22"/>
      <c r="MD149" s="22"/>
      <c r="ME149" s="22"/>
      <c r="MF149" s="22"/>
      <c r="MG149" s="22"/>
      <c r="MH149" s="22"/>
      <c r="MI149" s="22"/>
      <c r="MJ149" s="22"/>
      <c r="MK149" s="22"/>
      <c r="ML149" s="22"/>
      <c r="MM149" s="22"/>
      <c r="MN149" s="22"/>
      <c r="MO149" s="22"/>
      <c r="MP149" s="22"/>
      <c r="MQ149" s="22"/>
      <c r="MR149" s="22"/>
      <c r="MS149" s="22"/>
      <c r="MT149" s="22"/>
      <c r="MU149" s="22"/>
      <c r="MV149" s="22"/>
      <c r="MW149" s="22"/>
      <c r="MX149" s="22"/>
      <c r="MY149" s="22"/>
      <c r="MZ149" s="22"/>
      <c r="NA149" s="22"/>
      <c r="NB149" s="22"/>
      <c r="NC149" s="22"/>
      <c r="ND149" s="22"/>
      <c r="NE149" s="22"/>
      <c r="NF149" s="22"/>
      <c r="NG149" s="22"/>
      <c r="NH149" s="22"/>
      <c r="NI149" s="22"/>
      <c r="NJ149" s="22"/>
      <c r="NK149" s="22"/>
      <c r="NL149" s="22"/>
      <c r="NM149" s="22"/>
      <c r="NN149" s="22"/>
      <c r="NO149" s="22"/>
      <c r="NP149" s="22"/>
      <c r="NQ149" s="22"/>
      <c r="NR149" s="22"/>
      <c r="NS149" s="22"/>
      <c r="NT149" s="22"/>
      <c r="NU149" s="22"/>
      <c r="NV149" s="22"/>
      <c r="NW149" s="22"/>
      <c r="NX149" s="22"/>
      <c r="NY149" s="22"/>
      <c r="NZ149" s="22"/>
      <c r="OA149" s="22"/>
      <c r="OB149" s="22"/>
      <c r="OC149" s="22"/>
      <c r="OD149" s="22"/>
      <c r="OE149" s="22"/>
      <c r="OF149" s="22"/>
      <c r="OG149" s="22"/>
      <c r="OH149" s="22"/>
      <c r="OI149" s="22"/>
      <c r="OJ149" s="22"/>
      <c r="OK149" s="22"/>
      <c r="OL149" s="22"/>
      <c r="OM149" s="22"/>
      <c r="ON149" s="22"/>
      <c r="OO149" s="22"/>
      <c r="OP149" s="22"/>
      <c r="OQ149" s="22"/>
      <c r="OR149" s="22"/>
      <c r="OS149" s="22"/>
      <c r="OT149" s="22"/>
      <c r="OU149" s="22"/>
      <c r="OV149" s="22"/>
      <c r="OW149" s="22"/>
      <c r="OX149" s="22"/>
      <c r="OY149" s="22"/>
      <c r="OZ149" s="22"/>
      <c r="PA149" s="22"/>
      <c r="PB149" s="22"/>
      <c r="PC149" s="22"/>
      <c r="PD149" s="22"/>
      <c r="PE149" s="22"/>
      <c r="PF149" s="22"/>
      <c r="PG149" s="22"/>
      <c r="PH149" s="22"/>
      <c r="PI149" s="22"/>
      <c r="PJ149" s="22"/>
      <c r="PK149" s="22"/>
      <c r="PL149" s="22"/>
      <c r="PM149" s="22"/>
      <c r="PN149" s="22"/>
      <c r="PO149" s="22"/>
      <c r="PP149" s="22"/>
      <c r="PQ149" s="22"/>
      <c r="PR149" s="22"/>
      <c r="PS149" s="22"/>
      <c r="PT149" s="22"/>
      <c r="PU149" s="22"/>
      <c r="PV149" s="22"/>
      <c r="PW149" s="22"/>
      <c r="PX149" s="22"/>
      <c r="PY149" s="22"/>
      <c r="PZ149" s="22"/>
      <c r="QA149" s="22"/>
      <c r="QB149" s="22"/>
      <c r="QC149" s="22"/>
      <c r="QD149" s="22"/>
      <c r="QE149" s="22"/>
      <c r="QF149" s="22"/>
      <c r="QG149" s="22"/>
      <c r="QH149" s="22"/>
      <c r="QI149" s="22"/>
      <c r="QJ149" s="22"/>
      <c r="QK149" s="22"/>
      <c r="QL149" s="22"/>
      <c r="QM149" s="22"/>
      <c r="QN149" s="22"/>
      <c r="QO149" s="22"/>
      <c r="QP149" s="22"/>
      <c r="QQ149" s="22"/>
      <c r="QR149" s="22"/>
      <c r="QS149" s="22"/>
      <c r="QT149" s="22"/>
      <c r="QU149" s="22"/>
      <c r="QV149" s="22"/>
      <c r="QW149" s="22"/>
      <c r="QX149" s="22"/>
      <c r="QY149" s="22"/>
      <c r="QZ149" s="22"/>
      <c r="RA149" s="22"/>
      <c r="RB149" s="22"/>
      <c r="RC149" s="22"/>
      <c r="RD149" s="22"/>
      <c r="RE149" s="22"/>
      <c r="RF149" s="22"/>
      <c r="RG149" s="22"/>
      <c r="RH149" s="22"/>
      <c r="RI149" s="22"/>
      <c r="RJ149" s="22"/>
      <c r="RK149" s="22"/>
      <c r="RL149" s="22"/>
      <c r="RM149" s="22"/>
      <c r="RN149" s="22"/>
      <c r="RO149" s="22"/>
      <c r="RP149" s="22"/>
      <c r="RQ149" s="22"/>
      <c r="RR149" s="22"/>
      <c r="RS149" s="22"/>
      <c r="RT149" s="22"/>
      <c r="RU149" s="22"/>
      <c r="RV149" s="22"/>
      <c r="RW149" s="22"/>
      <c r="RX149" s="22"/>
      <c r="RY149" s="22"/>
      <c r="RZ149" s="22"/>
      <c r="SA149" s="22"/>
      <c r="SB149" s="22"/>
      <c r="SC149" s="22"/>
      <c r="SD149" s="22"/>
      <c r="SE149" s="22"/>
      <c r="SF149" s="22"/>
      <c r="SG149" s="22"/>
      <c r="SH149" s="22"/>
      <c r="SI149" s="22"/>
      <c r="SJ149" s="22"/>
      <c r="SK149" s="22"/>
      <c r="SL149" s="22"/>
      <c r="SM149" s="22"/>
      <c r="SN149" s="22"/>
      <c r="SO149" s="22"/>
      <c r="SP149" s="22"/>
      <c r="SQ149" s="22"/>
      <c r="SR149" s="22"/>
      <c r="SS149" s="22"/>
      <c r="ST149" s="22"/>
      <c r="SU149" s="22"/>
      <c r="SV149" s="22"/>
      <c r="SW149" s="22"/>
      <c r="SX149" s="22"/>
      <c r="SY149" s="22"/>
      <c r="SZ149" s="22"/>
      <c r="TA149" s="22"/>
      <c r="TB149" s="22"/>
      <c r="TC149" s="22"/>
      <c r="TD149" s="22"/>
      <c r="TE149" s="22"/>
      <c r="TF149" s="22"/>
      <c r="TG149" s="22"/>
      <c r="TH149" s="22"/>
      <c r="TI149" s="22"/>
      <c r="TJ149" s="22"/>
      <c r="TK149" s="22"/>
      <c r="TL149" s="22"/>
      <c r="TM149" s="22"/>
      <c r="TN149" s="22"/>
      <c r="TO149" s="22"/>
      <c r="TP149" s="22"/>
      <c r="TQ149" s="22"/>
      <c r="TR149" s="22"/>
      <c r="TS149" s="22"/>
      <c r="TT149" s="22"/>
      <c r="TU149" s="22"/>
      <c r="TV149" s="22"/>
      <c r="TW149" s="22"/>
      <c r="TX149" s="22"/>
      <c r="TY149" s="22"/>
      <c r="TZ149" s="22"/>
      <c r="UA149" s="22"/>
      <c r="UB149" s="22"/>
      <c r="UC149" s="22"/>
      <c r="UD149" s="22"/>
      <c r="UE149" s="22"/>
      <c r="UF149" s="22"/>
      <c r="UG149" s="22"/>
      <c r="UH149" s="22"/>
      <c r="UI149" s="22"/>
      <c r="UJ149" s="22"/>
      <c r="UK149" s="22"/>
      <c r="UL149" s="22"/>
      <c r="UM149" s="22"/>
      <c r="UN149" s="22"/>
      <c r="UO149" s="22"/>
      <c r="UP149" s="22"/>
      <c r="UQ149" s="22"/>
      <c r="UR149" s="22"/>
      <c r="US149" s="22"/>
      <c r="UT149" s="22"/>
      <c r="UU149" s="22"/>
      <c r="UV149" s="22"/>
      <c r="UW149" s="22"/>
      <c r="UX149" s="22"/>
      <c r="UY149" s="22"/>
      <c r="UZ149" s="22"/>
      <c r="VA149" s="22"/>
      <c r="VB149" s="22"/>
      <c r="VC149" s="22"/>
      <c r="VD149" s="22"/>
      <c r="VE149" s="22"/>
      <c r="VF149" s="22"/>
      <c r="VG149" s="22"/>
      <c r="VH149" s="22"/>
      <c r="VI149" s="22"/>
      <c r="VJ149" s="22"/>
      <c r="VK149" s="22"/>
      <c r="VL149" s="22"/>
      <c r="VM149" s="22"/>
      <c r="VN149" s="22"/>
      <c r="VO149" s="22"/>
      <c r="VP149" s="22"/>
      <c r="VQ149" s="22"/>
      <c r="VR149" s="22"/>
      <c r="VS149" s="22"/>
      <c r="VT149" s="22"/>
      <c r="VU149" s="22"/>
      <c r="VV149" s="22"/>
      <c r="VW149" s="22"/>
      <c r="VX149" s="22"/>
      <c r="VY149" s="22"/>
      <c r="VZ149" s="22"/>
      <c r="WA149" s="22"/>
      <c r="WB149" s="22"/>
      <c r="WC149" s="22"/>
      <c r="WD149" s="22"/>
      <c r="WE149" s="22"/>
      <c r="WF149" s="22"/>
      <c r="WG149" s="22"/>
      <c r="WH149" s="22"/>
      <c r="WI149" s="22"/>
      <c r="WJ149" s="22"/>
      <c r="WK149" s="22"/>
      <c r="WL149" s="22"/>
      <c r="WM149" s="22"/>
      <c r="WN149" s="22"/>
      <c r="WO149" s="22"/>
      <c r="WP149" s="22"/>
      <c r="WQ149" s="22"/>
      <c r="WR149" s="22"/>
      <c r="WS149" s="22"/>
      <c r="WT149" s="22"/>
      <c r="WU149" s="22"/>
      <c r="WV149" s="22"/>
      <c r="WW149" s="22"/>
      <c r="WX149" s="22"/>
      <c r="WY149" s="22"/>
      <c r="WZ149" s="22"/>
      <c r="XA149" s="22"/>
      <c r="XB149" s="22"/>
      <c r="XC149" s="22"/>
      <c r="XD149" s="22"/>
      <c r="XE149" s="22"/>
      <c r="XF149" s="22"/>
      <c r="XG149" s="22"/>
      <c r="XH149" s="22"/>
      <c r="XI149" s="22"/>
      <c r="XJ149" s="22"/>
      <c r="XK149" s="22"/>
      <c r="XL149" s="22"/>
      <c r="XM149" s="22"/>
      <c r="XN149" s="22"/>
      <c r="XO149" s="22"/>
      <c r="XP149" s="22"/>
      <c r="XQ149" s="22"/>
      <c r="XR149" s="22"/>
      <c r="XS149" s="22"/>
      <c r="XT149" s="22"/>
      <c r="XU149" s="22"/>
      <c r="XV149" s="22"/>
      <c r="XW149" s="22"/>
      <c r="XX149" s="22"/>
      <c r="XY149" s="22"/>
      <c r="XZ149" s="22"/>
      <c r="YA149" s="22"/>
      <c r="YB149" s="22"/>
      <c r="YC149" s="22"/>
      <c r="YD149" s="22"/>
      <c r="YE149" s="22"/>
      <c r="YF149" s="22"/>
      <c r="YG149" s="22"/>
      <c r="YH149" s="22"/>
      <c r="YI149" s="22"/>
      <c r="YJ149" s="22"/>
      <c r="YK149" s="22"/>
      <c r="YL149" s="22"/>
      <c r="YM149" s="22"/>
      <c r="YN149" s="22"/>
      <c r="YO149" s="22"/>
      <c r="YP149" s="22"/>
      <c r="YQ149" s="22"/>
      <c r="YR149" s="22"/>
      <c r="YS149" s="22"/>
      <c r="YT149" s="22"/>
      <c r="YU149" s="22"/>
      <c r="YV149" s="22"/>
      <c r="YW149" s="22"/>
      <c r="YX149" s="22"/>
      <c r="YY149" s="22"/>
      <c r="YZ149" s="22"/>
      <c r="ZA149" s="22"/>
      <c r="ZB149" s="22"/>
      <c r="ZC149" s="22"/>
      <c r="ZD149" s="22"/>
      <c r="ZE149" s="22"/>
      <c r="ZF149" s="22"/>
      <c r="ZG149" s="22"/>
      <c r="ZH149" s="22"/>
      <c r="ZI149" s="22"/>
      <c r="ZJ149" s="22"/>
      <c r="ZK149" s="22"/>
      <c r="ZL149" s="22"/>
      <c r="ZM149" s="22"/>
      <c r="ZN149" s="22"/>
      <c r="ZO149" s="22"/>
      <c r="ZP149" s="22"/>
      <c r="ZQ149" s="22"/>
      <c r="ZR149" s="22"/>
      <c r="ZS149" s="22"/>
      <c r="ZT149" s="22"/>
      <c r="ZU149" s="22"/>
      <c r="ZV149" s="22"/>
      <c r="ZW149" s="22"/>
      <c r="ZX149" s="22"/>
      <c r="ZY149" s="22"/>
      <c r="ZZ149" s="22"/>
      <c r="AAA149" s="22"/>
      <c r="AAB149" s="22"/>
      <c r="AAC149" s="22"/>
      <c r="AAD149" s="22"/>
      <c r="AAE149" s="22"/>
      <c r="AAF149" s="22"/>
      <c r="AAG149" s="22"/>
      <c r="AAH149" s="22"/>
      <c r="AAI149" s="22"/>
      <c r="AAJ149" s="22"/>
      <c r="AAK149" s="22"/>
      <c r="AAL149" s="22"/>
      <c r="AAM149" s="22"/>
      <c r="AAN149" s="22"/>
      <c r="AAO149" s="22"/>
      <c r="AAP149" s="22"/>
      <c r="AAQ149" s="22"/>
      <c r="AAR149" s="22"/>
      <c r="AAS149" s="22"/>
      <c r="AAT149" s="22"/>
      <c r="AAU149" s="22"/>
      <c r="AAV149" s="22"/>
      <c r="AAW149" s="22"/>
      <c r="AAX149" s="22"/>
      <c r="AAY149" s="22"/>
      <c r="AAZ149" s="22"/>
      <c r="ABA149" s="22"/>
      <c r="ABB149" s="22"/>
      <c r="ABC149" s="22"/>
      <c r="ABD149" s="22"/>
      <c r="ABE149" s="22"/>
      <c r="ABF149" s="22"/>
      <c r="ABG149" s="22"/>
      <c r="ABH149" s="22"/>
      <c r="ABI149" s="22"/>
      <c r="ABJ149" s="22"/>
      <c r="ABK149" s="22"/>
      <c r="ABL149" s="22"/>
      <c r="ABM149" s="22"/>
      <c r="ABN149" s="22"/>
      <c r="ABO149" s="22"/>
      <c r="ABP149" s="22"/>
      <c r="ABQ149" s="22"/>
      <c r="ABR149" s="22"/>
      <c r="ABS149" s="22"/>
      <c r="ABT149" s="22"/>
      <c r="ABU149" s="22"/>
      <c r="ABV149" s="22"/>
      <c r="ABW149" s="22"/>
      <c r="ABX149" s="22"/>
      <c r="ABY149" s="22"/>
      <c r="ABZ149" s="22"/>
      <c r="ACA149" s="22"/>
      <c r="ACB149" s="22"/>
      <c r="ACC149" s="22"/>
      <c r="ACD149" s="22"/>
      <c r="ACE149" s="22"/>
      <c r="ACF149" s="22"/>
      <c r="ACG149" s="22"/>
      <c r="ACH149" s="22"/>
      <c r="ACI149" s="22"/>
      <c r="ACJ149" s="22"/>
      <c r="ACK149" s="22"/>
      <c r="ACL149" s="22"/>
      <c r="ACM149" s="22"/>
      <c r="ACN149" s="22"/>
      <c r="ACO149" s="22"/>
      <c r="ACP149" s="22"/>
      <c r="ACQ149" s="22"/>
      <c r="ACR149" s="22"/>
      <c r="ACS149" s="22"/>
      <c r="ACT149" s="22"/>
      <c r="ACU149" s="22"/>
      <c r="ACV149" s="22"/>
      <c r="ACW149" s="22"/>
      <c r="ACX149" s="22"/>
      <c r="ACY149" s="22"/>
      <c r="ACZ149" s="22"/>
      <c r="ADA149" s="22"/>
      <c r="ADB149" s="22"/>
      <c r="ADC149" s="22"/>
      <c r="ADD149" s="22"/>
      <c r="ADE149" s="22"/>
      <c r="ADF149" s="22"/>
      <c r="ADG149" s="22"/>
      <c r="ADH149" s="22"/>
      <c r="ADI149" s="22"/>
      <c r="ADJ149" s="22"/>
      <c r="ADK149" s="22"/>
      <c r="ADL149" s="22"/>
      <c r="ADM149" s="22"/>
      <c r="ADN149" s="22"/>
      <c r="ADO149" s="22"/>
      <c r="ADP149" s="22"/>
      <c r="ADQ149" s="22"/>
      <c r="ADR149" s="22"/>
      <c r="ADS149" s="22"/>
      <c r="ADT149" s="22"/>
      <c r="ADU149" s="22"/>
      <c r="ADV149" s="22"/>
      <c r="ADW149" s="22"/>
      <c r="ADX149" s="22"/>
      <c r="ADY149" s="22"/>
      <c r="ADZ149" s="22"/>
      <c r="AEA149" s="22"/>
      <c r="AEB149" s="22"/>
      <c r="AEC149" s="22"/>
      <c r="AED149" s="22"/>
      <c r="AEE149" s="22"/>
      <c r="AEF149" s="22"/>
      <c r="AEG149" s="22"/>
      <c r="AEH149" s="22"/>
      <c r="AEI149" s="22"/>
      <c r="AEJ149" s="22"/>
      <c r="AEK149" s="22"/>
      <c r="AEL149" s="22"/>
      <c r="AEM149" s="22"/>
      <c r="AEN149" s="22"/>
      <c r="AEO149" s="22"/>
      <c r="AEP149" s="22"/>
      <c r="AEQ149" s="22"/>
      <c r="AER149" s="22"/>
      <c r="AES149" s="22"/>
      <c r="AET149" s="22"/>
      <c r="AEU149" s="22"/>
      <c r="AEV149" s="22"/>
      <c r="AEW149" s="22"/>
      <c r="AEX149" s="22"/>
      <c r="AEY149" s="22"/>
      <c r="AEZ149" s="22"/>
      <c r="AFA149" s="22"/>
      <c r="AFB149" s="22"/>
      <c r="AFC149" s="22"/>
      <c r="AFD149" s="22"/>
      <c r="AFE149" s="22"/>
      <c r="AFF149" s="22"/>
      <c r="AFG149" s="22"/>
      <c r="AFH149" s="22"/>
      <c r="AFI149" s="22"/>
      <c r="AFJ149" s="22"/>
      <c r="AFK149" s="22"/>
      <c r="AFL149" s="22"/>
      <c r="AFM149" s="22"/>
      <c r="AFN149" s="22"/>
      <c r="AFO149" s="22"/>
      <c r="AFP149" s="22"/>
      <c r="AFQ149" s="22"/>
      <c r="AFR149" s="22"/>
      <c r="AFS149" s="22"/>
      <c r="AFT149" s="22"/>
      <c r="AFU149" s="22"/>
      <c r="AFV149" s="22"/>
      <c r="AFW149" s="22"/>
      <c r="AFX149" s="22"/>
      <c r="AFY149" s="22"/>
      <c r="AFZ149" s="22"/>
      <c r="AGA149" s="22"/>
      <c r="AGB149" s="22"/>
      <c r="AGC149" s="22"/>
      <c r="AGD149" s="22"/>
      <c r="AGE149" s="22"/>
      <c r="AGF149" s="22"/>
      <c r="AGG149" s="22"/>
      <c r="AGH149" s="22"/>
      <c r="AGI149" s="22"/>
      <c r="AGJ149" s="22"/>
      <c r="AGK149" s="22"/>
      <c r="AGL149" s="22"/>
      <c r="AGM149" s="22"/>
      <c r="AGN149" s="22"/>
      <c r="AGO149" s="22"/>
      <c r="AGP149" s="22"/>
      <c r="AGQ149" s="22"/>
      <c r="AGR149" s="22"/>
      <c r="AGS149" s="22"/>
      <c r="AGT149" s="22"/>
      <c r="AGU149" s="22"/>
      <c r="AGV149" s="22"/>
      <c r="AGW149" s="22"/>
      <c r="AGX149" s="22"/>
      <c r="AGY149" s="22"/>
      <c r="AGZ149" s="22"/>
      <c r="AHA149" s="22"/>
      <c r="AHB149" s="22"/>
      <c r="AHC149" s="22"/>
      <c r="AHD149" s="22"/>
      <c r="AHE149" s="22"/>
      <c r="AHF149" s="22"/>
      <c r="AHG149" s="22"/>
      <c r="AHH149" s="22"/>
      <c r="AHI149" s="22"/>
      <c r="AHJ149" s="22"/>
      <c r="AHK149" s="22"/>
      <c r="AHL149" s="22"/>
      <c r="AHM149" s="22"/>
      <c r="AHN149" s="22"/>
      <c r="AHO149" s="22"/>
      <c r="AHP149" s="22"/>
      <c r="AHQ149" s="22"/>
      <c r="AHR149" s="22"/>
      <c r="AHS149" s="22"/>
      <c r="AHT149" s="22"/>
      <c r="AHU149" s="22"/>
      <c r="AHV149" s="22"/>
      <c r="AHW149" s="22"/>
      <c r="AHX149" s="22"/>
      <c r="AHY149" s="22"/>
      <c r="AHZ149" s="22"/>
      <c r="AIA149" s="22"/>
      <c r="AIB149" s="22"/>
      <c r="AIC149" s="22"/>
      <c r="AID149" s="22"/>
      <c r="AIE149" s="22"/>
      <c r="AIF149" s="22"/>
      <c r="AIG149" s="22"/>
      <c r="AIH149" s="22"/>
      <c r="AII149" s="22"/>
      <c r="AIJ149" s="22"/>
      <c r="AIK149" s="22"/>
      <c r="AIL149" s="22"/>
      <c r="AIM149" s="22"/>
      <c r="AIN149" s="22"/>
      <c r="AIO149" s="22"/>
      <c r="AIP149" s="22"/>
      <c r="AIQ149" s="22"/>
      <c r="AIR149" s="22"/>
      <c r="AIS149" s="22"/>
      <c r="AIT149" s="22"/>
      <c r="AIU149" s="22"/>
      <c r="AIV149" s="22"/>
      <c r="AIW149" s="22"/>
      <c r="AIX149" s="22"/>
      <c r="AIY149" s="22"/>
      <c r="AIZ149" s="22"/>
      <c r="AJA149" s="22"/>
      <c r="AJB149" s="22"/>
      <c r="AJC149" s="22"/>
      <c r="AJD149" s="22"/>
      <c r="AJE149" s="22"/>
      <c r="AJF149" s="22"/>
      <c r="AJG149" s="22"/>
      <c r="AJH149" s="22"/>
      <c r="AJI149" s="22"/>
      <c r="AJJ149" s="22"/>
      <c r="AJK149" s="22"/>
      <c r="AJL149" s="22"/>
      <c r="AJM149" s="22"/>
      <c r="AJN149" s="22"/>
      <c r="AJO149" s="22"/>
      <c r="AJP149" s="22"/>
      <c r="AJQ149" s="22"/>
      <c r="AJR149" s="22"/>
      <c r="AJS149" s="22"/>
      <c r="AJT149" s="22"/>
      <c r="AJU149" s="22"/>
      <c r="AJV149" s="22"/>
      <c r="AJW149" s="22"/>
      <c r="AJX149" s="22"/>
      <c r="AJY149" s="22"/>
      <c r="AJZ149" s="22"/>
      <c r="AKA149" s="22"/>
      <c r="AKB149" s="22"/>
      <c r="AKC149" s="22"/>
      <c r="AKD149" s="22"/>
      <c r="AKE149" s="22"/>
      <c r="AKF149" s="22"/>
      <c r="AKG149" s="22"/>
      <c r="AKH149" s="22"/>
      <c r="AKI149" s="22"/>
      <c r="AKJ149" s="22"/>
      <c r="AKK149" s="22"/>
      <c r="AKL149" s="22"/>
      <c r="AKM149" s="22"/>
      <c r="AKN149" s="22"/>
      <c r="AKO149" s="22"/>
      <c r="AKP149" s="22"/>
      <c r="AKQ149" s="22"/>
      <c r="AKR149" s="22"/>
      <c r="AKS149" s="22"/>
      <c r="AKT149" s="22"/>
      <c r="AKU149" s="22"/>
      <c r="AKV149" s="22"/>
      <c r="AKW149" s="22"/>
      <c r="AKX149" s="22"/>
      <c r="AKY149" s="22"/>
      <c r="AKZ149" s="22"/>
      <c r="ALA149" s="22"/>
      <c r="ALB149" s="22"/>
      <c r="ALC149" s="22"/>
      <c r="ALD149" s="22"/>
      <c r="ALE149" s="22"/>
      <c r="ALF149" s="22"/>
      <c r="ALG149" s="22"/>
      <c r="ALH149" s="22"/>
      <c r="ALI149" s="22"/>
      <c r="ALJ149" s="22"/>
      <c r="ALK149" s="22"/>
      <c r="ALL149" s="22"/>
      <c r="ALM149" s="22"/>
      <c r="ALN149" s="22"/>
      <c r="ALO149" s="22"/>
      <c r="ALP149" s="22"/>
      <c r="ALQ149" s="22"/>
      <c r="ALR149" s="22"/>
      <c r="ALS149" s="22"/>
      <c r="ALT149" s="22"/>
      <c r="ALU149" s="22"/>
      <c r="ALV149" s="22"/>
      <c r="ALW149" s="22"/>
      <c r="ALX149" s="22"/>
      <c r="ALY149" s="22"/>
      <c r="ALZ149" s="22"/>
      <c r="AMA149" s="22"/>
      <c r="AMB149" s="22"/>
      <c r="AMC149" s="22"/>
      <c r="AMD149" s="22"/>
      <c r="AME149" s="22"/>
      <c r="AMF149" s="22"/>
      <c r="AMG149" s="22"/>
      <c r="AMH149" s="22"/>
      <c r="AMI149" s="22"/>
      <c r="AMJ149" s="22"/>
      <c r="AMK149" s="22"/>
      <c r="AML149" s="22"/>
      <c r="AMM149" s="22"/>
      <c r="AMN149" s="22"/>
      <c r="AMO149" s="22"/>
      <c r="AMP149" s="22"/>
      <c r="AMQ149" s="22"/>
      <c r="AMR149" s="22"/>
      <c r="AMS149" s="22"/>
      <c r="AMT149" s="22"/>
      <c r="AMU149" s="22"/>
      <c r="AMV149" s="22"/>
      <c r="AMW149" s="22"/>
      <c r="AMX149" s="22"/>
      <c r="AMY149" s="22"/>
      <c r="AMZ149" s="22"/>
      <c r="ANA149" s="22"/>
      <c r="ANB149" s="22"/>
      <c r="ANC149" s="22"/>
      <c r="AND149" s="22"/>
      <c r="ANE149" s="22"/>
      <c r="ANF149" s="22"/>
      <c r="ANG149" s="22"/>
      <c r="ANH149" s="22"/>
      <c r="ANI149" s="22"/>
      <c r="ANJ149" s="22"/>
      <c r="ANK149" s="22"/>
      <c r="ANL149" s="22"/>
      <c r="ANM149" s="22"/>
      <c r="ANN149" s="22"/>
      <c r="ANO149" s="22"/>
      <c r="ANP149" s="22"/>
      <c r="ANQ149" s="22"/>
      <c r="ANR149" s="22"/>
      <c r="ANS149" s="22"/>
      <c r="ANT149" s="22"/>
      <c r="ANU149" s="22"/>
      <c r="ANV149" s="22"/>
      <c r="ANW149" s="22"/>
      <c r="ANX149" s="22"/>
      <c r="ANY149" s="22"/>
      <c r="ANZ149" s="22"/>
      <c r="AOA149" s="22"/>
      <c r="AOB149" s="22"/>
      <c r="AOC149" s="22"/>
      <c r="AOD149" s="22"/>
      <c r="AOE149" s="22"/>
      <c r="AOF149" s="22"/>
      <c r="AOG149" s="22"/>
      <c r="AOH149" s="22"/>
      <c r="AOI149" s="22"/>
      <c r="AOJ149" s="22"/>
      <c r="AOK149" s="22"/>
      <c r="AOL149" s="22"/>
      <c r="AOM149" s="22"/>
      <c r="AON149" s="22"/>
      <c r="AOO149" s="22"/>
      <c r="AOP149" s="22"/>
      <c r="AOQ149" s="22"/>
      <c r="AOR149" s="22"/>
      <c r="AOS149" s="22"/>
      <c r="AOT149" s="22"/>
      <c r="AOU149" s="22"/>
      <c r="AOV149" s="22"/>
      <c r="AOW149" s="22"/>
      <c r="AOX149" s="22"/>
      <c r="AOY149" s="22"/>
      <c r="AOZ149" s="22"/>
      <c r="APA149" s="22"/>
      <c r="APB149" s="22"/>
      <c r="APC149" s="22"/>
      <c r="APD149" s="22"/>
      <c r="APE149" s="22"/>
      <c r="APF149" s="22"/>
      <c r="APG149" s="22"/>
      <c r="APH149" s="22"/>
      <c r="API149" s="22"/>
      <c r="APJ149" s="22"/>
      <c r="APK149" s="22"/>
      <c r="APL149" s="22"/>
      <c r="APM149" s="22"/>
      <c r="APN149" s="22"/>
      <c r="APO149" s="22"/>
      <c r="APP149" s="22"/>
      <c r="APQ149" s="22"/>
      <c r="APR149" s="22"/>
      <c r="APS149" s="22"/>
      <c r="APT149" s="22"/>
      <c r="APU149" s="22"/>
      <c r="APV149" s="22"/>
      <c r="APW149" s="22"/>
      <c r="APX149" s="22"/>
      <c r="APY149" s="22"/>
      <c r="APZ149" s="22"/>
      <c r="AQA149" s="22"/>
      <c r="AQB149" s="22"/>
      <c r="AQC149" s="22"/>
      <c r="AQD149" s="22"/>
      <c r="AQE149" s="22"/>
      <c r="AQF149" s="22"/>
      <c r="AQG149" s="22"/>
      <c r="AQH149" s="22"/>
      <c r="AQI149" s="22"/>
      <c r="AQJ149" s="22"/>
      <c r="AQK149" s="22"/>
      <c r="AQL149" s="22"/>
      <c r="AQM149" s="22"/>
      <c r="AQN149" s="22"/>
      <c r="AQO149" s="22"/>
      <c r="AQP149" s="22"/>
      <c r="AQQ149" s="22"/>
      <c r="AQR149" s="22"/>
      <c r="AQS149" s="22"/>
      <c r="AQT149" s="22"/>
      <c r="AQU149" s="22"/>
      <c r="AQV149" s="22"/>
      <c r="AQW149" s="22"/>
      <c r="AQX149" s="22"/>
      <c r="AQY149" s="22"/>
      <c r="AQZ149" s="22"/>
      <c r="ARA149" s="22"/>
      <c r="ARB149" s="22"/>
      <c r="ARC149" s="22"/>
      <c r="ARD149" s="22"/>
      <c r="ARE149" s="22"/>
      <c r="ARF149" s="22"/>
      <c r="ARG149" s="22"/>
      <c r="ARH149" s="22"/>
      <c r="ARI149" s="22"/>
      <c r="ARJ149" s="22"/>
      <c r="ARK149" s="22"/>
      <c r="ARL149" s="22"/>
      <c r="ARM149" s="22"/>
      <c r="ARN149" s="22"/>
      <c r="ARO149" s="22"/>
      <c r="ARP149" s="22"/>
      <c r="ARQ149" s="22"/>
      <c r="ARR149" s="22"/>
      <c r="ARS149" s="22"/>
      <c r="ART149" s="22"/>
      <c r="ARU149" s="22"/>
      <c r="ARV149" s="22"/>
      <c r="ARW149" s="22"/>
      <c r="ARX149" s="22"/>
      <c r="ARY149" s="22"/>
      <c r="ARZ149" s="22"/>
      <c r="ASA149" s="22"/>
      <c r="ASB149" s="22"/>
      <c r="ASC149" s="22"/>
      <c r="ASD149" s="22"/>
      <c r="ASE149" s="22"/>
      <c r="ASF149" s="22"/>
      <c r="ASG149" s="22"/>
      <c r="ASH149" s="22"/>
      <c r="ASI149" s="22"/>
      <c r="ASJ149" s="22"/>
      <c r="ASK149" s="22"/>
      <c r="ASL149" s="22"/>
      <c r="ASM149" s="22"/>
      <c r="ASN149" s="22"/>
      <c r="ASO149" s="22"/>
      <c r="ASP149" s="22"/>
      <c r="ASQ149" s="22"/>
      <c r="ASR149" s="22"/>
      <c r="ASS149" s="22"/>
      <c r="AST149" s="22"/>
      <c r="ASU149" s="22"/>
      <c r="ASV149" s="22"/>
      <c r="ASW149" s="22"/>
      <c r="ASX149" s="22"/>
      <c r="ASY149" s="22"/>
      <c r="ASZ149" s="22"/>
      <c r="ATA149" s="22"/>
      <c r="ATB149" s="22"/>
      <c r="ATC149" s="22"/>
      <c r="ATD149" s="22"/>
      <c r="ATE149" s="22"/>
      <c r="ATF149" s="22"/>
      <c r="ATG149" s="22"/>
      <c r="ATH149" s="22"/>
      <c r="ATI149" s="22"/>
      <c r="ATJ149" s="22"/>
      <c r="ATK149" s="22"/>
      <c r="ATL149" s="22"/>
      <c r="ATM149" s="22"/>
      <c r="ATN149" s="22"/>
      <c r="ATO149" s="22"/>
      <c r="ATP149" s="22"/>
      <c r="ATQ149" s="22"/>
      <c r="ATR149" s="22"/>
      <c r="ATS149" s="22"/>
      <c r="ATT149" s="22"/>
      <c r="ATU149" s="22"/>
      <c r="ATV149" s="22"/>
      <c r="ATW149" s="22"/>
      <c r="ATX149" s="22"/>
      <c r="ATY149" s="22"/>
      <c r="ATZ149" s="22"/>
      <c r="AUA149" s="22"/>
      <c r="AUB149" s="22"/>
      <c r="AUC149" s="22"/>
      <c r="AUD149" s="22"/>
      <c r="AUE149" s="22"/>
      <c r="AUF149" s="22"/>
      <c r="AUG149" s="22"/>
      <c r="AUH149" s="22"/>
      <c r="AUI149" s="22"/>
      <c r="AUJ149" s="22"/>
      <c r="AUK149" s="22"/>
      <c r="AUL149" s="22"/>
      <c r="AUM149" s="22"/>
      <c r="AUN149" s="22"/>
      <c r="AUO149" s="22"/>
      <c r="AUP149" s="22"/>
      <c r="AUQ149" s="22"/>
      <c r="AUR149" s="22"/>
      <c r="AUS149" s="22"/>
      <c r="AUT149" s="22"/>
      <c r="AUU149" s="22"/>
      <c r="AUV149" s="22"/>
      <c r="AUW149" s="22"/>
      <c r="AUX149" s="22"/>
      <c r="AUY149" s="22"/>
      <c r="AUZ149" s="22"/>
      <c r="AVA149" s="22"/>
      <c r="AVB149" s="22"/>
      <c r="AVC149" s="22"/>
      <c r="AVD149" s="22"/>
      <c r="AVE149" s="22"/>
      <c r="AVF149" s="22"/>
      <c r="AVG149" s="22"/>
      <c r="AVH149" s="22"/>
      <c r="AVI149" s="22"/>
      <c r="AVJ149" s="22"/>
      <c r="AVK149" s="22"/>
      <c r="AVL149" s="22"/>
      <c r="AVM149" s="22"/>
      <c r="AVN149" s="22"/>
      <c r="AVO149" s="22"/>
      <c r="AVP149" s="22"/>
      <c r="AVQ149" s="22"/>
      <c r="AVR149" s="22"/>
      <c r="AVS149" s="22"/>
      <c r="AVT149" s="22"/>
      <c r="AVU149" s="22"/>
      <c r="AVV149" s="22"/>
      <c r="AVW149" s="22"/>
      <c r="AVX149" s="22"/>
      <c r="AVY149" s="22"/>
      <c r="AVZ149" s="22"/>
      <c r="AWA149" s="22"/>
      <c r="AWB149" s="22"/>
      <c r="AWC149" s="22"/>
      <c r="AWD149" s="22"/>
      <c r="AWE149" s="22"/>
      <c r="AWF149" s="22"/>
      <c r="AWG149" s="22"/>
      <c r="AWH149" s="22"/>
      <c r="AWI149" s="22"/>
      <c r="AWJ149" s="22"/>
      <c r="AWK149" s="22"/>
      <c r="AWL149" s="22"/>
      <c r="AWM149" s="22"/>
      <c r="AWN149" s="22"/>
      <c r="AWO149" s="22"/>
      <c r="AWP149" s="22"/>
      <c r="AWQ149" s="22"/>
      <c r="AWR149" s="22"/>
      <c r="AWS149" s="22"/>
      <c r="AWT149" s="22"/>
      <c r="AWU149" s="22"/>
      <c r="AWV149" s="22"/>
      <c r="AWW149" s="22"/>
      <c r="AWX149" s="22"/>
      <c r="AWY149" s="22"/>
      <c r="AWZ149" s="22"/>
      <c r="AXA149" s="22"/>
      <c r="AXB149" s="22"/>
      <c r="AXC149" s="22"/>
      <c r="AXD149" s="22"/>
      <c r="AXE149" s="22"/>
      <c r="AXF149" s="22"/>
      <c r="AXG149" s="22"/>
      <c r="AXH149" s="22"/>
      <c r="AXI149" s="22"/>
      <c r="AXJ149" s="22"/>
      <c r="AXK149" s="22"/>
      <c r="AXL149" s="22"/>
      <c r="AXM149" s="22"/>
      <c r="AXN149" s="22"/>
      <c r="AXO149" s="22"/>
      <c r="AXP149" s="22"/>
      <c r="AXQ149" s="22"/>
      <c r="AXR149" s="22"/>
      <c r="AXS149" s="22"/>
      <c r="AXT149" s="22"/>
      <c r="AXU149" s="22"/>
      <c r="AXV149" s="22"/>
      <c r="AXW149" s="22"/>
      <c r="AXX149" s="22"/>
      <c r="AXY149" s="22"/>
      <c r="AXZ149" s="22"/>
      <c r="AYA149" s="22"/>
      <c r="AYB149" s="22"/>
      <c r="AYC149" s="22"/>
      <c r="AYD149" s="22"/>
      <c r="AYE149" s="22"/>
      <c r="AYF149" s="22"/>
      <c r="AYG149" s="22"/>
      <c r="AYH149" s="22"/>
      <c r="AYI149" s="22"/>
      <c r="AYJ149" s="22"/>
      <c r="AYK149" s="22"/>
      <c r="AYL149" s="22"/>
      <c r="AYM149" s="22"/>
      <c r="AYN149" s="22"/>
      <c r="AYO149" s="22"/>
      <c r="AYP149" s="22"/>
      <c r="AYQ149" s="22"/>
      <c r="AYR149" s="22"/>
      <c r="AYS149" s="22"/>
      <c r="AYT149" s="22"/>
      <c r="AYU149" s="22"/>
      <c r="AYV149" s="22"/>
      <c r="AYW149" s="22"/>
      <c r="AYX149" s="22"/>
      <c r="AYY149" s="22"/>
      <c r="AYZ149" s="22"/>
      <c r="AZA149" s="22"/>
      <c r="AZB149" s="22"/>
      <c r="AZC149" s="22"/>
      <c r="AZD149" s="22"/>
      <c r="AZE149" s="22"/>
      <c r="AZF149" s="22"/>
      <c r="AZG149" s="22"/>
      <c r="AZH149" s="22"/>
      <c r="AZI149" s="22"/>
      <c r="AZJ149" s="22"/>
      <c r="AZK149" s="22"/>
      <c r="AZL149" s="22"/>
      <c r="AZM149" s="22"/>
      <c r="AZN149" s="22"/>
      <c r="AZO149" s="22"/>
      <c r="AZP149" s="22"/>
      <c r="AZQ149" s="22"/>
      <c r="AZR149" s="22"/>
      <c r="AZS149" s="22"/>
      <c r="AZT149" s="22"/>
      <c r="AZU149" s="22"/>
      <c r="AZV149" s="22"/>
      <c r="AZW149" s="22"/>
      <c r="AZX149" s="22"/>
      <c r="AZY149" s="22"/>
      <c r="AZZ149" s="22"/>
      <c r="BAA149" s="22"/>
      <c r="BAB149" s="22"/>
      <c r="BAC149" s="22"/>
      <c r="BAD149" s="22"/>
      <c r="BAE149" s="22"/>
      <c r="BAF149" s="22"/>
      <c r="BAG149" s="22"/>
      <c r="BAH149" s="22"/>
      <c r="BAI149" s="22"/>
      <c r="BAJ149" s="22"/>
      <c r="BAK149" s="22"/>
      <c r="BAL149" s="22"/>
      <c r="BAM149" s="22"/>
      <c r="BAN149" s="22"/>
      <c r="BAO149" s="22"/>
      <c r="BAP149" s="22"/>
      <c r="BAQ149" s="22"/>
      <c r="BAR149" s="22"/>
      <c r="BAS149" s="22"/>
      <c r="BAT149" s="22"/>
      <c r="BAU149" s="22"/>
      <c r="BAV149" s="22"/>
      <c r="BAW149" s="22"/>
      <c r="BAX149" s="22"/>
      <c r="BAY149" s="22"/>
      <c r="BAZ149" s="22"/>
      <c r="BBA149" s="22"/>
      <c r="BBB149" s="22"/>
      <c r="BBC149" s="22"/>
      <c r="BBD149" s="22"/>
      <c r="BBE149" s="22"/>
      <c r="BBF149" s="22"/>
      <c r="BBG149" s="22"/>
      <c r="BBH149" s="22"/>
      <c r="BBI149" s="22"/>
      <c r="BBJ149" s="22"/>
      <c r="BBK149" s="22"/>
      <c r="BBL149" s="22"/>
      <c r="BBM149" s="22"/>
      <c r="BBN149" s="22"/>
      <c r="BBO149" s="22"/>
      <c r="BBP149" s="22"/>
      <c r="BBQ149" s="22"/>
      <c r="BBR149" s="22"/>
      <c r="BBS149" s="22"/>
      <c r="BBT149" s="22"/>
      <c r="BBU149" s="22"/>
      <c r="BBV149" s="22"/>
      <c r="BBW149" s="22"/>
      <c r="BBX149" s="22"/>
      <c r="BBY149" s="22"/>
      <c r="BBZ149" s="22"/>
      <c r="BCA149" s="22"/>
      <c r="BCB149" s="22"/>
      <c r="BCC149" s="22"/>
      <c r="BCD149" s="22"/>
      <c r="BCE149" s="22"/>
      <c r="BCF149" s="22"/>
      <c r="BCG149" s="22"/>
      <c r="BCH149" s="22"/>
      <c r="BCI149" s="22"/>
      <c r="BCJ149" s="22"/>
      <c r="BCK149" s="22"/>
      <c r="BCL149" s="22"/>
      <c r="BCM149" s="22"/>
      <c r="BCN149" s="22"/>
      <c r="BCO149" s="22"/>
      <c r="BCP149" s="22"/>
      <c r="BCQ149" s="22"/>
      <c r="BCR149" s="22"/>
      <c r="BCS149" s="22"/>
      <c r="BCT149" s="22"/>
      <c r="BCU149" s="22"/>
      <c r="BCV149" s="22"/>
      <c r="BCW149" s="22"/>
      <c r="BCX149" s="22"/>
      <c r="BCY149" s="22"/>
      <c r="BCZ149" s="22"/>
      <c r="BDA149" s="22"/>
      <c r="BDB149" s="22"/>
      <c r="BDC149" s="22"/>
      <c r="BDD149" s="22"/>
      <c r="BDE149" s="22"/>
      <c r="BDF149" s="22"/>
      <c r="BDG149" s="22"/>
      <c r="BDH149" s="22"/>
      <c r="BDI149" s="22"/>
      <c r="BDJ149" s="22"/>
      <c r="BDK149" s="22"/>
      <c r="BDL149" s="22"/>
      <c r="BDM149" s="22"/>
      <c r="BDN149" s="22"/>
      <c r="BDO149" s="22"/>
      <c r="BDP149" s="22"/>
      <c r="BDQ149" s="22"/>
      <c r="BDR149" s="22"/>
      <c r="BDS149" s="22"/>
      <c r="BDT149" s="22"/>
      <c r="BDU149" s="22"/>
      <c r="BDV149" s="22"/>
      <c r="BDW149" s="22"/>
      <c r="BDX149" s="22"/>
      <c r="BDY149" s="22"/>
      <c r="BDZ149" s="22"/>
      <c r="BEA149" s="22"/>
      <c r="BEB149" s="22"/>
      <c r="BEC149" s="22"/>
      <c r="BED149" s="22"/>
      <c r="BEE149" s="22"/>
      <c r="BEF149" s="22"/>
      <c r="BEG149" s="22"/>
      <c r="BEH149" s="22"/>
      <c r="BEI149" s="22"/>
      <c r="BEJ149" s="22"/>
      <c r="BEK149" s="22"/>
      <c r="BEL149" s="22"/>
      <c r="BEM149" s="22"/>
      <c r="BEN149" s="22"/>
      <c r="BEO149" s="22"/>
      <c r="BEP149" s="22"/>
      <c r="BEQ149" s="22"/>
      <c r="BER149" s="22"/>
      <c r="BES149" s="22"/>
      <c r="BET149" s="22"/>
      <c r="BEU149" s="22"/>
      <c r="BEV149" s="22"/>
      <c r="BEW149" s="22"/>
      <c r="BEX149" s="22"/>
      <c r="BEY149" s="22"/>
      <c r="BEZ149" s="22"/>
      <c r="BFA149" s="22"/>
      <c r="BFB149" s="22"/>
      <c r="BFC149" s="22"/>
      <c r="BFD149" s="22"/>
      <c r="BFE149" s="22"/>
      <c r="BFF149" s="22"/>
      <c r="BFG149" s="22"/>
      <c r="BFH149" s="22"/>
      <c r="BFI149" s="22"/>
      <c r="BFJ149" s="22"/>
      <c r="BFK149" s="22"/>
      <c r="BFL149" s="22"/>
      <c r="BFM149" s="22"/>
      <c r="BFN149" s="22"/>
      <c r="BFO149" s="22"/>
      <c r="BFP149" s="22"/>
      <c r="BFQ149" s="22"/>
      <c r="BFR149" s="22"/>
      <c r="BFS149" s="22"/>
      <c r="BFT149" s="22"/>
      <c r="BFU149" s="22"/>
      <c r="BFV149" s="22"/>
      <c r="BFW149" s="22"/>
      <c r="BFX149" s="22"/>
      <c r="BFY149" s="22"/>
      <c r="BFZ149" s="22"/>
      <c r="BGA149" s="22"/>
      <c r="BGB149" s="22"/>
      <c r="BGC149" s="22"/>
      <c r="BGD149" s="22"/>
      <c r="BGE149" s="22"/>
      <c r="BGF149" s="22"/>
      <c r="BGG149" s="22"/>
      <c r="BGH149" s="22"/>
      <c r="BGI149" s="22"/>
      <c r="BGJ149" s="22"/>
      <c r="BGK149" s="22"/>
      <c r="BGL149" s="22"/>
      <c r="BGM149" s="22"/>
      <c r="BGN149" s="22"/>
      <c r="BGO149" s="22"/>
      <c r="BGP149" s="22"/>
      <c r="BGQ149" s="22"/>
      <c r="BGR149" s="22"/>
      <c r="BGS149" s="22"/>
      <c r="BGT149" s="22"/>
      <c r="BGU149" s="22"/>
      <c r="BGV149" s="22"/>
      <c r="BGW149" s="22"/>
      <c r="BGX149" s="22"/>
      <c r="BGY149" s="22"/>
      <c r="BGZ149" s="22"/>
      <c r="BHA149" s="22"/>
      <c r="BHB149" s="22"/>
      <c r="BHC149" s="22"/>
      <c r="BHD149" s="22"/>
      <c r="BHE149" s="22"/>
      <c r="BHF149" s="22"/>
      <c r="BHG149" s="22"/>
      <c r="BHH149" s="22"/>
      <c r="BHI149" s="22"/>
      <c r="BHJ149" s="22"/>
      <c r="BHK149" s="22"/>
      <c r="BHL149" s="22"/>
      <c r="BHM149" s="22"/>
      <c r="BHN149" s="22"/>
      <c r="BHO149" s="22"/>
      <c r="BHP149" s="22"/>
      <c r="BHQ149" s="22"/>
      <c r="BHR149" s="22"/>
      <c r="BHS149" s="22"/>
      <c r="BHT149" s="22"/>
      <c r="BHU149" s="22"/>
      <c r="BHV149" s="22"/>
      <c r="BHW149" s="22"/>
      <c r="BHX149" s="22"/>
      <c r="BHY149" s="22"/>
      <c r="BHZ149" s="22"/>
      <c r="BIA149" s="22"/>
      <c r="BIB149" s="22"/>
      <c r="BIC149" s="22"/>
      <c r="BID149" s="22"/>
      <c r="BIE149" s="22"/>
      <c r="BIF149" s="22"/>
      <c r="BIG149" s="22"/>
      <c r="BIH149" s="22"/>
      <c r="BII149" s="22"/>
      <c r="BIJ149" s="22"/>
      <c r="BIK149" s="22"/>
      <c r="BIL149" s="22"/>
      <c r="BIM149" s="22"/>
      <c r="BIN149" s="22"/>
      <c r="BIO149" s="22"/>
      <c r="BIP149" s="22"/>
      <c r="BIQ149" s="22"/>
      <c r="BIR149" s="22"/>
      <c r="BIS149" s="22"/>
      <c r="BIT149" s="22"/>
      <c r="BIU149" s="22"/>
      <c r="BIV149" s="22"/>
      <c r="BIW149" s="22"/>
      <c r="BIX149" s="22"/>
      <c r="BIY149" s="22"/>
      <c r="BIZ149" s="22"/>
      <c r="BJA149" s="22"/>
      <c r="BJB149" s="22"/>
      <c r="BJC149" s="22"/>
      <c r="BJD149" s="22"/>
      <c r="BJE149" s="22"/>
      <c r="BJF149" s="22"/>
      <c r="BJG149" s="22"/>
      <c r="BJH149" s="22"/>
      <c r="BJI149" s="22"/>
      <c r="BJJ149" s="22"/>
      <c r="BJK149" s="22"/>
      <c r="BJL149" s="22"/>
      <c r="BJM149" s="22"/>
      <c r="BJN149" s="22"/>
      <c r="BJO149" s="22"/>
      <c r="BJP149" s="22"/>
      <c r="BJQ149" s="22"/>
      <c r="BJR149" s="22"/>
      <c r="BJS149" s="22"/>
      <c r="BJT149" s="22"/>
      <c r="BJU149" s="22"/>
      <c r="BJV149" s="22"/>
      <c r="BJW149" s="22"/>
      <c r="BJX149" s="22"/>
      <c r="BJY149" s="22"/>
      <c r="BJZ149" s="22"/>
      <c r="BKA149" s="22"/>
      <c r="BKB149" s="22"/>
      <c r="BKC149" s="22"/>
      <c r="BKD149" s="22"/>
      <c r="BKE149" s="22"/>
      <c r="BKF149" s="22"/>
      <c r="BKG149" s="22"/>
      <c r="BKH149" s="22"/>
      <c r="BKI149" s="22"/>
      <c r="BKJ149" s="22"/>
      <c r="BKK149" s="22"/>
      <c r="BKL149" s="22"/>
      <c r="BKM149" s="22"/>
      <c r="BKN149" s="22"/>
      <c r="BKO149" s="22"/>
      <c r="BKP149" s="22"/>
      <c r="BKQ149" s="22"/>
      <c r="BKR149" s="22"/>
      <c r="BKS149" s="22"/>
      <c r="BKT149" s="22"/>
      <c r="BKU149" s="22"/>
      <c r="BKV149" s="22"/>
      <c r="BKW149" s="22"/>
      <c r="BKX149" s="22"/>
      <c r="BKY149" s="22"/>
      <c r="BKZ149" s="22"/>
      <c r="BLA149" s="22"/>
      <c r="BLB149" s="22"/>
      <c r="BLC149" s="22"/>
      <c r="BLD149" s="22"/>
      <c r="BLE149" s="22"/>
      <c r="BLF149" s="22"/>
      <c r="BLG149" s="22"/>
      <c r="BLH149" s="22"/>
      <c r="BLI149" s="22"/>
      <c r="BLJ149" s="22"/>
      <c r="BLK149" s="22"/>
      <c r="BLL149" s="22"/>
      <c r="BLM149" s="22"/>
      <c r="BLN149" s="22"/>
      <c r="BLO149" s="22"/>
      <c r="BLP149" s="22"/>
      <c r="BLQ149" s="22"/>
      <c r="BLR149" s="22"/>
      <c r="BLS149" s="22"/>
      <c r="BLT149" s="22"/>
      <c r="BLU149" s="22"/>
      <c r="BLV149" s="22"/>
      <c r="BLW149" s="22"/>
      <c r="BLX149" s="22"/>
      <c r="BLY149" s="22"/>
      <c r="BLZ149" s="22"/>
      <c r="BMA149" s="22"/>
      <c r="BMB149" s="22"/>
      <c r="BMC149" s="22"/>
      <c r="BMD149" s="22"/>
      <c r="BME149" s="22"/>
      <c r="BMF149" s="22"/>
      <c r="BMG149" s="22"/>
      <c r="BMH149" s="22"/>
      <c r="BMI149" s="22"/>
      <c r="BMJ149" s="22"/>
      <c r="BMK149" s="22"/>
      <c r="BML149" s="22"/>
      <c r="BMM149" s="22"/>
      <c r="BMN149" s="22"/>
      <c r="BMO149" s="22"/>
      <c r="BMP149" s="22"/>
      <c r="BMQ149" s="22"/>
      <c r="BMR149" s="22"/>
      <c r="BMS149" s="22"/>
      <c r="BMT149" s="22"/>
      <c r="BMU149" s="22"/>
      <c r="BMV149" s="22"/>
      <c r="BMW149" s="22"/>
      <c r="BMX149" s="22"/>
      <c r="BMY149" s="22"/>
      <c r="BMZ149" s="22"/>
      <c r="BNA149" s="22"/>
      <c r="BNB149" s="22"/>
      <c r="BNC149" s="22"/>
      <c r="BND149" s="22"/>
      <c r="BNE149" s="22"/>
      <c r="BNF149" s="22"/>
      <c r="BNG149" s="22"/>
      <c r="BNH149" s="22"/>
      <c r="BNI149" s="22"/>
      <c r="BNJ149" s="22"/>
      <c r="BNK149" s="22"/>
      <c r="BNL149" s="22"/>
      <c r="BNM149" s="22"/>
      <c r="BNN149" s="22"/>
      <c r="BNO149" s="22"/>
      <c r="BNP149" s="22"/>
      <c r="BNQ149" s="22"/>
      <c r="BNR149" s="22"/>
      <c r="BNS149" s="22"/>
      <c r="BNT149" s="22"/>
      <c r="BNU149" s="22"/>
      <c r="BNV149" s="22"/>
      <c r="BNW149" s="22"/>
      <c r="BNX149" s="22"/>
      <c r="BNY149" s="22"/>
      <c r="BNZ149" s="22"/>
      <c r="BOA149" s="22"/>
      <c r="BOB149" s="22"/>
      <c r="BOC149" s="22"/>
      <c r="BOD149" s="22"/>
      <c r="BOE149" s="22"/>
      <c r="BOF149" s="22"/>
      <c r="BOG149" s="22"/>
      <c r="BOH149" s="22"/>
      <c r="BOI149" s="22"/>
      <c r="BOJ149" s="22"/>
      <c r="BOK149" s="22"/>
      <c r="BOL149" s="22"/>
      <c r="BOM149" s="22"/>
      <c r="BON149" s="22"/>
      <c r="BOO149" s="22"/>
      <c r="BOP149" s="22"/>
      <c r="BOQ149" s="22"/>
      <c r="BOR149" s="22"/>
      <c r="BOS149" s="22"/>
      <c r="BOT149" s="22"/>
      <c r="BOU149" s="22"/>
      <c r="BOV149" s="22"/>
      <c r="BOW149" s="22"/>
      <c r="BOX149" s="22"/>
      <c r="BOY149" s="22"/>
      <c r="BOZ149" s="22"/>
      <c r="BPA149" s="22"/>
      <c r="BPB149" s="22"/>
      <c r="BPC149" s="22"/>
      <c r="BPD149" s="22"/>
      <c r="BPE149" s="22"/>
      <c r="BPF149" s="22"/>
      <c r="BPG149" s="22"/>
      <c r="BPH149" s="22"/>
      <c r="BPI149" s="22"/>
      <c r="BPJ149" s="22"/>
      <c r="BPK149" s="22"/>
      <c r="BPL149" s="22"/>
      <c r="BPM149" s="22"/>
      <c r="BPN149" s="22"/>
      <c r="BPO149" s="22"/>
      <c r="BPP149" s="22"/>
      <c r="BPQ149" s="22"/>
      <c r="BPR149" s="22"/>
      <c r="BPS149" s="22"/>
      <c r="BPT149" s="22"/>
      <c r="BPU149" s="22"/>
      <c r="BPV149" s="22"/>
      <c r="BPW149" s="22"/>
      <c r="BPX149" s="22"/>
      <c r="BPY149" s="22"/>
      <c r="BPZ149" s="22"/>
      <c r="BQA149" s="22"/>
      <c r="BQB149" s="22"/>
      <c r="BQC149" s="22"/>
      <c r="BQD149" s="22"/>
      <c r="BQE149" s="22"/>
      <c r="BQF149" s="22"/>
      <c r="BQG149" s="22"/>
      <c r="BQH149" s="22"/>
      <c r="BQI149" s="22"/>
      <c r="BQJ149" s="22"/>
      <c r="BQK149" s="22"/>
      <c r="BQL149" s="22"/>
      <c r="BQM149" s="22"/>
      <c r="BQN149" s="22"/>
      <c r="BQO149" s="22"/>
      <c r="BQP149" s="22"/>
      <c r="BQQ149" s="22"/>
      <c r="BQR149" s="22"/>
      <c r="BQS149" s="22"/>
      <c r="BQT149" s="22"/>
      <c r="BQU149" s="22"/>
      <c r="BQV149" s="22"/>
      <c r="BQW149" s="22"/>
      <c r="BQX149" s="22"/>
      <c r="BQY149" s="22"/>
      <c r="BQZ149" s="22"/>
      <c r="BRA149" s="22"/>
      <c r="BRB149" s="22"/>
      <c r="BRC149" s="22"/>
      <c r="BRD149" s="22"/>
      <c r="BRE149" s="22"/>
      <c r="BRF149" s="22"/>
      <c r="BRG149" s="22"/>
      <c r="BRH149" s="22"/>
      <c r="BRI149" s="22"/>
      <c r="BRJ149" s="22"/>
      <c r="BRK149" s="22"/>
      <c r="BRL149" s="22"/>
      <c r="BRM149" s="22"/>
      <c r="BRN149" s="22"/>
      <c r="BRO149" s="22"/>
      <c r="BRP149" s="22"/>
      <c r="BRQ149" s="22"/>
      <c r="BRR149" s="22"/>
      <c r="BRS149" s="22"/>
      <c r="BRT149" s="22"/>
      <c r="BRU149" s="22"/>
      <c r="BRV149" s="22"/>
      <c r="BRW149" s="22"/>
      <c r="BRX149" s="22"/>
      <c r="BRY149" s="22"/>
      <c r="BRZ149" s="22"/>
      <c r="BSA149" s="22"/>
      <c r="BSB149" s="22"/>
      <c r="BSC149" s="22"/>
      <c r="BSD149" s="22"/>
      <c r="BSE149" s="22"/>
      <c r="BSF149" s="22"/>
      <c r="BSG149" s="22"/>
      <c r="BSH149" s="22"/>
      <c r="BSI149" s="22"/>
      <c r="BSJ149" s="22"/>
      <c r="BSK149" s="22"/>
      <c r="BSL149" s="22"/>
      <c r="BSM149" s="22"/>
      <c r="BSN149" s="22"/>
      <c r="BSO149" s="22"/>
      <c r="BSP149" s="22"/>
      <c r="BSQ149" s="22"/>
      <c r="BSR149" s="22"/>
      <c r="BSS149" s="22"/>
      <c r="BST149" s="22"/>
      <c r="BSU149" s="22"/>
      <c r="BSV149" s="22"/>
      <c r="BSW149" s="22"/>
      <c r="BSX149" s="22"/>
      <c r="BSY149" s="22"/>
      <c r="BSZ149" s="22"/>
      <c r="BTA149" s="22"/>
      <c r="BTB149" s="22"/>
      <c r="BTC149" s="22"/>
      <c r="BTD149" s="22"/>
      <c r="BTE149" s="22"/>
      <c r="BTF149" s="22"/>
      <c r="BTG149" s="22"/>
      <c r="BTH149" s="22"/>
      <c r="BTI149" s="22"/>
      <c r="BTJ149" s="22"/>
      <c r="BTK149" s="22"/>
      <c r="BTL149" s="22"/>
      <c r="BTM149" s="22"/>
      <c r="BTN149" s="22"/>
      <c r="BTO149" s="22"/>
      <c r="BTP149" s="22"/>
      <c r="BTQ149" s="22"/>
      <c r="BTR149" s="22"/>
      <c r="BTS149" s="22"/>
      <c r="BTT149" s="22"/>
      <c r="BTU149" s="22"/>
      <c r="BTV149" s="22"/>
      <c r="BTW149" s="22"/>
      <c r="BTX149" s="22"/>
      <c r="BTY149" s="22"/>
      <c r="BTZ149" s="22"/>
      <c r="BUA149" s="22"/>
      <c r="BUB149" s="22"/>
      <c r="BUC149" s="22"/>
      <c r="BUD149" s="22"/>
      <c r="BUE149" s="22"/>
      <c r="BUF149" s="22"/>
      <c r="BUG149" s="22"/>
      <c r="BUH149" s="22"/>
      <c r="BUI149" s="22"/>
      <c r="BUJ149" s="22"/>
      <c r="BUK149" s="22"/>
      <c r="BUL149" s="22"/>
      <c r="BUM149" s="22"/>
      <c r="BUN149" s="22"/>
      <c r="BUO149" s="22"/>
      <c r="BUP149" s="22"/>
      <c r="BUQ149" s="22"/>
      <c r="BUR149" s="22"/>
      <c r="BUS149" s="22"/>
      <c r="BUT149" s="22"/>
      <c r="BUU149" s="22"/>
      <c r="BUV149" s="22"/>
      <c r="BUW149" s="22"/>
      <c r="BUX149" s="22"/>
      <c r="BUY149" s="22"/>
      <c r="BUZ149" s="22"/>
      <c r="BVA149" s="22"/>
      <c r="BVB149" s="22"/>
      <c r="BVC149" s="22"/>
      <c r="BVD149" s="22"/>
      <c r="BVE149" s="22"/>
      <c r="BVF149" s="22"/>
      <c r="BVG149" s="22"/>
      <c r="BVH149" s="22"/>
      <c r="BVI149" s="22"/>
      <c r="BVJ149" s="22"/>
      <c r="BVK149" s="22"/>
      <c r="BVL149" s="22"/>
      <c r="BVM149" s="22"/>
      <c r="BVN149" s="22"/>
      <c r="BVO149" s="22"/>
      <c r="BVP149" s="22"/>
      <c r="BVQ149" s="22"/>
      <c r="BVR149" s="22"/>
      <c r="BVS149" s="22"/>
      <c r="BVT149" s="22"/>
      <c r="BVU149" s="22"/>
      <c r="BVV149" s="22"/>
      <c r="BVW149" s="22"/>
      <c r="BVX149" s="22"/>
      <c r="BVY149" s="22"/>
      <c r="BVZ149" s="22"/>
      <c r="BWA149" s="22"/>
      <c r="BWB149" s="22"/>
      <c r="BWC149" s="22"/>
      <c r="BWD149" s="22"/>
      <c r="BWE149" s="22"/>
      <c r="BWF149" s="22"/>
      <c r="BWG149" s="22"/>
      <c r="BWH149" s="22"/>
      <c r="BWI149" s="22"/>
      <c r="BWJ149" s="22"/>
      <c r="BWK149" s="22"/>
      <c r="BWL149" s="22"/>
      <c r="BWM149" s="22"/>
      <c r="BWN149" s="22"/>
      <c r="BWO149" s="22"/>
      <c r="BWP149" s="22"/>
      <c r="BWQ149" s="22"/>
      <c r="BWR149" s="22"/>
      <c r="BWS149" s="22"/>
      <c r="BWT149" s="22"/>
      <c r="BWU149" s="22"/>
      <c r="BWV149" s="22"/>
      <c r="BWW149" s="22"/>
      <c r="BWX149" s="22"/>
      <c r="BWY149" s="22"/>
      <c r="BWZ149" s="22"/>
      <c r="BXA149" s="22"/>
      <c r="BXB149" s="22"/>
      <c r="BXC149" s="22"/>
      <c r="BXD149" s="22"/>
      <c r="BXE149" s="22"/>
      <c r="BXF149" s="22"/>
      <c r="BXG149" s="22"/>
      <c r="BXH149" s="22"/>
      <c r="BXI149" s="22"/>
      <c r="BXJ149" s="22"/>
      <c r="BXK149" s="22"/>
      <c r="BXL149" s="22"/>
      <c r="BXM149" s="22"/>
      <c r="BXN149" s="22"/>
      <c r="BXO149" s="22"/>
      <c r="BXP149" s="22"/>
      <c r="BXQ149" s="22"/>
      <c r="BXR149" s="22"/>
      <c r="BXS149" s="22"/>
      <c r="BXT149" s="22"/>
      <c r="BXU149" s="22"/>
      <c r="BXV149" s="22"/>
      <c r="BXW149" s="22"/>
      <c r="BXX149" s="22"/>
      <c r="BXY149" s="22"/>
      <c r="BXZ149" s="22"/>
      <c r="BYA149" s="22"/>
      <c r="BYB149" s="22"/>
      <c r="BYC149" s="22"/>
      <c r="BYD149" s="22"/>
      <c r="BYE149" s="22"/>
      <c r="BYF149" s="22"/>
      <c r="BYG149" s="22"/>
      <c r="BYH149" s="22"/>
      <c r="BYI149" s="22"/>
      <c r="BYJ149" s="22"/>
      <c r="BYK149" s="22"/>
      <c r="BYL149" s="22"/>
      <c r="BYM149" s="22"/>
      <c r="BYN149" s="22"/>
      <c r="BYO149" s="22"/>
      <c r="BYP149" s="22"/>
      <c r="BYQ149" s="22"/>
      <c r="BYR149" s="22"/>
      <c r="BYS149" s="22"/>
      <c r="BYT149" s="22"/>
      <c r="BYU149" s="22"/>
      <c r="BYV149" s="22"/>
      <c r="BYW149" s="22"/>
      <c r="BYX149" s="22"/>
      <c r="BYY149" s="22"/>
      <c r="BYZ149" s="22"/>
      <c r="BZA149" s="22"/>
      <c r="BZB149" s="22"/>
      <c r="BZC149" s="22"/>
      <c r="BZD149" s="22"/>
      <c r="BZE149" s="22"/>
      <c r="BZF149" s="22"/>
      <c r="BZG149" s="22"/>
      <c r="BZH149" s="22"/>
      <c r="BZI149" s="22"/>
      <c r="BZJ149" s="22"/>
      <c r="BZK149" s="22"/>
      <c r="BZL149" s="22"/>
      <c r="BZM149" s="22"/>
      <c r="BZN149" s="22"/>
      <c r="BZO149" s="22"/>
      <c r="BZP149" s="22"/>
      <c r="BZQ149" s="22"/>
      <c r="BZR149" s="22"/>
      <c r="BZS149" s="22"/>
      <c r="BZT149" s="22"/>
      <c r="BZU149" s="22"/>
      <c r="BZV149" s="22"/>
      <c r="BZW149" s="22"/>
      <c r="BZX149" s="22"/>
      <c r="BZY149" s="22"/>
      <c r="BZZ149" s="22"/>
      <c r="CAA149" s="22"/>
      <c r="CAB149" s="22"/>
      <c r="CAC149" s="22"/>
      <c r="CAD149" s="22"/>
      <c r="CAE149" s="22"/>
      <c r="CAF149" s="22"/>
      <c r="CAG149" s="22"/>
      <c r="CAH149" s="22"/>
      <c r="CAI149" s="22"/>
      <c r="CAJ149" s="22"/>
      <c r="CAK149" s="22"/>
      <c r="CAL149" s="22"/>
      <c r="CAM149" s="22"/>
      <c r="CAN149" s="22"/>
      <c r="CAO149" s="22"/>
      <c r="CAP149" s="22"/>
      <c r="CAQ149" s="22"/>
      <c r="CAR149" s="22"/>
      <c r="CAS149" s="22"/>
      <c r="CAT149" s="22"/>
      <c r="CAU149" s="22"/>
      <c r="CAV149" s="22"/>
      <c r="CAW149" s="22"/>
      <c r="CAX149" s="22"/>
      <c r="CAY149" s="22"/>
      <c r="CAZ149" s="22"/>
      <c r="CBA149" s="22"/>
      <c r="CBB149" s="22"/>
      <c r="CBC149" s="22"/>
      <c r="CBD149" s="22"/>
      <c r="CBE149" s="22"/>
      <c r="CBF149" s="22"/>
      <c r="CBG149" s="22"/>
      <c r="CBH149" s="22"/>
      <c r="CBI149" s="22"/>
      <c r="CBJ149" s="22"/>
      <c r="CBK149" s="22"/>
      <c r="CBL149" s="22"/>
      <c r="CBM149" s="22"/>
      <c r="CBN149" s="22"/>
      <c r="CBO149" s="22"/>
      <c r="CBP149" s="22"/>
      <c r="CBQ149" s="22"/>
      <c r="CBR149" s="22"/>
      <c r="CBS149" s="22"/>
      <c r="CBT149" s="22"/>
      <c r="CBU149" s="22"/>
      <c r="CBV149" s="22"/>
      <c r="CBW149" s="22"/>
      <c r="CBX149" s="22"/>
      <c r="CBY149" s="22"/>
      <c r="CBZ149" s="22"/>
      <c r="CCA149" s="22"/>
      <c r="CCB149" s="22"/>
      <c r="CCC149" s="22"/>
      <c r="CCD149" s="22"/>
      <c r="CCE149" s="22"/>
      <c r="CCF149" s="22"/>
      <c r="CCG149" s="22"/>
      <c r="CCH149" s="22"/>
      <c r="CCI149" s="22"/>
      <c r="CCJ149" s="22"/>
      <c r="CCK149" s="22"/>
      <c r="CCL149" s="22"/>
      <c r="CCM149" s="22"/>
      <c r="CCN149" s="22"/>
      <c r="CCO149" s="22"/>
      <c r="CCP149" s="22"/>
      <c r="CCQ149" s="22"/>
      <c r="CCR149" s="22"/>
      <c r="CCS149" s="22"/>
      <c r="CCT149" s="22"/>
      <c r="CCU149" s="22"/>
      <c r="CCV149" s="22"/>
      <c r="CCW149" s="22"/>
      <c r="CCX149" s="22"/>
      <c r="CCY149" s="22"/>
      <c r="CCZ149" s="22"/>
      <c r="CDA149" s="22"/>
      <c r="CDB149" s="22"/>
      <c r="CDC149" s="22"/>
      <c r="CDD149" s="22"/>
      <c r="CDE149" s="22"/>
      <c r="CDF149" s="22"/>
      <c r="CDG149" s="22"/>
      <c r="CDH149" s="22"/>
      <c r="CDI149" s="22"/>
      <c r="CDJ149" s="22"/>
      <c r="CDK149" s="22"/>
      <c r="CDL149" s="22"/>
      <c r="CDM149" s="22"/>
      <c r="CDN149" s="22"/>
      <c r="CDO149" s="22"/>
      <c r="CDP149" s="22"/>
      <c r="CDQ149" s="22"/>
      <c r="CDR149" s="22"/>
      <c r="CDS149" s="22"/>
      <c r="CDT149" s="22"/>
      <c r="CDU149" s="22"/>
      <c r="CDV149" s="22"/>
      <c r="CDW149" s="22"/>
      <c r="CDX149" s="22"/>
      <c r="CDY149" s="22"/>
      <c r="CDZ149" s="22"/>
      <c r="CEA149" s="22"/>
      <c r="CEB149" s="22"/>
      <c r="CEC149" s="22"/>
      <c r="CED149" s="22"/>
      <c r="CEE149" s="22"/>
      <c r="CEF149" s="22"/>
      <c r="CEG149" s="22"/>
      <c r="CEH149" s="22"/>
      <c r="CEI149" s="22"/>
      <c r="CEJ149" s="22"/>
      <c r="CEK149" s="22"/>
      <c r="CEL149" s="22"/>
      <c r="CEM149" s="22"/>
      <c r="CEN149" s="22"/>
      <c r="CEO149" s="22"/>
      <c r="CEP149" s="22"/>
      <c r="CEQ149" s="22"/>
      <c r="CER149" s="22"/>
      <c r="CES149" s="22"/>
      <c r="CET149" s="22"/>
      <c r="CEU149" s="22"/>
      <c r="CEV149" s="22"/>
      <c r="CEW149" s="22"/>
      <c r="CEX149" s="22"/>
      <c r="CEY149" s="22"/>
      <c r="CEZ149" s="22"/>
      <c r="CFA149" s="22"/>
      <c r="CFB149" s="22"/>
      <c r="CFC149" s="22"/>
      <c r="CFD149" s="22"/>
      <c r="CFE149" s="22"/>
      <c r="CFF149" s="22"/>
      <c r="CFG149" s="22"/>
      <c r="CFH149" s="22"/>
      <c r="CFI149" s="22"/>
      <c r="CFJ149" s="22"/>
      <c r="CFK149" s="22"/>
      <c r="CFL149" s="22"/>
      <c r="CFM149" s="22"/>
      <c r="CFN149" s="22"/>
      <c r="CFO149" s="22"/>
      <c r="CFP149" s="22"/>
      <c r="CFQ149" s="22"/>
      <c r="CFR149" s="22"/>
      <c r="CFS149" s="22"/>
      <c r="CFT149" s="22"/>
      <c r="CFU149" s="22"/>
      <c r="CFV149" s="22"/>
      <c r="CFW149" s="22"/>
      <c r="CFX149" s="22"/>
      <c r="CFY149" s="22"/>
      <c r="CFZ149" s="22"/>
      <c r="CGA149" s="22"/>
      <c r="CGB149" s="22"/>
      <c r="CGC149" s="22"/>
      <c r="CGD149" s="22"/>
      <c r="CGE149" s="22"/>
      <c r="CGF149" s="22"/>
      <c r="CGG149" s="22"/>
      <c r="CGH149" s="22"/>
      <c r="CGI149" s="22"/>
      <c r="CGJ149" s="22"/>
      <c r="CGK149" s="22"/>
      <c r="CGL149" s="22"/>
      <c r="CGM149" s="22"/>
      <c r="CGN149" s="22"/>
      <c r="CGO149" s="22"/>
      <c r="CGP149" s="22"/>
      <c r="CGQ149" s="22"/>
      <c r="CGR149" s="22"/>
      <c r="CGS149" s="22"/>
      <c r="CGT149" s="22"/>
      <c r="CGU149" s="22"/>
      <c r="CGV149" s="22"/>
      <c r="CGW149" s="22"/>
      <c r="CGX149" s="22"/>
      <c r="CGY149" s="22"/>
      <c r="CGZ149" s="22"/>
      <c r="CHA149" s="22"/>
      <c r="CHB149" s="22"/>
      <c r="CHC149" s="22"/>
      <c r="CHD149" s="22"/>
      <c r="CHE149" s="22"/>
      <c r="CHF149" s="22"/>
      <c r="CHG149" s="22"/>
      <c r="CHH149" s="22"/>
      <c r="CHI149" s="22"/>
      <c r="CHJ149" s="22"/>
      <c r="CHK149" s="22"/>
      <c r="CHL149" s="22"/>
      <c r="CHM149" s="22"/>
      <c r="CHN149" s="22"/>
      <c r="CHO149" s="22"/>
      <c r="CHP149" s="22"/>
      <c r="CHQ149" s="22"/>
      <c r="CHR149" s="22"/>
      <c r="CHS149" s="22"/>
      <c r="CHT149" s="22"/>
      <c r="CHU149" s="22"/>
      <c r="CHV149" s="22"/>
      <c r="CHW149" s="22"/>
      <c r="CHX149" s="22"/>
      <c r="CHY149" s="22"/>
      <c r="CHZ149" s="22"/>
      <c r="CIA149" s="22"/>
      <c r="CIB149" s="22"/>
      <c r="CIC149" s="22"/>
      <c r="CID149" s="22"/>
      <c r="CIE149" s="22"/>
      <c r="CIF149" s="22"/>
      <c r="CIG149" s="22"/>
      <c r="CIH149" s="22"/>
      <c r="CII149" s="22"/>
      <c r="CIJ149" s="22"/>
      <c r="CIK149" s="22"/>
      <c r="CIL149" s="22"/>
      <c r="CIM149" s="22"/>
      <c r="CIN149" s="22"/>
      <c r="CIO149" s="22"/>
      <c r="CIP149" s="22"/>
      <c r="CIQ149" s="22"/>
      <c r="CIR149" s="22"/>
      <c r="CIS149" s="22"/>
      <c r="CIT149" s="22"/>
      <c r="CIU149" s="22"/>
      <c r="CIV149" s="22"/>
      <c r="CIW149" s="22"/>
      <c r="CIX149" s="22"/>
      <c r="CIY149" s="22"/>
      <c r="CIZ149" s="22"/>
      <c r="CJA149" s="22"/>
      <c r="CJB149" s="22"/>
      <c r="CJC149" s="22"/>
      <c r="CJD149" s="22"/>
      <c r="CJE149" s="22"/>
      <c r="CJF149" s="22"/>
      <c r="CJG149" s="22"/>
      <c r="CJH149" s="22"/>
      <c r="CJI149" s="22"/>
      <c r="CJJ149" s="22"/>
      <c r="CJK149" s="22"/>
      <c r="CJL149" s="22"/>
      <c r="CJM149" s="22"/>
      <c r="CJN149" s="22"/>
      <c r="CJO149" s="22"/>
      <c r="CJP149" s="22"/>
      <c r="CJQ149" s="22"/>
      <c r="CJR149" s="22"/>
      <c r="CJS149" s="22"/>
      <c r="CJT149" s="22"/>
      <c r="CJU149" s="22"/>
      <c r="CJV149" s="22"/>
      <c r="CJW149" s="22"/>
      <c r="CJX149" s="22"/>
      <c r="CJY149" s="22"/>
      <c r="CJZ149" s="22"/>
      <c r="CKA149" s="22"/>
      <c r="CKB149" s="22"/>
      <c r="CKC149" s="22"/>
      <c r="CKD149" s="22"/>
      <c r="CKE149" s="22"/>
      <c r="CKF149" s="22"/>
      <c r="CKG149" s="22"/>
      <c r="CKH149" s="22"/>
      <c r="CKI149" s="22"/>
      <c r="CKJ149" s="22"/>
      <c r="CKK149" s="22"/>
      <c r="CKL149" s="22"/>
      <c r="CKM149" s="22"/>
      <c r="CKN149" s="22"/>
      <c r="CKO149" s="22"/>
      <c r="CKP149" s="22"/>
      <c r="CKQ149" s="22"/>
      <c r="CKR149" s="22"/>
      <c r="CKS149" s="22"/>
      <c r="CKT149" s="22"/>
      <c r="CKU149" s="22"/>
      <c r="CKV149" s="22"/>
      <c r="CKW149" s="22"/>
      <c r="CKX149" s="22"/>
      <c r="CKY149" s="22"/>
      <c r="CKZ149" s="22"/>
      <c r="CLA149" s="22"/>
      <c r="CLB149" s="22"/>
      <c r="CLC149" s="22"/>
      <c r="CLD149" s="22"/>
      <c r="CLE149" s="22"/>
      <c r="CLF149" s="22"/>
      <c r="CLG149" s="22"/>
      <c r="CLH149" s="22"/>
      <c r="CLI149" s="22"/>
      <c r="CLJ149" s="22"/>
      <c r="CLK149" s="22"/>
      <c r="CLL149" s="22"/>
      <c r="CLM149" s="22"/>
      <c r="CLN149" s="22"/>
      <c r="CLO149" s="22"/>
      <c r="CLP149" s="22"/>
      <c r="CLQ149" s="22"/>
      <c r="CLR149" s="22"/>
      <c r="CLS149" s="22"/>
      <c r="CLT149" s="22"/>
      <c r="CLU149" s="22"/>
      <c r="CLV149" s="22"/>
      <c r="CLW149" s="22"/>
      <c r="CLX149" s="22"/>
      <c r="CLY149" s="22"/>
      <c r="CLZ149" s="22"/>
      <c r="CMA149" s="22"/>
      <c r="CMB149" s="22"/>
      <c r="CMC149" s="22"/>
      <c r="CMD149" s="22"/>
      <c r="CME149" s="22"/>
      <c r="CMF149" s="22"/>
      <c r="CMG149" s="22"/>
      <c r="CMH149" s="22"/>
      <c r="CMI149" s="22"/>
      <c r="CMJ149" s="22"/>
      <c r="CMK149" s="22"/>
      <c r="CML149" s="22"/>
      <c r="CMM149" s="22"/>
      <c r="CMN149" s="22"/>
      <c r="CMO149" s="22"/>
      <c r="CMP149" s="22"/>
      <c r="CMQ149" s="22"/>
      <c r="CMR149" s="22"/>
      <c r="CMS149" s="22"/>
      <c r="CMT149" s="22"/>
      <c r="CMU149" s="22"/>
      <c r="CMV149" s="22"/>
      <c r="CMW149" s="22"/>
      <c r="CMX149" s="22"/>
      <c r="CMY149" s="22"/>
      <c r="CMZ149" s="22"/>
      <c r="CNA149" s="22"/>
      <c r="CNB149" s="22"/>
      <c r="CNC149" s="22"/>
      <c r="CND149" s="22"/>
      <c r="CNE149" s="22"/>
      <c r="CNF149" s="22"/>
      <c r="CNG149" s="22"/>
      <c r="CNH149" s="22"/>
      <c r="CNI149" s="22"/>
      <c r="CNJ149" s="22"/>
      <c r="CNK149" s="22"/>
      <c r="CNL149" s="22"/>
      <c r="CNM149" s="22"/>
      <c r="CNN149" s="22"/>
      <c r="CNO149" s="22"/>
      <c r="CNP149" s="22"/>
      <c r="CNQ149" s="22"/>
      <c r="CNR149" s="22"/>
      <c r="CNS149" s="22"/>
      <c r="CNT149" s="22"/>
      <c r="CNU149" s="22"/>
      <c r="CNV149" s="22"/>
      <c r="CNW149" s="22"/>
      <c r="CNX149" s="22"/>
      <c r="CNY149" s="22"/>
      <c r="CNZ149" s="22"/>
      <c r="COA149" s="22"/>
      <c r="COB149" s="22"/>
      <c r="COC149" s="22"/>
      <c r="COD149" s="22"/>
      <c r="COE149" s="22"/>
      <c r="COF149" s="22"/>
      <c r="COG149" s="22"/>
      <c r="COH149" s="22"/>
      <c r="COI149" s="22"/>
      <c r="COJ149" s="22"/>
      <c r="COK149" s="22"/>
      <c r="COL149" s="22"/>
      <c r="COM149" s="22"/>
      <c r="CON149" s="22"/>
      <c r="COO149" s="22"/>
      <c r="COP149" s="22"/>
      <c r="COQ149" s="22"/>
      <c r="COR149" s="22"/>
      <c r="COS149" s="22"/>
      <c r="COT149" s="22"/>
      <c r="COU149" s="22"/>
      <c r="COV149" s="22"/>
      <c r="COW149" s="22"/>
      <c r="COX149" s="22"/>
      <c r="COY149" s="22"/>
      <c r="COZ149" s="22"/>
      <c r="CPA149" s="22"/>
      <c r="CPB149" s="22"/>
      <c r="CPC149" s="22"/>
      <c r="CPD149" s="22"/>
      <c r="CPE149" s="22"/>
      <c r="CPF149" s="22"/>
      <c r="CPG149" s="22"/>
      <c r="CPH149" s="22"/>
      <c r="CPI149" s="22"/>
      <c r="CPJ149" s="22"/>
      <c r="CPK149" s="22"/>
      <c r="CPL149" s="22"/>
      <c r="CPM149" s="22"/>
      <c r="CPN149" s="22"/>
      <c r="CPO149" s="22"/>
      <c r="CPP149" s="22"/>
      <c r="CPQ149" s="22"/>
      <c r="CPR149" s="22"/>
      <c r="CPS149" s="22"/>
      <c r="CPT149" s="22"/>
      <c r="CPU149" s="22"/>
      <c r="CPV149" s="22"/>
      <c r="CPW149" s="22"/>
      <c r="CPX149" s="22"/>
      <c r="CPY149" s="22"/>
      <c r="CPZ149" s="22"/>
      <c r="CQA149" s="22"/>
      <c r="CQB149" s="22"/>
      <c r="CQC149" s="22"/>
      <c r="CQD149" s="22"/>
      <c r="CQE149" s="22"/>
      <c r="CQF149" s="22"/>
      <c r="CQG149" s="22"/>
      <c r="CQH149" s="22"/>
      <c r="CQI149" s="22"/>
      <c r="CQJ149" s="22"/>
      <c r="CQK149" s="22"/>
      <c r="CQL149" s="22"/>
      <c r="CQM149" s="22"/>
      <c r="CQN149" s="22"/>
      <c r="CQO149" s="22"/>
      <c r="CQP149" s="22"/>
      <c r="CQQ149" s="22"/>
      <c r="CQR149" s="22"/>
      <c r="CQS149" s="22"/>
      <c r="CQT149" s="22"/>
      <c r="CQU149" s="22"/>
      <c r="CQV149" s="22"/>
      <c r="CQW149" s="22"/>
      <c r="CQX149" s="22"/>
      <c r="CQY149" s="22"/>
      <c r="CQZ149" s="22"/>
      <c r="CRA149" s="22"/>
      <c r="CRB149" s="22"/>
      <c r="CRC149" s="22"/>
      <c r="CRD149" s="22"/>
      <c r="CRE149" s="22"/>
      <c r="CRF149" s="22"/>
      <c r="CRG149" s="22"/>
      <c r="CRH149" s="22"/>
      <c r="CRI149" s="22"/>
      <c r="CRJ149" s="22"/>
      <c r="CRK149" s="22"/>
      <c r="CRL149" s="22"/>
      <c r="CRM149" s="22"/>
      <c r="CRN149" s="22"/>
      <c r="CRO149" s="22"/>
      <c r="CRP149" s="22"/>
      <c r="CRQ149" s="22"/>
      <c r="CRR149" s="22"/>
      <c r="CRS149" s="22"/>
      <c r="CRT149" s="22"/>
      <c r="CRU149" s="22"/>
      <c r="CRV149" s="22"/>
      <c r="CRW149" s="22"/>
      <c r="CRX149" s="22"/>
      <c r="CRY149" s="22"/>
      <c r="CRZ149" s="22"/>
      <c r="CSA149" s="22"/>
      <c r="CSB149" s="22"/>
      <c r="CSC149" s="22"/>
      <c r="CSD149" s="22"/>
      <c r="CSE149" s="22"/>
      <c r="CSF149" s="22"/>
      <c r="CSG149" s="22"/>
      <c r="CSH149" s="22"/>
      <c r="CSI149" s="22"/>
      <c r="CSJ149" s="22"/>
      <c r="CSK149" s="22"/>
      <c r="CSL149" s="22"/>
      <c r="CSM149" s="22"/>
      <c r="CSN149" s="22"/>
      <c r="CSO149" s="22"/>
      <c r="CSP149" s="22"/>
      <c r="CSQ149" s="22"/>
      <c r="CSR149" s="22"/>
      <c r="CSS149" s="22"/>
      <c r="CST149" s="22"/>
      <c r="CSU149" s="22"/>
      <c r="CSV149" s="22"/>
      <c r="CSW149" s="22"/>
      <c r="CSX149" s="22"/>
      <c r="CSY149" s="22"/>
      <c r="CSZ149" s="22"/>
      <c r="CTA149" s="22"/>
      <c r="CTB149" s="22"/>
      <c r="CTC149" s="22"/>
      <c r="CTD149" s="22"/>
      <c r="CTE149" s="22"/>
      <c r="CTF149" s="22"/>
      <c r="CTG149" s="22"/>
      <c r="CTH149" s="22"/>
      <c r="CTI149" s="22"/>
      <c r="CTJ149" s="22"/>
      <c r="CTK149" s="22"/>
      <c r="CTL149" s="22"/>
      <c r="CTM149" s="22"/>
      <c r="CTN149" s="22"/>
      <c r="CTO149" s="22"/>
      <c r="CTP149" s="22"/>
      <c r="CTQ149" s="22"/>
      <c r="CTR149" s="22"/>
      <c r="CTS149" s="22"/>
      <c r="CTT149" s="22"/>
      <c r="CTU149" s="22"/>
      <c r="CTV149" s="22"/>
      <c r="CTW149" s="22"/>
      <c r="CTX149" s="22"/>
      <c r="CTY149" s="22"/>
      <c r="CTZ149" s="22"/>
      <c r="CUA149" s="22"/>
      <c r="CUB149" s="22"/>
      <c r="CUC149" s="22"/>
      <c r="CUD149" s="22"/>
      <c r="CUE149" s="22"/>
      <c r="CUF149" s="22"/>
      <c r="CUG149" s="22"/>
      <c r="CUH149" s="22"/>
      <c r="CUI149" s="22"/>
      <c r="CUJ149" s="22"/>
      <c r="CUK149" s="22"/>
      <c r="CUL149" s="22"/>
      <c r="CUM149" s="22"/>
      <c r="CUN149" s="22"/>
      <c r="CUO149" s="22"/>
      <c r="CUP149" s="22"/>
      <c r="CUQ149" s="22"/>
      <c r="CUR149" s="22"/>
      <c r="CUS149" s="22"/>
      <c r="CUT149" s="22"/>
      <c r="CUU149" s="22"/>
      <c r="CUV149" s="22"/>
      <c r="CUW149" s="22"/>
      <c r="CUX149" s="22"/>
      <c r="CUY149" s="22"/>
      <c r="CUZ149" s="22"/>
      <c r="CVA149" s="22"/>
      <c r="CVB149" s="22"/>
      <c r="CVC149" s="22"/>
      <c r="CVD149" s="22"/>
      <c r="CVE149" s="22"/>
      <c r="CVF149" s="22"/>
      <c r="CVG149" s="22"/>
      <c r="CVH149" s="22"/>
      <c r="CVI149" s="22"/>
      <c r="CVJ149" s="22"/>
      <c r="CVK149" s="22"/>
      <c r="CVL149" s="22"/>
      <c r="CVM149" s="22"/>
      <c r="CVN149" s="22"/>
      <c r="CVO149" s="22"/>
      <c r="CVP149" s="22"/>
      <c r="CVQ149" s="22"/>
      <c r="CVR149" s="22"/>
      <c r="CVS149" s="22"/>
      <c r="CVT149" s="22"/>
      <c r="CVU149" s="22"/>
      <c r="CVV149" s="22"/>
      <c r="CVW149" s="22"/>
      <c r="CVX149" s="22"/>
      <c r="CVY149" s="22"/>
      <c r="CVZ149" s="22"/>
      <c r="CWA149" s="22"/>
      <c r="CWB149" s="22"/>
      <c r="CWC149" s="22"/>
      <c r="CWD149" s="22"/>
      <c r="CWE149" s="22"/>
      <c r="CWF149" s="22"/>
      <c r="CWG149" s="22"/>
      <c r="CWH149" s="22"/>
      <c r="CWI149" s="22"/>
      <c r="CWJ149" s="22"/>
      <c r="CWK149" s="22"/>
      <c r="CWL149" s="22"/>
      <c r="CWM149" s="22"/>
      <c r="CWN149" s="22"/>
      <c r="CWO149" s="22"/>
      <c r="CWP149" s="22"/>
      <c r="CWQ149" s="22"/>
      <c r="CWR149" s="22"/>
      <c r="CWS149" s="22"/>
      <c r="CWT149" s="22"/>
      <c r="CWU149" s="22"/>
      <c r="CWV149" s="22"/>
      <c r="CWW149" s="22"/>
      <c r="CWX149" s="22"/>
      <c r="CWY149" s="22"/>
      <c r="CWZ149" s="22"/>
      <c r="CXA149" s="22"/>
      <c r="CXB149" s="22"/>
      <c r="CXC149" s="22"/>
      <c r="CXD149" s="22"/>
      <c r="CXE149" s="22"/>
      <c r="CXF149" s="22"/>
      <c r="CXG149" s="22"/>
      <c r="CXH149" s="22"/>
      <c r="CXI149" s="22"/>
      <c r="CXJ149" s="22"/>
      <c r="CXK149" s="22"/>
      <c r="CXL149" s="22"/>
      <c r="CXM149" s="22"/>
      <c r="CXN149" s="22"/>
      <c r="CXO149" s="22"/>
      <c r="CXP149" s="22"/>
      <c r="CXQ149" s="22"/>
      <c r="CXR149" s="22"/>
      <c r="CXS149" s="22"/>
      <c r="CXT149" s="22"/>
      <c r="CXU149" s="22"/>
      <c r="CXV149" s="22"/>
      <c r="CXW149" s="22"/>
      <c r="CXX149" s="22"/>
      <c r="CXY149" s="22"/>
      <c r="CXZ149" s="22"/>
      <c r="CYA149" s="22"/>
      <c r="CYB149" s="22"/>
      <c r="CYC149" s="22"/>
      <c r="CYD149" s="22"/>
      <c r="CYE149" s="22"/>
      <c r="CYF149" s="22"/>
      <c r="CYG149" s="22"/>
      <c r="CYH149" s="22"/>
      <c r="CYI149" s="22"/>
      <c r="CYJ149" s="22"/>
      <c r="CYK149" s="22"/>
      <c r="CYL149" s="22"/>
      <c r="CYM149" s="22"/>
      <c r="CYN149" s="22"/>
      <c r="CYO149" s="22"/>
      <c r="CYP149" s="22"/>
      <c r="CYQ149" s="22"/>
      <c r="CYR149" s="22"/>
      <c r="CYS149" s="22"/>
      <c r="CYT149" s="22"/>
      <c r="CYU149" s="22"/>
      <c r="CYV149" s="22"/>
      <c r="CYW149" s="22"/>
      <c r="CYX149" s="22"/>
      <c r="CYY149" s="22"/>
      <c r="CYZ149" s="22"/>
      <c r="CZA149" s="22"/>
      <c r="CZB149" s="22"/>
      <c r="CZC149" s="22"/>
      <c r="CZD149" s="22"/>
      <c r="CZE149" s="22"/>
      <c r="CZF149" s="22"/>
      <c r="CZG149" s="22"/>
      <c r="CZH149" s="22"/>
      <c r="CZI149" s="22"/>
      <c r="CZJ149" s="22"/>
      <c r="CZK149" s="22"/>
      <c r="CZL149" s="22"/>
      <c r="CZM149" s="22"/>
      <c r="CZN149" s="22"/>
      <c r="CZO149" s="22"/>
      <c r="CZP149" s="22"/>
      <c r="CZQ149" s="22"/>
      <c r="CZR149" s="22"/>
      <c r="CZS149" s="22"/>
      <c r="CZT149" s="22"/>
      <c r="CZU149" s="22"/>
      <c r="CZV149" s="22"/>
      <c r="CZW149" s="22"/>
      <c r="CZX149" s="22"/>
      <c r="CZY149" s="22"/>
      <c r="CZZ149" s="22"/>
      <c r="DAA149" s="22"/>
      <c r="DAB149" s="22"/>
      <c r="DAC149" s="22"/>
      <c r="DAD149" s="22"/>
      <c r="DAE149" s="22"/>
      <c r="DAF149" s="22"/>
      <c r="DAG149" s="22"/>
      <c r="DAH149" s="22"/>
      <c r="DAI149" s="22"/>
      <c r="DAJ149" s="22"/>
      <c r="DAK149" s="22"/>
      <c r="DAL149" s="22"/>
      <c r="DAM149" s="22"/>
      <c r="DAN149" s="22"/>
      <c r="DAO149" s="22"/>
      <c r="DAP149" s="22"/>
      <c r="DAQ149" s="22"/>
      <c r="DAR149" s="22"/>
      <c r="DAS149" s="22"/>
      <c r="DAT149" s="22"/>
      <c r="DAU149" s="22"/>
      <c r="DAV149" s="22"/>
      <c r="DAW149" s="22"/>
      <c r="DAX149" s="22"/>
      <c r="DAY149" s="22"/>
      <c r="DAZ149" s="22"/>
      <c r="DBA149" s="22"/>
      <c r="DBB149" s="22"/>
      <c r="DBC149" s="22"/>
      <c r="DBD149" s="22"/>
      <c r="DBE149" s="22"/>
      <c r="DBF149" s="22"/>
      <c r="DBG149" s="22"/>
      <c r="DBH149" s="22"/>
      <c r="DBI149" s="22"/>
      <c r="DBJ149" s="22"/>
      <c r="DBK149" s="22"/>
      <c r="DBL149" s="22"/>
      <c r="DBM149" s="22"/>
      <c r="DBN149" s="22"/>
      <c r="DBO149" s="22"/>
      <c r="DBP149" s="22"/>
      <c r="DBQ149" s="22"/>
      <c r="DBR149" s="22"/>
      <c r="DBS149" s="22"/>
      <c r="DBT149" s="22"/>
      <c r="DBU149" s="22"/>
      <c r="DBV149" s="22"/>
      <c r="DBW149" s="22"/>
      <c r="DBX149" s="22"/>
      <c r="DBY149" s="22"/>
      <c r="DBZ149" s="22"/>
      <c r="DCA149" s="22"/>
      <c r="DCB149" s="22"/>
      <c r="DCC149" s="22"/>
      <c r="DCD149" s="22"/>
      <c r="DCE149" s="22"/>
      <c r="DCF149" s="22"/>
      <c r="DCG149" s="22"/>
      <c r="DCH149" s="22"/>
      <c r="DCI149" s="22"/>
      <c r="DCJ149" s="22"/>
      <c r="DCK149" s="22"/>
      <c r="DCL149" s="22"/>
      <c r="DCM149" s="22"/>
      <c r="DCN149" s="22"/>
      <c r="DCO149" s="22"/>
      <c r="DCP149" s="22"/>
      <c r="DCQ149" s="22"/>
      <c r="DCR149" s="22"/>
      <c r="DCS149" s="22"/>
      <c r="DCT149" s="22"/>
      <c r="DCU149" s="22"/>
      <c r="DCV149" s="22"/>
      <c r="DCW149" s="22"/>
      <c r="DCX149" s="22"/>
      <c r="DCY149" s="22"/>
      <c r="DCZ149" s="22"/>
      <c r="DDA149" s="22"/>
      <c r="DDB149" s="22"/>
      <c r="DDC149" s="22"/>
      <c r="DDD149" s="22"/>
      <c r="DDE149" s="22"/>
      <c r="DDF149" s="22"/>
      <c r="DDG149" s="22"/>
      <c r="DDH149" s="22"/>
      <c r="DDI149" s="22"/>
      <c r="DDJ149" s="22"/>
      <c r="DDK149" s="22"/>
      <c r="DDL149" s="22"/>
      <c r="DDM149" s="22"/>
      <c r="DDN149" s="22"/>
      <c r="DDO149" s="22"/>
      <c r="DDP149" s="22"/>
      <c r="DDQ149" s="22"/>
      <c r="DDR149" s="22"/>
      <c r="DDS149" s="22"/>
      <c r="DDT149" s="22"/>
      <c r="DDU149" s="22"/>
      <c r="DDV149" s="22"/>
      <c r="DDW149" s="22"/>
      <c r="DDX149" s="22"/>
      <c r="DDY149" s="22"/>
      <c r="DDZ149" s="22"/>
      <c r="DEA149" s="22"/>
      <c r="DEB149" s="22"/>
      <c r="DEC149" s="22"/>
      <c r="DED149" s="22"/>
      <c r="DEE149" s="22"/>
      <c r="DEF149" s="22"/>
      <c r="DEG149" s="22"/>
      <c r="DEH149" s="22"/>
      <c r="DEI149" s="22"/>
      <c r="DEJ149" s="22"/>
      <c r="DEK149" s="22"/>
      <c r="DEL149" s="22"/>
      <c r="DEM149" s="22"/>
      <c r="DEN149" s="22"/>
      <c r="DEO149" s="22"/>
      <c r="DEP149" s="22"/>
      <c r="DEQ149" s="22"/>
      <c r="DER149" s="22"/>
      <c r="DES149" s="22"/>
      <c r="DET149" s="22"/>
      <c r="DEU149" s="22"/>
      <c r="DEV149" s="22"/>
      <c r="DEW149" s="22"/>
      <c r="DEX149" s="22"/>
      <c r="DEY149" s="22"/>
      <c r="DEZ149" s="22"/>
      <c r="DFA149" s="22"/>
      <c r="DFB149" s="22"/>
      <c r="DFC149" s="22"/>
      <c r="DFD149" s="22"/>
      <c r="DFE149" s="22"/>
      <c r="DFF149" s="22"/>
      <c r="DFG149" s="22"/>
      <c r="DFH149" s="22"/>
      <c r="DFI149" s="22"/>
      <c r="DFJ149" s="22"/>
      <c r="DFK149" s="22"/>
      <c r="DFL149" s="22"/>
      <c r="DFM149" s="22"/>
      <c r="DFN149" s="22"/>
      <c r="DFO149" s="22"/>
      <c r="DFP149" s="22"/>
      <c r="DFQ149" s="22"/>
      <c r="DFR149" s="22"/>
      <c r="DFS149" s="22"/>
      <c r="DFT149" s="22"/>
      <c r="DFU149" s="22"/>
      <c r="DFV149" s="22"/>
      <c r="DFW149" s="22"/>
      <c r="DFX149" s="22"/>
      <c r="DFY149" s="22"/>
      <c r="DFZ149" s="22"/>
      <c r="DGA149" s="22"/>
      <c r="DGB149" s="22"/>
      <c r="DGC149" s="22"/>
      <c r="DGD149" s="22"/>
      <c r="DGE149" s="22"/>
      <c r="DGF149" s="22"/>
      <c r="DGG149" s="22"/>
      <c r="DGH149" s="22"/>
      <c r="DGI149" s="22"/>
      <c r="DGJ149" s="22"/>
      <c r="DGK149" s="22"/>
      <c r="DGL149" s="22"/>
      <c r="DGM149" s="22"/>
      <c r="DGN149" s="22"/>
      <c r="DGO149" s="22"/>
      <c r="DGP149" s="22"/>
      <c r="DGQ149" s="22"/>
      <c r="DGR149" s="22"/>
      <c r="DGS149" s="22"/>
      <c r="DGT149" s="22"/>
      <c r="DGU149" s="22"/>
      <c r="DGV149" s="22"/>
      <c r="DGW149" s="22"/>
      <c r="DGX149" s="22"/>
      <c r="DGY149" s="22"/>
      <c r="DGZ149" s="22"/>
      <c r="DHA149" s="22"/>
      <c r="DHB149" s="22"/>
      <c r="DHC149" s="22"/>
      <c r="DHD149" s="22"/>
      <c r="DHE149" s="22"/>
      <c r="DHF149" s="22"/>
      <c r="DHG149" s="22"/>
      <c r="DHH149" s="22"/>
      <c r="DHI149" s="22"/>
      <c r="DHJ149" s="22"/>
      <c r="DHK149" s="22"/>
      <c r="DHL149" s="22"/>
      <c r="DHM149" s="22"/>
      <c r="DHN149" s="22"/>
      <c r="DHO149" s="22"/>
      <c r="DHP149" s="22"/>
      <c r="DHQ149" s="22"/>
      <c r="DHR149" s="22"/>
      <c r="DHS149" s="22"/>
      <c r="DHT149" s="22"/>
      <c r="DHU149" s="22"/>
      <c r="DHV149" s="22"/>
      <c r="DHW149" s="22"/>
      <c r="DHX149" s="22"/>
      <c r="DHY149" s="22"/>
      <c r="DHZ149" s="22"/>
      <c r="DIA149" s="22"/>
      <c r="DIB149" s="22"/>
      <c r="DIC149" s="22"/>
      <c r="DID149" s="22"/>
      <c r="DIE149" s="22"/>
      <c r="DIF149" s="22"/>
      <c r="DIG149" s="22"/>
      <c r="DIH149" s="22"/>
      <c r="DII149" s="22"/>
      <c r="DIJ149" s="22"/>
      <c r="DIK149" s="22"/>
      <c r="DIL149" s="22"/>
      <c r="DIM149" s="22"/>
      <c r="DIN149" s="22"/>
      <c r="DIO149" s="22"/>
      <c r="DIP149" s="22"/>
      <c r="DIQ149" s="22"/>
      <c r="DIR149" s="22"/>
      <c r="DIS149" s="22"/>
      <c r="DIT149" s="22"/>
      <c r="DIU149" s="22"/>
      <c r="DIV149" s="22"/>
      <c r="DIW149" s="22"/>
      <c r="DIX149" s="22"/>
      <c r="DIY149" s="22"/>
      <c r="DIZ149" s="22"/>
      <c r="DJA149" s="22"/>
      <c r="DJB149" s="22"/>
      <c r="DJC149" s="22"/>
      <c r="DJD149" s="22"/>
      <c r="DJE149" s="22"/>
      <c r="DJF149" s="22"/>
      <c r="DJG149" s="22"/>
      <c r="DJH149" s="22"/>
      <c r="DJI149" s="22"/>
      <c r="DJJ149" s="22"/>
      <c r="DJK149" s="22"/>
      <c r="DJL149" s="22"/>
      <c r="DJM149" s="22"/>
      <c r="DJN149" s="22"/>
      <c r="DJO149" s="22"/>
      <c r="DJP149" s="22"/>
      <c r="DJQ149" s="22"/>
      <c r="DJR149" s="22"/>
      <c r="DJS149" s="22"/>
      <c r="DJT149" s="22"/>
      <c r="DJU149" s="22"/>
      <c r="DJV149" s="22"/>
      <c r="DJW149" s="22"/>
      <c r="DJX149" s="22"/>
      <c r="DJY149" s="22"/>
      <c r="DJZ149" s="22"/>
      <c r="DKA149" s="22"/>
      <c r="DKB149" s="22"/>
      <c r="DKC149" s="22"/>
      <c r="DKD149" s="22"/>
      <c r="DKE149" s="22"/>
      <c r="DKF149" s="22"/>
      <c r="DKG149" s="22"/>
      <c r="DKH149" s="22"/>
      <c r="DKI149" s="22"/>
      <c r="DKJ149" s="22"/>
      <c r="DKK149" s="22"/>
      <c r="DKL149" s="22"/>
      <c r="DKM149" s="22"/>
      <c r="DKN149" s="22"/>
      <c r="DKO149" s="22"/>
      <c r="DKP149" s="22"/>
      <c r="DKQ149" s="22"/>
      <c r="DKR149" s="22"/>
      <c r="DKS149" s="22"/>
      <c r="DKT149" s="22"/>
      <c r="DKU149" s="22"/>
      <c r="DKV149" s="22"/>
      <c r="DKW149" s="22"/>
      <c r="DKX149" s="22"/>
      <c r="DKY149" s="22"/>
      <c r="DKZ149" s="22"/>
      <c r="DLA149" s="22"/>
      <c r="DLB149" s="22"/>
      <c r="DLC149" s="22"/>
      <c r="DLD149" s="22"/>
      <c r="DLE149" s="22"/>
      <c r="DLF149" s="22"/>
      <c r="DLG149" s="22"/>
      <c r="DLH149" s="22"/>
      <c r="DLI149" s="22"/>
      <c r="DLJ149" s="22"/>
      <c r="DLK149" s="22"/>
      <c r="DLL149" s="22"/>
      <c r="DLM149" s="22"/>
      <c r="DLN149" s="22"/>
      <c r="DLO149" s="22"/>
      <c r="DLP149" s="22"/>
      <c r="DLQ149" s="22"/>
      <c r="DLR149" s="22"/>
      <c r="DLS149" s="22"/>
      <c r="DLT149" s="22"/>
      <c r="DLU149" s="22"/>
      <c r="DLV149" s="22"/>
      <c r="DLW149" s="22"/>
      <c r="DLX149" s="22"/>
      <c r="DLY149" s="22"/>
      <c r="DLZ149" s="22"/>
      <c r="DMA149" s="22"/>
      <c r="DMB149" s="22"/>
      <c r="DMC149" s="22"/>
      <c r="DMD149" s="22"/>
      <c r="DME149" s="22"/>
      <c r="DMF149" s="22"/>
      <c r="DMG149" s="22"/>
      <c r="DMH149" s="22"/>
      <c r="DMI149" s="22"/>
      <c r="DMJ149" s="22"/>
      <c r="DMK149" s="22"/>
      <c r="DML149" s="22"/>
      <c r="DMM149" s="22"/>
      <c r="DMN149" s="22"/>
      <c r="DMO149" s="22"/>
      <c r="DMP149" s="22"/>
      <c r="DMQ149" s="22"/>
      <c r="DMR149" s="22"/>
      <c r="DMS149" s="22"/>
      <c r="DMT149" s="22"/>
      <c r="DMU149" s="22"/>
      <c r="DMV149" s="22"/>
      <c r="DMW149" s="22"/>
      <c r="DMX149" s="22"/>
      <c r="DMY149" s="22"/>
      <c r="DMZ149" s="22"/>
      <c r="DNA149" s="22"/>
      <c r="DNB149" s="22"/>
      <c r="DNC149" s="22"/>
      <c r="DND149" s="22"/>
      <c r="DNE149" s="22"/>
      <c r="DNF149" s="22"/>
      <c r="DNG149" s="22"/>
      <c r="DNH149" s="22"/>
      <c r="DNI149" s="22"/>
      <c r="DNJ149" s="22"/>
      <c r="DNK149" s="22"/>
      <c r="DNL149" s="22"/>
      <c r="DNM149" s="22"/>
      <c r="DNN149" s="22"/>
      <c r="DNO149" s="22"/>
      <c r="DNP149" s="22"/>
      <c r="DNQ149" s="22"/>
      <c r="DNR149" s="22"/>
      <c r="DNS149" s="22"/>
      <c r="DNT149" s="22"/>
      <c r="DNU149" s="22"/>
      <c r="DNV149" s="22"/>
      <c r="DNW149" s="22"/>
      <c r="DNX149" s="22"/>
      <c r="DNY149" s="22"/>
      <c r="DNZ149" s="22"/>
      <c r="DOA149" s="22"/>
      <c r="DOB149" s="22"/>
      <c r="DOC149" s="22"/>
      <c r="DOD149" s="22"/>
      <c r="DOE149" s="22"/>
      <c r="DOF149" s="22"/>
      <c r="DOG149" s="22"/>
      <c r="DOH149" s="22"/>
      <c r="DOI149" s="22"/>
      <c r="DOJ149" s="22"/>
      <c r="DOK149" s="22"/>
      <c r="DOL149" s="22"/>
      <c r="DOM149" s="22"/>
      <c r="DON149" s="22"/>
      <c r="DOO149" s="22"/>
      <c r="DOP149" s="22"/>
      <c r="DOQ149" s="22"/>
      <c r="DOR149" s="22"/>
      <c r="DOS149" s="22"/>
      <c r="DOT149" s="22"/>
      <c r="DOU149" s="22"/>
      <c r="DOV149" s="22"/>
      <c r="DOW149" s="22"/>
      <c r="DOX149" s="22"/>
      <c r="DOY149" s="22"/>
      <c r="DOZ149" s="22"/>
      <c r="DPA149" s="22"/>
      <c r="DPB149" s="22"/>
      <c r="DPC149" s="22"/>
      <c r="DPD149" s="22"/>
      <c r="DPE149" s="22"/>
      <c r="DPF149" s="22"/>
      <c r="DPG149" s="22"/>
      <c r="DPH149" s="22"/>
      <c r="DPI149" s="22"/>
      <c r="DPJ149" s="22"/>
      <c r="DPK149" s="22"/>
      <c r="DPL149" s="22"/>
      <c r="DPM149" s="22"/>
      <c r="DPN149" s="22"/>
      <c r="DPO149" s="22"/>
      <c r="DPP149" s="22"/>
      <c r="DPQ149" s="22"/>
      <c r="DPR149" s="22"/>
      <c r="DPS149" s="22"/>
      <c r="DPT149" s="22"/>
      <c r="DPU149" s="22"/>
      <c r="DPV149" s="22"/>
      <c r="DPW149" s="22"/>
      <c r="DPX149" s="22"/>
      <c r="DPY149" s="22"/>
      <c r="DPZ149" s="22"/>
      <c r="DQA149" s="22"/>
      <c r="DQB149" s="22"/>
      <c r="DQC149" s="22"/>
      <c r="DQD149" s="22"/>
      <c r="DQE149" s="22"/>
      <c r="DQF149" s="22"/>
      <c r="DQG149" s="22"/>
      <c r="DQH149" s="22"/>
      <c r="DQI149" s="22"/>
      <c r="DQJ149" s="22"/>
      <c r="DQK149" s="22"/>
      <c r="DQL149" s="22"/>
      <c r="DQM149" s="22"/>
      <c r="DQN149" s="22"/>
      <c r="DQO149" s="22"/>
      <c r="DQP149" s="22"/>
      <c r="DQQ149" s="22"/>
      <c r="DQR149" s="22"/>
      <c r="DQS149" s="22"/>
      <c r="DQT149" s="22"/>
      <c r="DQU149" s="22"/>
      <c r="DQV149" s="22"/>
      <c r="DQW149" s="22"/>
      <c r="DQX149" s="22"/>
      <c r="DQY149" s="22"/>
      <c r="DQZ149" s="22"/>
      <c r="DRA149" s="22"/>
      <c r="DRB149" s="22"/>
      <c r="DRC149" s="22"/>
      <c r="DRD149" s="22"/>
      <c r="DRE149" s="22"/>
      <c r="DRF149" s="22"/>
      <c r="DRG149" s="22"/>
      <c r="DRH149" s="22"/>
      <c r="DRI149" s="22"/>
      <c r="DRJ149" s="22"/>
      <c r="DRK149" s="22"/>
      <c r="DRL149" s="22"/>
      <c r="DRM149" s="22"/>
      <c r="DRN149" s="22"/>
      <c r="DRO149" s="22"/>
      <c r="DRP149" s="22"/>
      <c r="DRQ149" s="22"/>
      <c r="DRR149" s="22"/>
      <c r="DRS149" s="22"/>
      <c r="DRT149" s="22"/>
      <c r="DRU149" s="22"/>
      <c r="DRV149" s="22"/>
      <c r="DRW149" s="22"/>
      <c r="DRX149" s="22"/>
      <c r="DRY149" s="22"/>
      <c r="DRZ149" s="22"/>
      <c r="DSA149" s="22"/>
      <c r="DSB149" s="22"/>
      <c r="DSC149" s="22"/>
      <c r="DSD149" s="22"/>
      <c r="DSE149" s="22"/>
      <c r="DSF149" s="22"/>
      <c r="DSG149" s="22"/>
      <c r="DSH149" s="22"/>
      <c r="DSI149" s="22"/>
      <c r="DSJ149" s="22"/>
      <c r="DSK149" s="22"/>
      <c r="DSL149" s="22"/>
      <c r="DSM149" s="22"/>
      <c r="DSN149" s="22"/>
      <c r="DSO149" s="22"/>
      <c r="DSP149" s="22"/>
      <c r="DSQ149" s="22"/>
      <c r="DSR149" s="22"/>
      <c r="DSS149" s="22"/>
      <c r="DST149" s="22"/>
      <c r="DSU149" s="22"/>
      <c r="DSV149" s="22"/>
      <c r="DSW149" s="22"/>
      <c r="DSX149" s="22"/>
      <c r="DSY149" s="22"/>
      <c r="DSZ149" s="22"/>
      <c r="DTA149" s="22"/>
      <c r="DTB149" s="22"/>
      <c r="DTC149" s="22"/>
      <c r="DTD149" s="22"/>
      <c r="DTE149" s="22"/>
      <c r="DTF149" s="22"/>
      <c r="DTG149" s="22"/>
      <c r="DTH149" s="22"/>
      <c r="DTI149" s="22"/>
      <c r="DTJ149" s="22"/>
      <c r="DTK149" s="22"/>
      <c r="DTL149" s="22"/>
      <c r="DTM149" s="22"/>
      <c r="DTN149" s="22"/>
      <c r="DTO149" s="22"/>
      <c r="DTP149" s="22"/>
      <c r="DTQ149" s="22"/>
      <c r="DTR149" s="22"/>
      <c r="DTS149" s="22"/>
      <c r="DTT149" s="22"/>
      <c r="DTU149" s="22"/>
      <c r="DTV149" s="22"/>
      <c r="DTW149" s="22"/>
      <c r="DTX149" s="22"/>
      <c r="DTY149" s="22"/>
      <c r="DTZ149" s="22"/>
      <c r="DUA149" s="22"/>
      <c r="DUB149" s="22"/>
      <c r="DUC149" s="22"/>
      <c r="DUD149" s="22"/>
      <c r="DUE149" s="22"/>
      <c r="DUF149" s="22"/>
      <c r="DUG149" s="22"/>
      <c r="DUH149" s="22"/>
      <c r="DUI149" s="22"/>
      <c r="DUJ149" s="22"/>
      <c r="DUK149" s="22"/>
      <c r="DUL149" s="22"/>
      <c r="DUM149" s="22"/>
      <c r="DUN149" s="22"/>
      <c r="DUO149" s="22"/>
      <c r="DUP149" s="22"/>
      <c r="DUQ149" s="22"/>
      <c r="DUR149" s="22"/>
      <c r="DUS149" s="22"/>
      <c r="DUT149" s="22"/>
      <c r="DUU149" s="22"/>
      <c r="DUV149" s="22"/>
      <c r="DUW149" s="22"/>
      <c r="DUX149" s="22"/>
      <c r="DUY149" s="22"/>
      <c r="DUZ149" s="22"/>
      <c r="DVA149" s="22"/>
      <c r="DVB149" s="22"/>
      <c r="DVC149" s="22"/>
      <c r="DVD149" s="22"/>
      <c r="DVE149" s="22"/>
      <c r="DVF149" s="22"/>
      <c r="DVG149" s="22"/>
      <c r="DVH149" s="22"/>
      <c r="DVI149" s="22"/>
      <c r="DVJ149" s="22"/>
      <c r="DVK149" s="22"/>
      <c r="DVL149" s="22"/>
      <c r="DVM149" s="22"/>
      <c r="DVN149" s="22"/>
      <c r="DVO149" s="22"/>
      <c r="DVP149" s="22"/>
      <c r="DVQ149" s="22"/>
      <c r="DVR149" s="22"/>
      <c r="DVS149" s="22"/>
      <c r="DVT149" s="22"/>
      <c r="DVU149" s="22"/>
      <c r="DVV149" s="22"/>
      <c r="DVW149" s="22"/>
      <c r="DVX149" s="22"/>
      <c r="DVY149" s="22"/>
      <c r="DVZ149" s="22"/>
      <c r="DWA149" s="22"/>
      <c r="DWB149" s="22"/>
      <c r="DWC149" s="22"/>
      <c r="DWD149" s="22"/>
      <c r="DWE149" s="22"/>
      <c r="DWF149" s="22"/>
      <c r="DWG149" s="22"/>
      <c r="DWH149" s="22"/>
      <c r="DWI149" s="22"/>
      <c r="DWJ149" s="22"/>
      <c r="DWK149" s="22"/>
      <c r="DWL149" s="22"/>
      <c r="DWM149" s="22"/>
      <c r="DWN149" s="22"/>
      <c r="DWO149" s="22"/>
      <c r="DWP149" s="22"/>
      <c r="DWQ149" s="22"/>
      <c r="DWR149" s="22"/>
      <c r="DWS149" s="22"/>
      <c r="DWT149" s="22"/>
      <c r="DWU149" s="22"/>
      <c r="DWV149" s="22"/>
      <c r="DWW149" s="22"/>
      <c r="DWX149" s="22"/>
      <c r="DWY149" s="22"/>
      <c r="DWZ149" s="22"/>
      <c r="DXA149" s="22"/>
      <c r="DXB149" s="22"/>
      <c r="DXC149" s="22"/>
      <c r="DXD149" s="22"/>
      <c r="DXE149" s="22"/>
      <c r="DXF149" s="22"/>
      <c r="DXG149" s="22"/>
      <c r="DXH149" s="22"/>
      <c r="DXI149" s="22"/>
      <c r="DXJ149" s="22"/>
      <c r="DXK149" s="22"/>
      <c r="DXL149" s="22"/>
      <c r="DXM149" s="22"/>
      <c r="DXN149" s="22"/>
      <c r="DXO149" s="22"/>
      <c r="DXP149" s="22"/>
      <c r="DXQ149" s="22"/>
      <c r="DXR149" s="22"/>
      <c r="DXS149" s="22"/>
      <c r="DXT149" s="22"/>
      <c r="DXU149" s="22"/>
      <c r="DXV149" s="22"/>
      <c r="DXW149" s="22"/>
      <c r="DXX149" s="22"/>
      <c r="DXY149" s="22"/>
      <c r="DXZ149" s="22"/>
      <c r="DYA149" s="22"/>
      <c r="DYB149" s="22"/>
      <c r="DYC149" s="22"/>
      <c r="DYD149" s="22"/>
      <c r="DYE149" s="22"/>
      <c r="DYF149" s="22"/>
      <c r="DYG149" s="22"/>
      <c r="DYH149" s="22"/>
      <c r="DYI149" s="22"/>
      <c r="DYJ149" s="22"/>
      <c r="DYK149" s="22"/>
      <c r="DYL149" s="22"/>
      <c r="DYM149" s="22"/>
      <c r="DYN149" s="22"/>
      <c r="DYO149" s="22"/>
      <c r="DYP149" s="22"/>
      <c r="DYQ149" s="22"/>
      <c r="DYR149" s="22"/>
      <c r="DYS149" s="22"/>
      <c r="DYT149" s="22"/>
      <c r="DYU149" s="22"/>
      <c r="DYV149" s="22"/>
      <c r="DYW149" s="22"/>
      <c r="DYX149" s="22"/>
      <c r="DYY149" s="22"/>
      <c r="DYZ149" s="22"/>
      <c r="DZA149" s="22"/>
      <c r="DZB149" s="22"/>
      <c r="DZC149" s="22"/>
      <c r="DZD149" s="22"/>
      <c r="DZE149" s="22"/>
      <c r="DZF149" s="22"/>
      <c r="DZG149" s="22"/>
      <c r="DZH149" s="22"/>
      <c r="DZI149" s="22"/>
      <c r="DZJ149" s="22"/>
      <c r="DZK149" s="22"/>
      <c r="DZL149" s="22"/>
      <c r="DZM149" s="22"/>
      <c r="DZN149" s="22"/>
      <c r="DZO149" s="22"/>
      <c r="DZP149" s="22"/>
      <c r="DZQ149" s="22"/>
      <c r="DZR149" s="22"/>
      <c r="DZS149" s="22"/>
      <c r="DZT149" s="22"/>
      <c r="DZU149" s="22"/>
      <c r="DZV149" s="22"/>
      <c r="DZW149" s="22"/>
      <c r="DZX149" s="22"/>
      <c r="DZY149" s="22"/>
      <c r="DZZ149" s="22"/>
      <c r="EAA149" s="22"/>
      <c r="EAB149" s="22"/>
      <c r="EAC149" s="22"/>
      <c r="EAD149" s="22"/>
      <c r="EAE149" s="22"/>
      <c r="EAF149" s="22"/>
      <c r="EAG149" s="22"/>
      <c r="EAH149" s="22"/>
      <c r="EAI149" s="22"/>
      <c r="EAJ149" s="22"/>
      <c r="EAK149" s="22"/>
      <c r="EAL149" s="22"/>
      <c r="EAM149" s="22"/>
      <c r="EAN149" s="22"/>
      <c r="EAO149" s="22"/>
      <c r="EAP149" s="22"/>
      <c r="EAQ149" s="22"/>
      <c r="EAR149" s="22"/>
      <c r="EAS149" s="22"/>
      <c r="EAT149" s="22"/>
      <c r="EAU149" s="22"/>
      <c r="EAV149" s="22"/>
      <c r="EAW149" s="22"/>
      <c r="EAX149" s="22"/>
      <c r="EAY149" s="22"/>
      <c r="EAZ149" s="22"/>
      <c r="EBA149" s="22"/>
      <c r="EBB149" s="22"/>
      <c r="EBC149" s="22"/>
      <c r="EBD149" s="22"/>
      <c r="EBE149" s="22"/>
      <c r="EBF149" s="22"/>
      <c r="EBG149" s="22"/>
      <c r="EBH149" s="22"/>
      <c r="EBI149" s="22"/>
      <c r="EBJ149" s="22"/>
      <c r="EBK149" s="22"/>
      <c r="EBL149" s="22"/>
      <c r="EBM149" s="22"/>
      <c r="EBN149" s="22"/>
      <c r="EBO149" s="22"/>
      <c r="EBP149" s="22"/>
      <c r="EBQ149" s="22"/>
      <c r="EBR149" s="22"/>
      <c r="EBS149" s="22"/>
      <c r="EBT149" s="22"/>
      <c r="EBU149" s="22"/>
      <c r="EBV149" s="22"/>
      <c r="EBW149" s="22"/>
      <c r="EBX149" s="22"/>
      <c r="EBY149" s="22"/>
      <c r="EBZ149" s="22"/>
      <c r="ECA149" s="22"/>
      <c r="ECB149" s="22"/>
      <c r="ECC149" s="22"/>
      <c r="ECD149" s="22"/>
      <c r="ECE149" s="22"/>
      <c r="ECF149" s="22"/>
      <c r="ECG149" s="22"/>
      <c r="ECH149" s="22"/>
      <c r="ECI149" s="22"/>
      <c r="ECJ149" s="22"/>
      <c r="ECK149" s="22"/>
      <c r="ECL149" s="22"/>
      <c r="ECM149" s="22"/>
      <c r="ECN149" s="22"/>
      <c r="ECO149" s="22"/>
      <c r="ECP149" s="22"/>
      <c r="ECQ149" s="22"/>
      <c r="ECR149" s="22"/>
      <c r="ECS149" s="22"/>
      <c r="ECT149" s="22"/>
      <c r="ECU149" s="22"/>
      <c r="ECV149" s="22"/>
      <c r="ECW149" s="22"/>
      <c r="ECX149" s="22"/>
      <c r="ECY149" s="22"/>
      <c r="ECZ149" s="22"/>
      <c r="EDA149" s="22"/>
      <c r="EDB149" s="22"/>
      <c r="EDC149" s="22"/>
      <c r="EDD149" s="22"/>
      <c r="EDE149" s="22"/>
      <c r="EDF149" s="22"/>
      <c r="EDG149" s="22"/>
      <c r="EDH149" s="22"/>
      <c r="EDI149" s="22"/>
      <c r="EDJ149" s="22"/>
      <c r="EDK149" s="22"/>
      <c r="EDL149" s="22"/>
      <c r="EDM149" s="22"/>
      <c r="EDN149" s="22"/>
      <c r="EDO149" s="22"/>
      <c r="EDP149" s="22"/>
      <c r="EDQ149" s="22"/>
      <c r="EDR149" s="22"/>
      <c r="EDS149" s="22"/>
      <c r="EDT149" s="22"/>
      <c r="EDU149" s="22"/>
      <c r="EDV149" s="22"/>
      <c r="EDW149" s="22"/>
      <c r="EDX149" s="22"/>
      <c r="EDY149" s="22"/>
      <c r="EDZ149" s="22"/>
      <c r="EEA149" s="22"/>
      <c r="EEB149" s="22"/>
      <c r="EEC149" s="22"/>
      <c r="EED149" s="22"/>
      <c r="EEE149" s="22"/>
      <c r="EEF149" s="22"/>
      <c r="EEG149" s="22"/>
      <c r="EEH149" s="22"/>
      <c r="EEI149" s="22"/>
      <c r="EEJ149" s="22"/>
      <c r="EEK149" s="22"/>
      <c r="EEL149" s="22"/>
      <c r="EEM149" s="22"/>
      <c r="EEN149" s="22"/>
      <c r="EEO149" s="22"/>
      <c r="EEP149" s="22"/>
      <c r="EEQ149" s="22"/>
      <c r="EER149" s="22"/>
      <c r="EES149" s="22"/>
      <c r="EET149" s="22"/>
      <c r="EEU149" s="22"/>
      <c r="EEV149" s="22"/>
      <c r="EEW149" s="22"/>
      <c r="EEX149" s="22"/>
      <c r="EEY149" s="22"/>
      <c r="EEZ149" s="22"/>
      <c r="EFA149" s="22"/>
      <c r="EFB149" s="22"/>
      <c r="EFC149" s="22"/>
      <c r="EFD149" s="22"/>
      <c r="EFE149" s="22"/>
      <c r="EFF149" s="22"/>
      <c r="EFG149" s="22"/>
      <c r="EFH149" s="22"/>
      <c r="EFI149" s="22"/>
      <c r="EFJ149" s="22"/>
      <c r="EFK149" s="22"/>
      <c r="EFL149" s="22"/>
      <c r="EFM149" s="22"/>
      <c r="EFN149" s="22"/>
      <c r="EFO149" s="22"/>
      <c r="EFP149" s="22"/>
      <c r="EFQ149" s="22"/>
      <c r="EFR149" s="22"/>
      <c r="EFS149" s="22"/>
      <c r="EFT149" s="22"/>
      <c r="EFU149" s="22"/>
      <c r="EFV149" s="22"/>
      <c r="EFW149" s="22"/>
      <c r="EFX149" s="22"/>
      <c r="EFY149" s="22"/>
      <c r="EFZ149" s="22"/>
      <c r="EGA149" s="22"/>
      <c r="EGB149" s="22"/>
      <c r="EGC149" s="22"/>
      <c r="EGD149" s="22"/>
      <c r="EGE149" s="22"/>
      <c r="EGF149" s="22"/>
      <c r="EGG149" s="22"/>
      <c r="EGH149" s="22"/>
      <c r="EGI149" s="22"/>
      <c r="EGJ149" s="22"/>
      <c r="EGK149" s="22"/>
      <c r="EGL149" s="22"/>
      <c r="EGM149" s="22"/>
      <c r="EGN149" s="22"/>
      <c r="EGO149" s="22"/>
      <c r="EGP149" s="22"/>
      <c r="EGQ149" s="22"/>
      <c r="EGR149" s="22"/>
      <c r="EGS149" s="22"/>
      <c r="EGT149" s="22"/>
      <c r="EGU149" s="22"/>
      <c r="EGV149" s="22"/>
      <c r="EGW149" s="22"/>
      <c r="EGX149" s="22"/>
      <c r="EGY149" s="22"/>
      <c r="EGZ149" s="22"/>
      <c r="EHA149" s="22"/>
      <c r="EHB149" s="22"/>
      <c r="EHC149" s="22"/>
      <c r="EHD149" s="22"/>
      <c r="EHE149" s="22"/>
      <c r="EHF149" s="22"/>
      <c r="EHG149" s="22"/>
      <c r="EHH149" s="22"/>
      <c r="EHI149" s="22"/>
      <c r="EHJ149" s="22"/>
      <c r="EHK149" s="22"/>
      <c r="EHL149" s="22"/>
      <c r="EHM149" s="22"/>
      <c r="EHN149" s="22"/>
      <c r="EHO149" s="22"/>
      <c r="EHP149" s="22"/>
      <c r="EHQ149" s="22"/>
      <c r="EHR149" s="22"/>
      <c r="EHS149" s="22"/>
      <c r="EHT149" s="22"/>
      <c r="EHU149" s="22"/>
      <c r="EHV149" s="22"/>
      <c r="EHW149" s="22"/>
      <c r="EHX149" s="22"/>
      <c r="EHY149" s="22"/>
      <c r="EHZ149" s="22"/>
      <c r="EIA149" s="22"/>
      <c r="EIB149" s="22"/>
      <c r="EIC149" s="22"/>
      <c r="EID149" s="22"/>
      <c r="EIE149" s="22"/>
      <c r="EIF149" s="22"/>
      <c r="EIG149" s="22"/>
      <c r="EIH149" s="22"/>
      <c r="EII149" s="22"/>
      <c r="EIJ149" s="22"/>
      <c r="EIK149" s="22"/>
      <c r="EIL149" s="22"/>
      <c r="EIM149" s="22"/>
      <c r="EIN149" s="22"/>
      <c r="EIO149" s="22"/>
      <c r="EIP149" s="22"/>
      <c r="EIQ149" s="22"/>
      <c r="EIR149" s="22"/>
      <c r="EIS149" s="22"/>
      <c r="EIT149" s="22"/>
      <c r="EIU149" s="22"/>
      <c r="EIV149" s="22"/>
      <c r="EIW149" s="22"/>
      <c r="EIX149" s="22"/>
      <c r="EIY149" s="22"/>
      <c r="EIZ149" s="22"/>
      <c r="EJA149" s="22"/>
      <c r="EJB149" s="22"/>
      <c r="EJC149" s="22"/>
      <c r="EJD149" s="22"/>
      <c r="EJE149" s="22"/>
      <c r="EJF149" s="22"/>
      <c r="EJG149" s="22"/>
      <c r="EJH149" s="22"/>
      <c r="EJI149" s="22"/>
      <c r="EJJ149" s="22"/>
      <c r="EJK149" s="22"/>
      <c r="EJL149" s="22"/>
      <c r="EJM149" s="22"/>
      <c r="EJN149" s="22"/>
      <c r="EJO149" s="22"/>
      <c r="EJP149" s="22"/>
      <c r="EJQ149" s="22"/>
      <c r="EJR149" s="22"/>
      <c r="EJS149" s="22"/>
      <c r="EJT149" s="22"/>
      <c r="EJU149" s="22"/>
      <c r="EJV149" s="22"/>
      <c r="EJW149" s="22"/>
      <c r="EJX149" s="22"/>
      <c r="EJY149" s="22"/>
      <c r="EJZ149" s="22"/>
      <c r="EKA149" s="22"/>
      <c r="EKB149" s="22"/>
      <c r="EKC149" s="22"/>
      <c r="EKD149" s="22"/>
      <c r="EKE149" s="22"/>
      <c r="EKF149" s="22"/>
      <c r="EKG149" s="22"/>
      <c r="EKH149" s="22"/>
      <c r="EKI149" s="22"/>
      <c r="EKJ149" s="22"/>
      <c r="EKK149" s="22"/>
      <c r="EKL149" s="22"/>
      <c r="EKM149" s="22"/>
      <c r="EKN149" s="22"/>
      <c r="EKO149" s="22"/>
      <c r="EKP149" s="22"/>
      <c r="EKQ149" s="22"/>
      <c r="EKR149" s="22"/>
      <c r="EKS149" s="22"/>
      <c r="EKT149" s="22"/>
      <c r="EKU149" s="22"/>
      <c r="EKV149" s="22"/>
      <c r="EKW149" s="22"/>
      <c r="EKX149" s="22"/>
      <c r="EKY149" s="22"/>
      <c r="EKZ149" s="22"/>
      <c r="ELA149" s="22"/>
      <c r="ELB149" s="22"/>
      <c r="ELC149" s="22"/>
      <c r="ELD149" s="22"/>
      <c r="ELE149" s="22"/>
      <c r="ELF149" s="22"/>
      <c r="ELG149" s="22"/>
      <c r="ELH149" s="22"/>
      <c r="ELI149" s="22"/>
      <c r="ELJ149" s="22"/>
      <c r="ELK149" s="22"/>
      <c r="ELL149" s="22"/>
      <c r="ELM149" s="22"/>
      <c r="ELN149" s="22"/>
      <c r="ELO149" s="22"/>
      <c r="ELP149" s="22"/>
      <c r="ELQ149" s="22"/>
      <c r="ELR149" s="22"/>
      <c r="ELS149" s="22"/>
      <c r="ELT149" s="22"/>
      <c r="ELU149" s="22"/>
      <c r="ELV149" s="22"/>
      <c r="ELW149" s="22"/>
      <c r="ELX149" s="22"/>
      <c r="ELY149" s="22"/>
      <c r="ELZ149" s="22"/>
      <c r="EMA149" s="22"/>
      <c r="EMB149" s="22"/>
      <c r="EMC149" s="22"/>
      <c r="EMD149" s="22"/>
      <c r="EME149" s="22"/>
      <c r="EMF149" s="22"/>
      <c r="EMG149" s="22"/>
      <c r="EMH149" s="22"/>
      <c r="EMI149" s="22"/>
      <c r="EMJ149" s="22"/>
      <c r="EMK149" s="22"/>
      <c r="EML149" s="22"/>
      <c r="EMM149" s="22"/>
      <c r="EMN149" s="22"/>
      <c r="EMO149" s="22"/>
      <c r="EMP149" s="22"/>
      <c r="EMQ149" s="22"/>
      <c r="EMR149" s="22"/>
      <c r="EMS149" s="22"/>
      <c r="EMT149" s="22"/>
      <c r="EMU149" s="22"/>
      <c r="EMV149" s="22"/>
      <c r="EMW149" s="22"/>
      <c r="EMX149" s="22"/>
      <c r="EMY149" s="22"/>
      <c r="EMZ149" s="22"/>
      <c r="ENA149" s="22"/>
      <c r="ENB149" s="22"/>
      <c r="ENC149" s="22"/>
      <c r="END149" s="22"/>
      <c r="ENE149" s="22"/>
      <c r="ENF149" s="22"/>
      <c r="ENG149" s="22"/>
      <c r="ENH149" s="22"/>
      <c r="ENI149" s="22"/>
      <c r="ENJ149" s="22"/>
      <c r="ENK149" s="22"/>
      <c r="ENL149" s="22"/>
      <c r="ENM149" s="22"/>
      <c r="ENN149" s="22"/>
      <c r="ENO149" s="22"/>
      <c r="ENP149" s="22"/>
      <c r="ENQ149" s="22"/>
      <c r="ENR149" s="22"/>
      <c r="ENS149" s="22"/>
      <c r="ENT149" s="22"/>
      <c r="ENU149" s="22"/>
      <c r="ENV149" s="22"/>
      <c r="ENW149" s="22"/>
      <c r="ENX149" s="22"/>
      <c r="ENY149" s="22"/>
      <c r="ENZ149" s="22"/>
      <c r="EOA149" s="22"/>
      <c r="EOB149" s="22"/>
      <c r="EOC149" s="22"/>
      <c r="EOD149" s="22"/>
      <c r="EOE149" s="22"/>
      <c r="EOF149" s="22"/>
      <c r="EOG149" s="22"/>
      <c r="EOH149" s="22"/>
      <c r="EOI149" s="22"/>
      <c r="EOJ149" s="22"/>
      <c r="EOK149" s="22"/>
      <c r="EOL149" s="22"/>
      <c r="EOM149" s="22"/>
      <c r="EON149" s="22"/>
      <c r="EOO149" s="22"/>
      <c r="EOP149" s="22"/>
      <c r="EOQ149" s="22"/>
      <c r="EOR149" s="22"/>
      <c r="EOS149" s="22"/>
      <c r="EOT149" s="22"/>
      <c r="EOU149" s="22"/>
      <c r="EOV149" s="22"/>
      <c r="EOW149" s="22"/>
      <c r="EOX149" s="22"/>
      <c r="EOY149" s="22"/>
      <c r="EOZ149" s="22"/>
      <c r="EPA149" s="22"/>
      <c r="EPB149" s="22"/>
      <c r="EPC149" s="22"/>
      <c r="EPD149" s="22"/>
      <c r="EPE149" s="22"/>
      <c r="EPF149" s="22"/>
      <c r="EPG149" s="22"/>
      <c r="EPH149" s="22"/>
      <c r="EPI149" s="22"/>
      <c r="EPJ149" s="22"/>
      <c r="EPK149" s="22"/>
      <c r="EPL149" s="22"/>
      <c r="EPM149" s="22"/>
      <c r="EPN149" s="22"/>
      <c r="EPO149" s="22"/>
      <c r="EPP149" s="22"/>
      <c r="EPQ149" s="22"/>
      <c r="EPR149" s="22"/>
      <c r="EPS149" s="22"/>
      <c r="EPT149" s="22"/>
      <c r="EPU149" s="22"/>
      <c r="EPV149" s="22"/>
      <c r="EPW149" s="22"/>
      <c r="EPX149" s="22"/>
      <c r="EPY149" s="22"/>
      <c r="EPZ149" s="22"/>
      <c r="EQA149" s="22"/>
      <c r="EQB149" s="22"/>
      <c r="EQC149" s="22"/>
      <c r="EQD149" s="22"/>
      <c r="EQE149" s="22"/>
      <c r="EQF149" s="22"/>
      <c r="EQG149" s="22"/>
      <c r="EQH149" s="22"/>
      <c r="EQI149" s="22"/>
      <c r="EQJ149" s="22"/>
      <c r="EQK149" s="22"/>
      <c r="EQL149" s="22"/>
      <c r="EQM149" s="22"/>
      <c r="EQN149" s="22"/>
      <c r="EQO149" s="22"/>
      <c r="EQP149" s="22"/>
      <c r="EQQ149" s="22"/>
      <c r="EQR149" s="22"/>
      <c r="EQS149" s="22"/>
      <c r="EQT149" s="22"/>
      <c r="EQU149" s="22"/>
      <c r="EQV149" s="22"/>
      <c r="EQW149" s="22"/>
      <c r="EQX149" s="22"/>
      <c r="EQY149" s="22"/>
      <c r="EQZ149" s="22"/>
      <c r="ERA149" s="22"/>
      <c r="ERB149" s="22"/>
      <c r="ERC149" s="22"/>
      <c r="ERD149" s="22"/>
      <c r="ERE149" s="22"/>
      <c r="ERF149" s="22"/>
      <c r="ERG149" s="22"/>
      <c r="ERH149" s="22"/>
      <c r="ERI149" s="22"/>
      <c r="ERJ149" s="22"/>
      <c r="ERK149" s="22"/>
      <c r="ERL149" s="22"/>
      <c r="ERM149" s="22"/>
      <c r="ERN149" s="22"/>
      <c r="ERO149" s="22"/>
      <c r="ERP149" s="22"/>
      <c r="ERQ149" s="22"/>
      <c r="ERR149" s="22"/>
      <c r="ERS149" s="22"/>
      <c r="ERT149" s="22"/>
      <c r="ERU149" s="22"/>
      <c r="ERV149" s="22"/>
      <c r="ERW149" s="22"/>
      <c r="ERX149" s="22"/>
      <c r="ERY149" s="22"/>
      <c r="ERZ149" s="22"/>
      <c r="ESA149" s="22"/>
      <c r="ESB149" s="22"/>
      <c r="ESC149" s="22"/>
      <c r="ESD149" s="22"/>
      <c r="ESE149" s="22"/>
      <c r="ESF149" s="22"/>
      <c r="ESG149" s="22"/>
      <c r="ESH149" s="22"/>
      <c r="ESI149" s="22"/>
      <c r="ESJ149" s="22"/>
      <c r="ESK149" s="22"/>
      <c r="ESL149" s="22"/>
      <c r="ESM149" s="22"/>
      <c r="ESN149" s="22"/>
      <c r="ESO149" s="22"/>
      <c r="ESP149" s="22"/>
      <c r="ESQ149" s="22"/>
      <c r="ESR149" s="22"/>
      <c r="ESS149" s="22"/>
      <c r="EST149" s="22"/>
      <c r="ESU149" s="22"/>
      <c r="ESV149" s="22"/>
      <c r="ESW149" s="22"/>
      <c r="ESX149" s="22"/>
      <c r="ESY149" s="22"/>
      <c r="ESZ149" s="22"/>
      <c r="ETA149" s="22"/>
      <c r="ETB149" s="22"/>
      <c r="ETC149" s="22"/>
      <c r="ETD149" s="22"/>
      <c r="ETE149" s="22"/>
      <c r="ETF149" s="22"/>
      <c r="ETG149" s="22"/>
      <c r="ETH149" s="22"/>
      <c r="ETI149" s="22"/>
      <c r="ETJ149" s="22"/>
      <c r="ETK149" s="22"/>
      <c r="ETL149" s="22"/>
      <c r="ETM149" s="22"/>
      <c r="ETN149" s="22"/>
      <c r="ETO149" s="22"/>
      <c r="ETP149" s="22"/>
      <c r="ETQ149" s="22"/>
      <c r="ETR149" s="22"/>
      <c r="ETS149" s="22"/>
      <c r="ETT149" s="22"/>
      <c r="ETU149" s="22"/>
      <c r="ETV149" s="22"/>
      <c r="ETW149" s="22"/>
      <c r="ETX149" s="22"/>
      <c r="ETY149" s="22"/>
      <c r="ETZ149" s="22"/>
      <c r="EUA149" s="22"/>
      <c r="EUB149" s="22"/>
      <c r="EUC149" s="22"/>
      <c r="EUD149" s="22"/>
      <c r="EUE149" s="22"/>
      <c r="EUF149" s="22"/>
      <c r="EUG149" s="22"/>
      <c r="EUH149" s="22"/>
      <c r="EUI149" s="22"/>
      <c r="EUJ149" s="22"/>
      <c r="EUK149" s="22"/>
      <c r="EUL149" s="22"/>
      <c r="EUM149" s="22"/>
      <c r="EUN149" s="22"/>
      <c r="EUO149" s="22"/>
      <c r="EUP149" s="22"/>
      <c r="EUQ149" s="22"/>
      <c r="EUR149" s="22"/>
      <c r="EUS149" s="22"/>
      <c r="EUT149" s="22"/>
      <c r="EUU149" s="22"/>
      <c r="EUV149" s="22"/>
      <c r="EUW149" s="22"/>
      <c r="EUX149" s="22"/>
      <c r="EUY149" s="22"/>
      <c r="EUZ149" s="22"/>
      <c r="EVA149" s="22"/>
      <c r="EVB149" s="22"/>
      <c r="EVC149" s="22"/>
      <c r="EVD149" s="22"/>
      <c r="EVE149" s="22"/>
      <c r="EVF149" s="22"/>
      <c r="EVG149" s="22"/>
      <c r="EVH149" s="22"/>
      <c r="EVI149" s="22"/>
      <c r="EVJ149" s="22"/>
      <c r="EVK149" s="22"/>
      <c r="EVL149" s="22"/>
      <c r="EVM149" s="22"/>
      <c r="EVN149" s="22"/>
      <c r="EVO149" s="22"/>
      <c r="EVP149" s="22"/>
      <c r="EVQ149" s="22"/>
      <c r="EVR149" s="22"/>
      <c r="EVS149" s="22"/>
      <c r="EVT149" s="22"/>
      <c r="EVU149" s="22"/>
      <c r="EVV149" s="22"/>
      <c r="EVW149" s="22"/>
      <c r="EVX149" s="22"/>
      <c r="EVY149" s="22"/>
      <c r="EVZ149" s="22"/>
      <c r="EWA149" s="22"/>
      <c r="EWB149" s="22"/>
      <c r="EWC149" s="22"/>
      <c r="EWD149" s="22"/>
      <c r="EWE149" s="22"/>
      <c r="EWF149" s="22"/>
      <c r="EWG149" s="22"/>
      <c r="EWH149" s="22"/>
      <c r="EWI149" s="22"/>
      <c r="EWJ149" s="22"/>
      <c r="EWK149" s="22"/>
      <c r="EWL149" s="22"/>
      <c r="EWM149" s="22"/>
      <c r="EWN149" s="22"/>
      <c r="EWO149" s="22"/>
      <c r="EWP149" s="22"/>
      <c r="EWQ149" s="22"/>
      <c r="EWR149" s="22"/>
      <c r="EWS149" s="22"/>
      <c r="EWT149" s="22"/>
      <c r="EWU149" s="22"/>
      <c r="EWV149" s="22"/>
      <c r="EWW149" s="22"/>
      <c r="EWX149" s="22"/>
      <c r="EWY149" s="22"/>
      <c r="EWZ149" s="22"/>
      <c r="EXA149" s="22"/>
      <c r="EXB149" s="22"/>
      <c r="EXC149" s="22"/>
      <c r="EXD149" s="22"/>
      <c r="EXE149" s="22"/>
      <c r="EXF149" s="22"/>
      <c r="EXG149" s="22"/>
      <c r="EXH149" s="22"/>
      <c r="EXI149" s="22"/>
      <c r="EXJ149" s="22"/>
      <c r="EXK149" s="22"/>
      <c r="EXL149" s="22"/>
      <c r="EXM149" s="22"/>
      <c r="EXN149" s="22"/>
      <c r="EXO149" s="22"/>
      <c r="EXP149" s="22"/>
      <c r="EXQ149" s="22"/>
      <c r="EXR149" s="22"/>
      <c r="EXS149" s="22"/>
      <c r="EXT149" s="22"/>
      <c r="EXU149" s="22"/>
      <c r="EXV149" s="22"/>
      <c r="EXW149" s="22"/>
      <c r="EXX149" s="22"/>
      <c r="EXY149" s="22"/>
      <c r="EXZ149" s="22"/>
      <c r="EYA149" s="22"/>
      <c r="EYB149" s="22"/>
      <c r="EYC149" s="22"/>
      <c r="EYD149" s="22"/>
      <c r="EYE149" s="22"/>
      <c r="EYF149" s="22"/>
      <c r="EYG149" s="22"/>
      <c r="EYH149" s="22"/>
      <c r="EYI149" s="22"/>
      <c r="EYJ149" s="22"/>
      <c r="EYK149" s="22"/>
      <c r="EYL149" s="22"/>
      <c r="EYM149" s="22"/>
      <c r="EYN149" s="22"/>
      <c r="EYO149" s="22"/>
      <c r="EYP149" s="22"/>
      <c r="EYQ149" s="22"/>
      <c r="EYR149" s="22"/>
      <c r="EYS149" s="22"/>
      <c r="EYT149" s="22"/>
      <c r="EYU149" s="22"/>
      <c r="EYV149" s="22"/>
      <c r="EYW149" s="22"/>
      <c r="EYX149" s="22"/>
      <c r="EYY149" s="22"/>
      <c r="EYZ149" s="22"/>
      <c r="EZA149" s="22"/>
      <c r="EZB149" s="22"/>
      <c r="EZC149" s="22"/>
      <c r="EZD149" s="22"/>
      <c r="EZE149" s="22"/>
      <c r="EZF149" s="22"/>
      <c r="EZG149" s="22"/>
      <c r="EZH149" s="22"/>
      <c r="EZI149" s="22"/>
      <c r="EZJ149" s="22"/>
      <c r="EZK149" s="22"/>
      <c r="EZL149" s="22"/>
      <c r="EZM149" s="22"/>
      <c r="EZN149" s="22"/>
      <c r="EZO149" s="22"/>
      <c r="EZP149" s="22"/>
      <c r="EZQ149" s="22"/>
      <c r="EZR149" s="22"/>
      <c r="EZS149" s="22"/>
      <c r="EZT149" s="22"/>
      <c r="EZU149" s="22"/>
      <c r="EZV149" s="22"/>
      <c r="EZW149" s="22"/>
      <c r="EZX149" s="22"/>
      <c r="EZY149" s="22"/>
      <c r="EZZ149" s="22"/>
      <c r="FAA149" s="22"/>
      <c r="FAB149" s="22"/>
      <c r="FAC149" s="22"/>
      <c r="FAD149" s="22"/>
      <c r="FAE149" s="22"/>
      <c r="FAF149" s="22"/>
      <c r="FAG149" s="22"/>
      <c r="FAH149" s="22"/>
      <c r="FAI149" s="22"/>
      <c r="FAJ149" s="22"/>
      <c r="FAK149" s="22"/>
      <c r="FAL149" s="22"/>
      <c r="FAM149" s="22"/>
      <c r="FAN149" s="22"/>
      <c r="FAO149" s="22"/>
      <c r="FAP149" s="22"/>
      <c r="FAQ149" s="22"/>
      <c r="FAR149" s="22"/>
      <c r="FAS149" s="22"/>
      <c r="FAT149" s="22"/>
      <c r="FAU149" s="22"/>
      <c r="FAV149" s="22"/>
      <c r="FAW149" s="22"/>
      <c r="FAX149" s="22"/>
      <c r="FAY149" s="22"/>
      <c r="FAZ149" s="22"/>
      <c r="FBA149" s="22"/>
      <c r="FBB149" s="22"/>
      <c r="FBC149" s="22"/>
      <c r="FBD149" s="22"/>
      <c r="FBE149" s="22"/>
      <c r="FBF149" s="22"/>
      <c r="FBG149" s="22"/>
      <c r="FBH149" s="22"/>
      <c r="FBI149" s="22"/>
      <c r="FBJ149" s="22"/>
      <c r="FBK149" s="22"/>
      <c r="FBL149" s="22"/>
      <c r="FBM149" s="22"/>
      <c r="FBN149" s="22"/>
      <c r="FBO149" s="22"/>
      <c r="FBP149" s="22"/>
      <c r="FBQ149" s="22"/>
      <c r="FBR149" s="22"/>
      <c r="FBS149" s="22"/>
      <c r="FBT149" s="22"/>
      <c r="FBU149" s="22"/>
      <c r="FBV149" s="22"/>
      <c r="FBW149" s="22"/>
      <c r="FBX149" s="22"/>
      <c r="FBY149" s="22"/>
      <c r="FBZ149" s="22"/>
      <c r="FCA149" s="22"/>
      <c r="FCB149" s="22"/>
      <c r="FCC149" s="22"/>
      <c r="FCD149" s="22"/>
      <c r="FCE149" s="22"/>
      <c r="FCF149" s="22"/>
      <c r="FCG149" s="22"/>
      <c r="FCH149" s="22"/>
      <c r="FCI149" s="22"/>
      <c r="FCJ149" s="22"/>
      <c r="FCK149" s="22"/>
      <c r="FCL149" s="22"/>
      <c r="FCM149" s="22"/>
      <c r="FCN149" s="22"/>
      <c r="FCO149" s="22"/>
      <c r="FCP149" s="22"/>
      <c r="FCQ149" s="22"/>
      <c r="FCR149" s="22"/>
      <c r="FCS149" s="22"/>
      <c r="FCT149" s="22"/>
      <c r="FCU149" s="22"/>
      <c r="FCV149" s="22"/>
      <c r="FCW149" s="22"/>
      <c r="FCX149" s="22"/>
      <c r="FCY149" s="22"/>
      <c r="FCZ149" s="22"/>
      <c r="FDA149" s="22"/>
      <c r="FDB149" s="22"/>
      <c r="FDC149" s="22"/>
      <c r="FDD149" s="22"/>
      <c r="FDE149" s="22"/>
      <c r="FDF149" s="22"/>
      <c r="FDG149" s="22"/>
      <c r="FDH149" s="22"/>
      <c r="FDI149" s="22"/>
      <c r="FDJ149" s="22"/>
      <c r="FDK149" s="22"/>
      <c r="FDL149" s="22"/>
      <c r="FDM149" s="22"/>
      <c r="FDN149" s="22"/>
      <c r="FDO149" s="22"/>
      <c r="FDP149" s="22"/>
      <c r="FDQ149" s="22"/>
      <c r="FDR149" s="22"/>
      <c r="FDS149" s="22"/>
      <c r="FDT149" s="22"/>
      <c r="FDU149" s="22"/>
      <c r="FDV149" s="22"/>
      <c r="FDW149" s="22"/>
      <c r="FDX149" s="22"/>
      <c r="FDY149" s="22"/>
      <c r="FDZ149" s="22"/>
      <c r="FEA149" s="22"/>
      <c r="FEB149" s="22"/>
      <c r="FEC149" s="22"/>
      <c r="FED149" s="22"/>
      <c r="FEE149" s="22"/>
      <c r="FEF149" s="22"/>
      <c r="FEG149" s="22"/>
      <c r="FEH149" s="22"/>
      <c r="FEI149" s="22"/>
      <c r="FEJ149" s="22"/>
      <c r="FEK149" s="22"/>
      <c r="FEL149" s="22"/>
      <c r="FEM149" s="22"/>
      <c r="FEN149" s="22"/>
      <c r="FEO149" s="22"/>
      <c r="FEP149" s="22"/>
      <c r="FEQ149" s="22"/>
      <c r="FER149" s="22"/>
      <c r="FES149" s="22"/>
      <c r="FET149" s="22"/>
      <c r="FEU149" s="22"/>
      <c r="FEV149" s="22"/>
      <c r="FEW149" s="22"/>
      <c r="FEX149" s="22"/>
      <c r="FEY149" s="22"/>
      <c r="FEZ149" s="22"/>
      <c r="FFA149" s="22"/>
      <c r="FFB149" s="22"/>
      <c r="FFC149" s="22"/>
      <c r="FFD149" s="22"/>
      <c r="FFE149" s="22"/>
      <c r="FFF149" s="22"/>
      <c r="FFG149" s="22"/>
      <c r="FFH149" s="22"/>
      <c r="FFI149" s="22"/>
      <c r="FFJ149" s="22"/>
      <c r="FFK149" s="22"/>
      <c r="FFL149" s="22"/>
      <c r="FFM149" s="22"/>
      <c r="FFN149" s="22"/>
      <c r="FFO149" s="22"/>
      <c r="FFP149" s="22"/>
      <c r="FFQ149" s="22"/>
      <c r="FFR149" s="22"/>
      <c r="FFS149" s="22"/>
      <c r="FFT149" s="22"/>
      <c r="FFU149" s="22"/>
      <c r="FFV149" s="22"/>
      <c r="FFW149" s="22"/>
      <c r="FFX149" s="22"/>
      <c r="FFY149" s="22"/>
      <c r="FFZ149" s="22"/>
      <c r="FGA149" s="22"/>
      <c r="FGB149" s="22"/>
      <c r="FGC149" s="22"/>
      <c r="FGD149" s="22"/>
      <c r="FGE149" s="22"/>
      <c r="FGF149" s="22"/>
      <c r="FGG149" s="22"/>
      <c r="FGH149" s="22"/>
      <c r="FGI149" s="22"/>
      <c r="FGJ149" s="22"/>
      <c r="FGK149" s="22"/>
      <c r="FGL149" s="22"/>
      <c r="FGM149" s="22"/>
      <c r="FGN149" s="22"/>
      <c r="FGO149" s="22"/>
      <c r="FGP149" s="22"/>
      <c r="FGQ149" s="22"/>
      <c r="FGR149" s="22"/>
      <c r="FGS149" s="22"/>
      <c r="FGT149" s="22"/>
      <c r="FGU149" s="22"/>
      <c r="FGV149" s="22"/>
      <c r="FGW149" s="22"/>
      <c r="FGX149" s="22"/>
      <c r="FGY149" s="22"/>
      <c r="FGZ149" s="22"/>
      <c r="FHA149" s="22"/>
      <c r="FHB149" s="22"/>
      <c r="FHC149" s="22"/>
      <c r="FHD149" s="22"/>
      <c r="FHE149" s="22"/>
      <c r="FHF149" s="22"/>
      <c r="FHG149" s="22"/>
      <c r="FHH149" s="22"/>
      <c r="FHI149" s="22"/>
      <c r="FHJ149" s="22"/>
      <c r="FHK149" s="22"/>
      <c r="FHL149" s="22"/>
      <c r="FHM149" s="22"/>
      <c r="FHN149" s="22"/>
      <c r="FHO149" s="22"/>
      <c r="FHP149" s="22"/>
      <c r="FHQ149" s="22"/>
      <c r="FHR149" s="22"/>
      <c r="FHS149" s="22"/>
      <c r="FHT149" s="22"/>
      <c r="FHU149" s="22"/>
      <c r="FHV149" s="22"/>
      <c r="FHW149" s="22"/>
      <c r="FHX149" s="22"/>
      <c r="FHY149" s="22"/>
      <c r="FHZ149" s="22"/>
      <c r="FIA149" s="22"/>
      <c r="FIB149" s="22"/>
      <c r="FIC149" s="22"/>
      <c r="FID149" s="22"/>
      <c r="FIE149" s="22"/>
      <c r="FIF149" s="22"/>
      <c r="FIG149" s="22"/>
      <c r="FIH149" s="22"/>
      <c r="FII149" s="22"/>
      <c r="FIJ149" s="22"/>
      <c r="FIK149" s="22"/>
      <c r="FIL149" s="22"/>
      <c r="FIM149" s="22"/>
      <c r="FIN149" s="22"/>
      <c r="FIO149" s="22"/>
      <c r="FIP149" s="22"/>
      <c r="FIQ149" s="22"/>
      <c r="FIR149" s="22"/>
      <c r="FIS149" s="22"/>
      <c r="FIT149" s="22"/>
      <c r="FIU149" s="22"/>
      <c r="FIV149" s="22"/>
      <c r="FIW149" s="22"/>
      <c r="FIX149" s="22"/>
      <c r="FIY149" s="22"/>
      <c r="FIZ149" s="22"/>
      <c r="FJA149" s="22"/>
      <c r="FJB149" s="22"/>
      <c r="FJC149" s="22"/>
      <c r="FJD149" s="22"/>
      <c r="FJE149" s="22"/>
      <c r="FJF149" s="22"/>
      <c r="FJG149" s="22"/>
      <c r="FJH149" s="22"/>
      <c r="FJI149" s="22"/>
      <c r="FJJ149" s="22"/>
      <c r="FJK149" s="22"/>
      <c r="FJL149" s="22"/>
      <c r="FJM149" s="22"/>
      <c r="FJN149" s="22"/>
      <c r="FJO149" s="22"/>
      <c r="FJP149" s="22"/>
      <c r="FJQ149" s="22"/>
      <c r="FJR149" s="22"/>
      <c r="FJS149" s="22"/>
      <c r="FJT149" s="22"/>
      <c r="FJU149" s="22"/>
      <c r="FJV149" s="22"/>
      <c r="FJW149" s="22"/>
      <c r="FJX149" s="22"/>
      <c r="FJY149" s="22"/>
      <c r="FJZ149" s="22"/>
      <c r="FKA149" s="22"/>
      <c r="FKB149" s="22"/>
      <c r="FKC149" s="22"/>
      <c r="FKD149" s="22"/>
      <c r="FKE149" s="22"/>
      <c r="FKF149" s="22"/>
      <c r="FKG149" s="22"/>
      <c r="FKH149" s="22"/>
      <c r="FKI149" s="22"/>
      <c r="FKJ149" s="22"/>
      <c r="FKK149" s="22"/>
      <c r="FKL149" s="22"/>
      <c r="FKM149" s="22"/>
      <c r="FKN149" s="22"/>
      <c r="FKO149" s="22"/>
      <c r="FKP149" s="22"/>
      <c r="FKQ149" s="22"/>
      <c r="FKR149" s="22"/>
      <c r="FKS149" s="22"/>
      <c r="FKT149" s="22"/>
      <c r="FKU149" s="22"/>
      <c r="FKV149" s="22"/>
      <c r="FKW149" s="22"/>
      <c r="FKX149" s="22"/>
      <c r="FKY149" s="22"/>
      <c r="FKZ149" s="22"/>
      <c r="FLA149" s="22"/>
      <c r="FLB149" s="22"/>
      <c r="FLC149" s="22"/>
      <c r="FLD149" s="22"/>
      <c r="FLE149" s="22"/>
      <c r="FLF149" s="22"/>
      <c r="FLG149" s="22"/>
      <c r="FLH149" s="22"/>
      <c r="FLI149" s="22"/>
      <c r="FLJ149" s="22"/>
      <c r="FLK149" s="22"/>
      <c r="FLL149" s="22"/>
      <c r="FLM149" s="22"/>
      <c r="FLN149" s="22"/>
      <c r="FLO149" s="22"/>
      <c r="FLP149" s="22"/>
      <c r="FLQ149" s="22"/>
      <c r="FLR149" s="22"/>
      <c r="FLS149" s="22"/>
      <c r="FLT149" s="22"/>
      <c r="FLU149" s="22"/>
      <c r="FLV149" s="22"/>
      <c r="FLW149" s="22"/>
      <c r="FLX149" s="22"/>
      <c r="FLY149" s="22"/>
      <c r="FLZ149" s="22"/>
      <c r="FMA149" s="22"/>
      <c r="FMB149" s="22"/>
      <c r="FMC149" s="22"/>
      <c r="FMD149" s="22"/>
      <c r="FME149" s="22"/>
      <c r="FMF149" s="22"/>
      <c r="FMG149" s="22"/>
      <c r="FMH149" s="22"/>
      <c r="FMI149" s="22"/>
      <c r="FMJ149" s="22"/>
      <c r="FMK149" s="22"/>
      <c r="FML149" s="22"/>
      <c r="FMM149" s="22"/>
      <c r="FMN149" s="22"/>
      <c r="FMO149" s="22"/>
      <c r="FMP149" s="22"/>
      <c r="FMQ149" s="22"/>
      <c r="FMR149" s="22"/>
      <c r="FMS149" s="22"/>
      <c r="FMT149" s="22"/>
      <c r="FMU149" s="22"/>
      <c r="FMV149" s="22"/>
      <c r="FMW149" s="22"/>
      <c r="FMX149" s="22"/>
      <c r="FMY149" s="22"/>
      <c r="FMZ149" s="22"/>
      <c r="FNA149" s="22"/>
      <c r="FNB149" s="22"/>
      <c r="FNC149" s="22"/>
      <c r="FND149" s="22"/>
      <c r="FNE149" s="22"/>
      <c r="FNF149" s="22"/>
      <c r="FNG149" s="22"/>
      <c r="FNH149" s="22"/>
      <c r="FNI149" s="22"/>
      <c r="FNJ149" s="22"/>
      <c r="FNK149" s="22"/>
      <c r="FNL149" s="22"/>
      <c r="FNM149" s="22"/>
      <c r="FNN149" s="22"/>
      <c r="FNO149" s="22"/>
      <c r="FNP149" s="22"/>
      <c r="FNQ149" s="22"/>
      <c r="FNR149" s="22"/>
      <c r="FNS149" s="22"/>
      <c r="FNT149" s="22"/>
      <c r="FNU149" s="22"/>
      <c r="FNV149" s="22"/>
      <c r="FNW149" s="22"/>
      <c r="FNX149" s="22"/>
      <c r="FNY149" s="22"/>
      <c r="FNZ149" s="22"/>
      <c r="FOA149" s="22"/>
      <c r="FOB149" s="22"/>
      <c r="FOC149" s="22"/>
      <c r="FOD149" s="22"/>
      <c r="FOE149" s="22"/>
      <c r="FOF149" s="22"/>
      <c r="FOG149" s="22"/>
      <c r="FOH149" s="22"/>
      <c r="FOI149" s="22"/>
      <c r="FOJ149" s="22"/>
      <c r="FOK149" s="22"/>
      <c r="FOL149" s="22"/>
      <c r="FOM149" s="22"/>
      <c r="FON149" s="22"/>
      <c r="FOO149" s="22"/>
      <c r="FOP149" s="22"/>
      <c r="FOQ149" s="22"/>
      <c r="FOR149" s="22"/>
      <c r="FOS149" s="22"/>
      <c r="FOT149" s="22"/>
      <c r="FOU149" s="22"/>
      <c r="FOV149" s="22"/>
      <c r="FOW149" s="22"/>
      <c r="FOX149" s="22"/>
      <c r="FOY149" s="22"/>
      <c r="FOZ149" s="22"/>
      <c r="FPA149" s="22"/>
      <c r="FPB149" s="22"/>
      <c r="FPC149" s="22"/>
      <c r="FPD149" s="22"/>
      <c r="FPE149" s="22"/>
      <c r="FPF149" s="22"/>
      <c r="FPG149" s="22"/>
      <c r="FPH149" s="22"/>
      <c r="FPI149" s="22"/>
      <c r="FPJ149" s="22"/>
      <c r="FPK149" s="22"/>
      <c r="FPL149" s="22"/>
      <c r="FPM149" s="22"/>
      <c r="FPN149" s="22"/>
      <c r="FPO149" s="22"/>
      <c r="FPP149" s="22"/>
      <c r="FPQ149" s="22"/>
      <c r="FPR149" s="22"/>
      <c r="FPS149" s="22"/>
      <c r="FPT149" s="22"/>
      <c r="FPU149" s="22"/>
      <c r="FPV149" s="22"/>
      <c r="FPW149" s="22"/>
      <c r="FPX149" s="22"/>
      <c r="FPY149" s="22"/>
      <c r="FPZ149" s="22"/>
      <c r="FQA149" s="22"/>
      <c r="FQB149" s="22"/>
      <c r="FQC149" s="22"/>
      <c r="FQD149" s="22"/>
      <c r="FQE149" s="22"/>
      <c r="FQF149" s="22"/>
      <c r="FQG149" s="22"/>
      <c r="FQH149" s="22"/>
      <c r="FQI149" s="22"/>
      <c r="FQJ149" s="22"/>
      <c r="FQK149" s="22"/>
      <c r="FQL149" s="22"/>
      <c r="FQM149" s="22"/>
      <c r="FQN149" s="22"/>
      <c r="FQO149" s="22"/>
      <c r="FQP149" s="22"/>
      <c r="FQQ149" s="22"/>
      <c r="FQR149" s="22"/>
      <c r="FQS149" s="22"/>
      <c r="FQT149" s="22"/>
      <c r="FQU149" s="22"/>
      <c r="FQV149" s="22"/>
      <c r="FQW149" s="22"/>
      <c r="FQX149" s="22"/>
      <c r="FQY149" s="22"/>
      <c r="FQZ149" s="22"/>
      <c r="FRA149" s="22"/>
      <c r="FRB149" s="22"/>
      <c r="FRC149" s="22"/>
      <c r="FRD149" s="22"/>
      <c r="FRE149" s="22"/>
      <c r="FRF149" s="22"/>
      <c r="FRG149" s="22"/>
      <c r="FRH149" s="22"/>
      <c r="FRI149" s="22"/>
      <c r="FRJ149" s="22"/>
      <c r="FRK149" s="22"/>
      <c r="FRL149" s="22"/>
      <c r="FRM149" s="22"/>
      <c r="FRN149" s="22"/>
      <c r="FRO149" s="22"/>
      <c r="FRP149" s="22"/>
      <c r="FRQ149" s="22"/>
      <c r="FRR149" s="22"/>
      <c r="FRS149" s="22"/>
      <c r="FRT149" s="22"/>
      <c r="FRU149" s="22"/>
      <c r="FRV149" s="22"/>
      <c r="FRW149" s="22"/>
      <c r="FRX149" s="22"/>
      <c r="FRY149" s="22"/>
      <c r="FRZ149" s="22"/>
      <c r="FSA149" s="22"/>
      <c r="FSB149" s="22"/>
      <c r="FSC149" s="22"/>
      <c r="FSD149" s="22"/>
      <c r="FSE149" s="22"/>
      <c r="FSF149" s="22"/>
      <c r="FSG149" s="22"/>
      <c r="FSH149" s="22"/>
      <c r="FSI149" s="22"/>
      <c r="FSJ149" s="22"/>
      <c r="FSK149" s="22"/>
      <c r="FSL149" s="22"/>
      <c r="FSM149" s="22"/>
      <c r="FSN149" s="22"/>
      <c r="FSO149" s="22"/>
      <c r="FSP149" s="22"/>
      <c r="FSQ149" s="22"/>
      <c r="FSR149" s="22"/>
      <c r="FSS149" s="22"/>
      <c r="FST149" s="22"/>
      <c r="FSU149" s="22"/>
      <c r="FSV149" s="22"/>
      <c r="FSW149" s="22"/>
      <c r="FSX149" s="22"/>
      <c r="FSY149" s="22"/>
      <c r="FSZ149" s="22"/>
      <c r="FTA149" s="22"/>
      <c r="FTB149" s="22"/>
      <c r="FTC149" s="22"/>
      <c r="FTD149" s="22"/>
      <c r="FTE149" s="22"/>
      <c r="FTF149" s="22"/>
      <c r="FTG149" s="22"/>
      <c r="FTH149" s="22"/>
      <c r="FTI149" s="22"/>
      <c r="FTJ149" s="22"/>
      <c r="FTK149" s="22"/>
      <c r="FTL149" s="22"/>
      <c r="FTM149" s="22"/>
      <c r="FTN149" s="22"/>
      <c r="FTO149" s="22"/>
      <c r="FTP149" s="22"/>
      <c r="FTQ149" s="22"/>
      <c r="FTR149" s="22"/>
      <c r="FTS149" s="22"/>
      <c r="FTT149" s="22"/>
      <c r="FTU149" s="22"/>
      <c r="FTV149" s="22"/>
      <c r="FTW149" s="22"/>
      <c r="FTX149" s="22"/>
      <c r="FTY149" s="22"/>
      <c r="FTZ149" s="22"/>
      <c r="FUA149" s="22"/>
      <c r="FUB149" s="22"/>
      <c r="FUC149" s="22"/>
      <c r="FUD149" s="22"/>
      <c r="FUE149" s="22"/>
      <c r="FUF149" s="22"/>
      <c r="FUG149" s="22"/>
      <c r="FUH149" s="22"/>
      <c r="FUI149" s="22"/>
      <c r="FUJ149" s="22"/>
      <c r="FUK149" s="22"/>
      <c r="FUL149" s="22"/>
      <c r="FUM149" s="22"/>
      <c r="FUN149" s="22"/>
      <c r="FUO149" s="22"/>
      <c r="FUP149" s="22"/>
      <c r="FUQ149" s="22"/>
      <c r="FUR149" s="22"/>
      <c r="FUS149" s="22"/>
      <c r="FUT149" s="22"/>
      <c r="FUU149" s="22"/>
      <c r="FUV149" s="22"/>
      <c r="FUW149" s="22"/>
      <c r="FUX149" s="22"/>
      <c r="FUY149" s="22"/>
      <c r="FUZ149" s="22"/>
      <c r="FVA149" s="22"/>
      <c r="FVB149" s="22"/>
      <c r="FVC149" s="22"/>
      <c r="FVD149" s="22"/>
      <c r="FVE149" s="22"/>
      <c r="FVF149" s="22"/>
      <c r="FVG149" s="22"/>
      <c r="FVH149" s="22"/>
      <c r="FVI149" s="22"/>
      <c r="FVJ149" s="22"/>
      <c r="FVK149" s="22"/>
      <c r="FVL149" s="22"/>
      <c r="FVM149" s="22"/>
      <c r="FVN149" s="22"/>
      <c r="FVO149" s="22"/>
      <c r="FVP149" s="22"/>
      <c r="FVQ149" s="22"/>
      <c r="FVR149" s="22"/>
      <c r="FVS149" s="22"/>
      <c r="FVT149" s="22"/>
      <c r="FVU149" s="22"/>
      <c r="FVV149" s="22"/>
      <c r="FVW149" s="22"/>
      <c r="FVX149" s="22"/>
      <c r="FVY149" s="22"/>
      <c r="FVZ149" s="22"/>
      <c r="FWA149" s="22"/>
      <c r="FWB149" s="22"/>
      <c r="FWC149" s="22"/>
      <c r="FWD149" s="22"/>
      <c r="FWE149" s="22"/>
      <c r="FWF149" s="22"/>
      <c r="FWG149" s="22"/>
      <c r="FWH149" s="22"/>
      <c r="FWI149" s="22"/>
      <c r="FWJ149" s="22"/>
      <c r="FWK149" s="22"/>
      <c r="FWL149" s="22"/>
      <c r="FWM149" s="22"/>
      <c r="FWN149" s="22"/>
      <c r="FWO149" s="22"/>
      <c r="FWP149" s="22"/>
      <c r="FWQ149" s="22"/>
      <c r="FWR149" s="22"/>
      <c r="FWS149" s="22"/>
      <c r="FWT149" s="22"/>
      <c r="FWU149" s="22"/>
      <c r="FWV149" s="22"/>
      <c r="FWW149" s="22"/>
      <c r="FWX149" s="22"/>
      <c r="FWY149" s="22"/>
      <c r="FWZ149" s="22"/>
      <c r="FXA149" s="22"/>
      <c r="FXB149" s="22"/>
      <c r="FXC149" s="22"/>
      <c r="FXD149" s="22"/>
      <c r="FXE149" s="22"/>
      <c r="FXF149" s="22"/>
      <c r="FXG149" s="22"/>
      <c r="FXH149" s="22"/>
      <c r="FXI149" s="22"/>
      <c r="FXJ149" s="22"/>
      <c r="FXK149" s="22"/>
      <c r="FXL149" s="22"/>
      <c r="FXM149" s="22"/>
      <c r="FXN149" s="22"/>
      <c r="FXO149" s="22"/>
      <c r="FXP149" s="22"/>
      <c r="FXQ149" s="22"/>
      <c r="FXR149" s="22"/>
      <c r="FXS149" s="22"/>
      <c r="FXT149" s="22"/>
      <c r="FXU149" s="22"/>
      <c r="FXV149" s="22"/>
      <c r="FXW149" s="22"/>
      <c r="FXX149" s="22"/>
      <c r="FXY149" s="22"/>
      <c r="FXZ149" s="22"/>
      <c r="FYA149" s="22"/>
      <c r="FYB149" s="22"/>
      <c r="FYC149" s="22"/>
      <c r="FYD149" s="22"/>
      <c r="FYE149" s="22"/>
      <c r="FYF149" s="22"/>
      <c r="FYG149" s="22"/>
      <c r="FYH149" s="22"/>
      <c r="FYI149" s="22"/>
      <c r="FYJ149" s="22"/>
      <c r="FYK149" s="22"/>
      <c r="FYL149" s="22"/>
      <c r="FYM149" s="22"/>
      <c r="FYN149" s="22"/>
      <c r="FYO149" s="22"/>
      <c r="FYP149" s="22"/>
      <c r="FYQ149" s="22"/>
      <c r="FYR149" s="22"/>
      <c r="FYS149" s="22"/>
      <c r="FYT149" s="22"/>
      <c r="FYU149" s="22"/>
      <c r="FYV149" s="22"/>
      <c r="FYW149" s="22"/>
      <c r="FYX149" s="22"/>
      <c r="FYY149" s="22"/>
      <c r="FYZ149" s="22"/>
      <c r="FZA149" s="22"/>
      <c r="FZB149" s="22"/>
      <c r="FZC149" s="22"/>
      <c r="FZD149" s="22"/>
      <c r="FZE149" s="22"/>
      <c r="FZF149" s="22"/>
      <c r="FZG149" s="22"/>
      <c r="FZH149" s="22"/>
      <c r="FZI149" s="22"/>
      <c r="FZJ149" s="22"/>
      <c r="FZK149" s="22"/>
      <c r="FZL149" s="22"/>
      <c r="FZM149" s="22"/>
      <c r="FZN149" s="22"/>
      <c r="FZO149" s="22"/>
      <c r="FZP149" s="22"/>
      <c r="FZQ149" s="22"/>
      <c r="FZR149" s="22"/>
      <c r="FZS149" s="22"/>
      <c r="FZT149" s="22"/>
      <c r="FZU149" s="22"/>
      <c r="FZV149" s="22"/>
      <c r="FZW149" s="22"/>
      <c r="FZX149" s="22"/>
      <c r="FZY149" s="22"/>
      <c r="FZZ149" s="22"/>
      <c r="GAA149" s="22"/>
      <c r="GAB149" s="22"/>
      <c r="GAC149" s="22"/>
      <c r="GAD149" s="22"/>
      <c r="GAE149" s="22"/>
      <c r="GAF149" s="22"/>
      <c r="GAG149" s="22"/>
      <c r="GAH149" s="22"/>
      <c r="GAI149" s="22"/>
      <c r="GAJ149" s="22"/>
      <c r="GAK149" s="22"/>
      <c r="GAL149" s="22"/>
      <c r="GAM149" s="22"/>
      <c r="GAN149" s="22"/>
      <c r="GAO149" s="22"/>
      <c r="GAP149" s="22"/>
      <c r="GAQ149" s="22"/>
      <c r="GAR149" s="22"/>
      <c r="GAS149" s="22"/>
      <c r="GAT149" s="22"/>
      <c r="GAU149" s="22"/>
      <c r="GAV149" s="22"/>
      <c r="GAW149" s="22"/>
      <c r="GAX149" s="22"/>
      <c r="GAY149" s="22"/>
      <c r="GAZ149" s="22"/>
      <c r="GBA149" s="22"/>
      <c r="GBB149" s="22"/>
      <c r="GBC149" s="22"/>
      <c r="GBD149" s="22"/>
      <c r="GBE149" s="22"/>
      <c r="GBF149" s="22"/>
      <c r="GBG149" s="22"/>
      <c r="GBH149" s="22"/>
      <c r="GBI149" s="22"/>
      <c r="GBJ149" s="22"/>
      <c r="GBK149" s="22"/>
      <c r="GBL149" s="22"/>
      <c r="GBM149" s="22"/>
      <c r="GBN149" s="22"/>
      <c r="GBO149" s="22"/>
      <c r="GBP149" s="22"/>
      <c r="GBQ149" s="22"/>
      <c r="GBR149" s="22"/>
      <c r="GBS149" s="22"/>
      <c r="GBT149" s="22"/>
      <c r="GBU149" s="22"/>
      <c r="GBV149" s="22"/>
      <c r="GBW149" s="22"/>
      <c r="GBX149" s="22"/>
      <c r="GBY149" s="22"/>
      <c r="GBZ149" s="22"/>
      <c r="GCA149" s="22"/>
      <c r="GCB149" s="22"/>
      <c r="GCC149" s="22"/>
      <c r="GCD149" s="22"/>
      <c r="GCE149" s="22"/>
      <c r="GCF149" s="22"/>
      <c r="GCG149" s="22"/>
      <c r="GCH149" s="22"/>
      <c r="GCI149" s="22"/>
      <c r="GCJ149" s="22"/>
      <c r="GCK149" s="22"/>
      <c r="GCL149" s="22"/>
      <c r="GCM149" s="22"/>
      <c r="GCN149" s="22"/>
      <c r="GCO149" s="22"/>
      <c r="GCP149" s="22"/>
      <c r="GCQ149" s="22"/>
      <c r="GCR149" s="22"/>
      <c r="GCS149" s="22"/>
      <c r="GCT149" s="22"/>
      <c r="GCU149" s="22"/>
      <c r="GCV149" s="22"/>
      <c r="GCW149" s="22"/>
      <c r="GCX149" s="22"/>
      <c r="GCY149" s="22"/>
      <c r="GCZ149" s="22"/>
      <c r="GDA149" s="22"/>
      <c r="GDB149" s="22"/>
      <c r="GDC149" s="22"/>
      <c r="GDD149" s="22"/>
      <c r="GDE149" s="22"/>
      <c r="GDF149" s="22"/>
      <c r="GDG149" s="22"/>
      <c r="GDH149" s="22"/>
      <c r="GDI149" s="22"/>
      <c r="GDJ149" s="22"/>
      <c r="GDK149" s="22"/>
      <c r="GDL149" s="22"/>
      <c r="GDM149" s="22"/>
      <c r="GDN149" s="22"/>
      <c r="GDO149" s="22"/>
      <c r="GDP149" s="22"/>
      <c r="GDQ149" s="22"/>
      <c r="GDR149" s="22"/>
      <c r="GDS149" s="22"/>
      <c r="GDT149" s="22"/>
      <c r="GDU149" s="22"/>
      <c r="GDV149" s="22"/>
      <c r="GDW149" s="22"/>
      <c r="GDX149" s="22"/>
      <c r="GDY149" s="22"/>
      <c r="GDZ149" s="22"/>
      <c r="GEA149" s="22"/>
      <c r="GEB149" s="22"/>
      <c r="GEC149" s="22"/>
      <c r="GED149" s="22"/>
      <c r="GEE149" s="22"/>
      <c r="GEF149" s="22"/>
      <c r="GEG149" s="22"/>
      <c r="GEH149" s="22"/>
      <c r="GEI149" s="22"/>
      <c r="GEJ149" s="22"/>
      <c r="GEK149" s="22"/>
      <c r="GEL149" s="22"/>
      <c r="GEM149" s="22"/>
      <c r="GEN149" s="22"/>
      <c r="GEO149" s="22"/>
      <c r="GEP149" s="22"/>
      <c r="GEQ149" s="22"/>
      <c r="GER149" s="22"/>
      <c r="GES149" s="22"/>
      <c r="GET149" s="22"/>
      <c r="GEU149" s="22"/>
      <c r="GEV149" s="22"/>
      <c r="GEW149" s="22"/>
      <c r="GEX149" s="22"/>
      <c r="GEY149" s="22"/>
      <c r="GEZ149" s="22"/>
      <c r="GFA149" s="22"/>
      <c r="GFB149" s="22"/>
      <c r="GFC149" s="22"/>
      <c r="GFD149" s="22"/>
      <c r="GFE149" s="22"/>
      <c r="GFF149" s="22"/>
      <c r="GFG149" s="22"/>
      <c r="GFH149" s="22"/>
      <c r="GFI149" s="22"/>
      <c r="GFJ149" s="22"/>
      <c r="GFK149" s="22"/>
      <c r="GFL149" s="22"/>
      <c r="GFM149" s="22"/>
      <c r="GFN149" s="22"/>
      <c r="GFO149" s="22"/>
      <c r="GFP149" s="22"/>
      <c r="GFQ149" s="22"/>
      <c r="GFR149" s="22"/>
      <c r="GFS149" s="22"/>
      <c r="GFT149" s="22"/>
      <c r="GFU149" s="22"/>
      <c r="GFV149" s="22"/>
      <c r="GFW149" s="22"/>
      <c r="GFX149" s="22"/>
      <c r="GFY149" s="22"/>
      <c r="GFZ149" s="22"/>
      <c r="GGA149" s="22"/>
      <c r="GGB149" s="22"/>
      <c r="GGC149" s="22"/>
      <c r="GGD149" s="22"/>
      <c r="GGE149" s="22"/>
      <c r="GGF149" s="22"/>
      <c r="GGG149" s="22"/>
      <c r="GGH149" s="22"/>
      <c r="GGI149" s="22"/>
      <c r="GGJ149" s="22"/>
      <c r="GGK149" s="22"/>
      <c r="GGL149" s="22"/>
      <c r="GGM149" s="22"/>
      <c r="GGN149" s="22"/>
      <c r="GGO149" s="22"/>
      <c r="GGP149" s="22"/>
      <c r="GGQ149" s="22"/>
      <c r="GGR149" s="22"/>
      <c r="GGS149" s="22"/>
      <c r="GGT149" s="22"/>
      <c r="GGU149" s="22"/>
      <c r="GGV149" s="22"/>
      <c r="GGW149" s="22"/>
      <c r="GGX149" s="22"/>
      <c r="GGY149" s="22"/>
      <c r="GGZ149" s="22"/>
      <c r="GHA149" s="22"/>
      <c r="GHB149" s="22"/>
      <c r="GHC149" s="22"/>
      <c r="GHD149" s="22"/>
      <c r="GHE149" s="22"/>
      <c r="GHF149" s="22"/>
      <c r="GHG149" s="22"/>
      <c r="GHH149" s="22"/>
      <c r="GHI149" s="22"/>
      <c r="GHJ149" s="22"/>
      <c r="GHK149" s="22"/>
      <c r="GHL149" s="22"/>
      <c r="GHM149" s="22"/>
      <c r="GHN149" s="22"/>
      <c r="GHO149" s="22"/>
      <c r="GHP149" s="22"/>
      <c r="GHQ149" s="22"/>
      <c r="GHR149" s="22"/>
      <c r="GHS149" s="22"/>
      <c r="GHT149" s="22"/>
      <c r="GHU149" s="22"/>
      <c r="GHV149" s="22"/>
      <c r="GHW149" s="22"/>
      <c r="GHX149" s="22"/>
      <c r="GHY149" s="22"/>
      <c r="GHZ149" s="22"/>
      <c r="GIA149" s="22"/>
      <c r="GIB149" s="22"/>
      <c r="GIC149" s="22"/>
      <c r="GID149" s="22"/>
      <c r="GIE149" s="22"/>
      <c r="GIF149" s="22"/>
      <c r="GIG149" s="22"/>
      <c r="GIH149" s="22"/>
      <c r="GII149" s="22"/>
      <c r="GIJ149" s="22"/>
      <c r="GIK149" s="22"/>
      <c r="GIL149" s="22"/>
      <c r="GIM149" s="22"/>
      <c r="GIN149" s="22"/>
      <c r="GIO149" s="22"/>
      <c r="GIP149" s="22"/>
      <c r="GIQ149" s="22"/>
      <c r="GIR149" s="22"/>
      <c r="GIS149" s="22"/>
      <c r="GIT149" s="22"/>
      <c r="GIU149" s="22"/>
      <c r="GIV149" s="22"/>
      <c r="GIW149" s="22"/>
      <c r="GIX149" s="22"/>
      <c r="GIY149" s="22"/>
      <c r="GIZ149" s="22"/>
      <c r="GJA149" s="22"/>
      <c r="GJB149" s="22"/>
      <c r="GJC149" s="22"/>
      <c r="GJD149" s="22"/>
      <c r="GJE149" s="22"/>
      <c r="GJF149" s="22"/>
      <c r="GJG149" s="22"/>
      <c r="GJH149" s="22"/>
      <c r="GJI149" s="22"/>
      <c r="GJJ149" s="22"/>
      <c r="GJK149" s="22"/>
      <c r="GJL149" s="22"/>
      <c r="GJM149" s="22"/>
      <c r="GJN149" s="22"/>
      <c r="GJO149" s="22"/>
      <c r="GJP149" s="22"/>
      <c r="GJQ149" s="22"/>
      <c r="GJR149" s="22"/>
      <c r="GJS149" s="22"/>
      <c r="GJT149" s="22"/>
      <c r="GJU149" s="22"/>
      <c r="GJV149" s="22"/>
      <c r="GJW149" s="22"/>
      <c r="GJX149" s="22"/>
      <c r="GJY149" s="22"/>
      <c r="GJZ149" s="22"/>
      <c r="GKA149" s="22"/>
      <c r="GKB149" s="22"/>
      <c r="GKC149" s="22"/>
      <c r="GKD149" s="22"/>
      <c r="GKE149" s="22"/>
      <c r="GKF149" s="22"/>
      <c r="GKG149" s="22"/>
      <c r="GKH149" s="22"/>
      <c r="GKI149" s="22"/>
      <c r="GKJ149" s="22"/>
      <c r="GKK149" s="22"/>
      <c r="GKL149" s="22"/>
      <c r="GKM149" s="22"/>
      <c r="GKN149" s="22"/>
      <c r="GKO149" s="22"/>
      <c r="GKP149" s="22"/>
      <c r="GKQ149" s="22"/>
      <c r="GKR149" s="22"/>
      <c r="GKS149" s="22"/>
      <c r="GKT149" s="22"/>
      <c r="GKU149" s="22"/>
      <c r="GKV149" s="22"/>
      <c r="GKW149" s="22"/>
      <c r="GKX149" s="22"/>
      <c r="GKY149" s="22"/>
      <c r="GKZ149" s="22"/>
      <c r="GLA149" s="22"/>
      <c r="GLB149" s="22"/>
      <c r="GLC149" s="22"/>
      <c r="GLD149" s="22"/>
      <c r="GLE149" s="22"/>
      <c r="GLF149" s="22"/>
      <c r="GLG149" s="22"/>
      <c r="GLH149" s="22"/>
      <c r="GLI149" s="22"/>
      <c r="GLJ149" s="22"/>
      <c r="GLK149" s="22"/>
      <c r="GLL149" s="22"/>
      <c r="GLM149" s="22"/>
      <c r="GLN149" s="22"/>
      <c r="GLO149" s="22"/>
      <c r="GLP149" s="22"/>
      <c r="GLQ149" s="22"/>
      <c r="GLR149" s="22"/>
      <c r="GLS149" s="22"/>
      <c r="GLT149" s="22"/>
      <c r="GLU149" s="22"/>
      <c r="GLV149" s="22"/>
      <c r="GLW149" s="22"/>
      <c r="GLX149" s="22"/>
      <c r="GLY149" s="22"/>
      <c r="GLZ149" s="22"/>
      <c r="GMA149" s="22"/>
      <c r="GMB149" s="22"/>
      <c r="GMC149" s="22"/>
      <c r="GMD149" s="22"/>
      <c r="GME149" s="22"/>
      <c r="GMF149" s="22"/>
      <c r="GMG149" s="22"/>
      <c r="GMH149" s="22"/>
      <c r="GMI149" s="22"/>
      <c r="GMJ149" s="22"/>
      <c r="GMK149" s="22"/>
      <c r="GML149" s="22"/>
      <c r="GMM149" s="22"/>
      <c r="GMN149" s="22"/>
      <c r="GMO149" s="22"/>
      <c r="GMP149" s="22"/>
      <c r="GMQ149" s="22"/>
      <c r="GMR149" s="22"/>
      <c r="GMS149" s="22"/>
      <c r="GMT149" s="22"/>
      <c r="GMU149" s="22"/>
      <c r="GMV149" s="22"/>
      <c r="GMW149" s="22"/>
      <c r="GMX149" s="22"/>
      <c r="GMY149" s="22"/>
      <c r="GMZ149" s="22"/>
      <c r="GNA149" s="22"/>
      <c r="GNB149" s="22"/>
      <c r="GNC149" s="22"/>
      <c r="GND149" s="22"/>
      <c r="GNE149" s="22"/>
      <c r="GNF149" s="22"/>
      <c r="GNG149" s="22"/>
      <c r="GNH149" s="22"/>
      <c r="GNI149" s="22"/>
      <c r="GNJ149" s="22"/>
      <c r="GNK149" s="22"/>
      <c r="GNL149" s="22"/>
      <c r="GNM149" s="22"/>
      <c r="GNN149" s="22"/>
      <c r="GNO149" s="22"/>
      <c r="GNP149" s="22"/>
      <c r="GNQ149" s="22"/>
      <c r="GNR149" s="22"/>
      <c r="GNS149" s="22"/>
      <c r="GNT149" s="22"/>
      <c r="GNU149" s="22"/>
      <c r="GNV149" s="22"/>
      <c r="GNW149" s="22"/>
      <c r="GNX149" s="22"/>
      <c r="GNY149" s="22"/>
      <c r="GNZ149" s="22"/>
      <c r="GOA149" s="22"/>
      <c r="GOB149" s="22"/>
      <c r="GOC149" s="22"/>
      <c r="GOD149" s="22"/>
      <c r="GOE149" s="22"/>
      <c r="GOF149" s="22"/>
      <c r="GOG149" s="22"/>
      <c r="GOH149" s="22"/>
      <c r="GOI149" s="22"/>
      <c r="GOJ149" s="22"/>
      <c r="GOK149" s="22"/>
      <c r="GOL149" s="22"/>
      <c r="GOM149" s="22"/>
      <c r="GON149" s="22"/>
      <c r="GOO149" s="22"/>
      <c r="GOP149" s="22"/>
      <c r="GOQ149" s="22"/>
      <c r="GOR149" s="22"/>
      <c r="GOS149" s="22"/>
      <c r="GOT149" s="22"/>
      <c r="GOU149" s="22"/>
      <c r="GOV149" s="22"/>
      <c r="GOW149" s="22"/>
      <c r="GOX149" s="22"/>
      <c r="GOY149" s="22"/>
      <c r="GOZ149" s="22"/>
      <c r="GPA149" s="22"/>
      <c r="GPB149" s="22"/>
      <c r="GPC149" s="22"/>
      <c r="GPD149" s="22"/>
      <c r="GPE149" s="22"/>
      <c r="GPF149" s="22"/>
      <c r="GPG149" s="22"/>
      <c r="GPH149" s="22"/>
      <c r="GPI149" s="22"/>
      <c r="GPJ149" s="22"/>
      <c r="GPK149" s="22"/>
      <c r="GPL149" s="22"/>
      <c r="GPM149" s="22"/>
      <c r="GPN149" s="22"/>
      <c r="GPO149" s="22"/>
      <c r="GPP149" s="22"/>
      <c r="GPQ149" s="22"/>
      <c r="GPR149" s="22"/>
      <c r="GPS149" s="22"/>
      <c r="GPT149" s="22"/>
      <c r="GPU149" s="22"/>
      <c r="GPV149" s="22"/>
      <c r="GPW149" s="22"/>
      <c r="GPX149" s="22"/>
      <c r="GPY149" s="22"/>
      <c r="GPZ149" s="22"/>
      <c r="GQA149" s="22"/>
      <c r="GQB149" s="22"/>
      <c r="GQC149" s="22"/>
      <c r="GQD149" s="22"/>
      <c r="GQE149" s="22"/>
      <c r="GQF149" s="22"/>
      <c r="GQG149" s="22"/>
      <c r="GQH149" s="22"/>
      <c r="GQI149" s="22"/>
      <c r="GQJ149" s="22"/>
      <c r="GQK149" s="22"/>
      <c r="GQL149" s="22"/>
      <c r="GQM149" s="22"/>
      <c r="GQN149" s="22"/>
      <c r="GQO149" s="22"/>
      <c r="GQP149" s="22"/>
      <c r="GQQ149" s="22"/>
      <c r="GQR149" s="22"/>
      <c r="GQS149" s="22"/>
      <c r="GQT149" s="22"/>
      <c r="GQU149" s="22"/>
      <c r="GQV149" s="22"/>
      <c r="GQW149" s="22"/>
      <c r="GQX149" s="22"/>
      <c r="GQY149" s="22"/>
      <c r="GQZ149" s="22"/>
      <c r="GRA149" s="22"/>
      <c r="GRB149" s="22"/>
      <c r="GRC149" s="22"/>
      <c r="GRD149" s="22"/>
      <c r="GRE149" s="22"/>
      <c r="GRF149" s="22"/>
      <c r="GRG149" s="22"/>
      <c r="GRH149" s="22"/>
      <c r="GRI149" s="22"/>
      <c r="GRJ149" s="22"/>
      <c r="GRK149" s="22"/>
      <c r="GRL149" s="22"/>
      <c r="GRM149" s="22"/>
      <c r="GRN149" s="22"/>
      <c r="GRO149" s="22"/>
      <c r="GRP149" s="22"/>
      <c r="GRQ149" s="22"/>
      <c r="GRR149" s="22"/>
      <c r="GRS149" s="22"/>
      <c r="GRT149" s="22"/>
      <c r="GRU149" s="22"/>
      <c r="GRV149" s="22"/>
      <c r="GRW149" s="22"/>
      <c r="GRX149" s="22"/>
      <c r="GRY149" s="22"/>
      <c r="GRZ149" s="22"/>
      <c r="GSA149" s="22"/>
      <c r="GSB149" s="22"/>
      <c r="GSC149" s="22"/>
      <c r="GSD149" s="22"/>
      <c r="GSE149" s="22"/>
      <c r="GSF149" s="22"/>
      <c r="GSG149" s="22"/>
      <c r="GSH149" s="22"/>
      <c r="GSI149" s="22"/>
      <c r="GSJ149" s="22"/>
      <c r="GSK149" s="22"/>
      <c r="GSL149" s="22"/>
      <c r="GSM149" s="22"/>
      <c r="GSN149" s="22"/>
      <c r="GSO149" s="22"/>
      <c r="GSP149" s="22"/>
      <c r="GSQ149" s="22"/>
      <c r="GSR149" s="22"/>
      <c r="GSS149" s="22"/>
      <c r="GST149" s="22"/>
      <c r="GSU149" s="22"/>
      <c r="GSV149" s="22"/>
      <c r="GSW149" s="22"/>
      <c r="GSX149" s="22"/>
      <c r="GSY149" s="22"/>
      <c r="GSZ149" s="22"/>
      <c r="GTA149" s="22"/>
      <c r="GTB149" s="22"/>
      <c r="GTC149" s="22"/>
      <c r="GTD149" s="22"/>
      <c r="GTE149" s="22"/>
      <c r="GTF149" s="22"/>
      <c r="GTG149" s="22"/>
      <c r="GTH149" s="22"/>
      <c r="GTI149" s="22"/>
      <c r="GTJ149" s="22"/>
      <c r="GTK149" s="22"/>
      <c r="GTL149" s="22"/>
      <c r="GTM149" s="22"/>
      <c r="GTN149" s="22"/>
      <c r="GTO149" s="22"/>
      <c r="GTP149" s="22"/>
      <c r="GTQ149" s="22"/>
      <c r="GTR149" s="22"/>
      <c r="GTS149" s="22"/>
      <c r="GTT149" s="22"/>
      <c r="GTU149" s="22"/>
      <c r="GTV149" s="22"/>
      <c r="GTW149" s="22"/>
      <c r="GTX149" s="22"/>
      <c r="GTY149" s="22"/>
      <c r="GTZ149" s="22"/>
      <c r="GUA149" s="22"/>
      <c r="GUB149" s="22"/>
      <c r="GUC149" s="22"/>
      <c r="GUD149" s="22"/>
      <c r="GUE149" s="22"/>
      <c r="GUF149" s="22"/>
      <c r="GUG149" s="22"/>
      <c r="GUH149" s="22"/>
      <c r="GUI149" s="22"/>
      <c r="GUJ149" s="22"/>
      <c r="GUK149" s="22"/>
      <c r="GUL149" s="22"/>
      <c r="GUM149" s="22"/>
      <c r="GUN149" s="22"/>
      <c r="GUO149" s="22"/>
      <c r="GUP149" s="22"/>
      <c r="GUQ149" s="22"/>
      <c r="GUR149" s="22"/>
      <c r="GUS149" s="22"/>
      <c r="GUT149" s="22"/>
      <c r="GUU149" s="22"/>
      <c r="GUV149" s="22"/>
      <c r="GUW149" s="22"/>
      <c r="GUX149" s="22"/>
      <c r="GUY149" s="22"/>
      <c r="GUZ149" s="22"/>
      <c r="GVA149" s="22"/>
      <c r="GVB149" s="22"/>
      <c r="GVC149" s="22"/>
      <c r="GVD149" s="22"/>
      <c r="GVE149" s="22"/>
      <c r="GVF149" s="22"/>
      <c r="GVG149" s="22"/>
      <c r="GVH149" s="22"/>
      <c r="GVI149" s="22"/>
      <c r="GVJ149" s="22"/>
      <c r="GVK149" s="22"/>
      <c r="GVL149" s="22"/>
      <c r="GVM149" s="22"/>
      <c r="GVN149" s="22"/>
      <c r="GVO149" s="22"/>
      <c r="GVP149" s="22"/>
      <c r="GVQ149" s="22"/>
      <c r="GVR149" s="22"/>
      <c r="GVS149" s="22"/>
      <c r="GVT149" s="22"/>
      <c r="GVU149" s="22"/>
      <c r="GVV149" s="22"/>
      <c r="GVW149" s="22"/>
      <c r="GVX149" s="22"/>
      <c r="GVY149" s="22"/>
      <c r="GVZ149" s="22"/>
      <c r="GWA149" s="22"/>
      <c r="GWB149" s="22"/>
      <c r="GWC149" s="22"/>
      <c r="GWD149" s="22"/>
      <c r="GWE149" s="22"/>
      <c r="GWF149" s="22"/>
      <c r="GWG149" s="22"/>
      <c r="GWH149" s="22"/>
      <c r="GWI149" s="22"/>
      <c r="GWJ149" s="22"/>
      <c r="GWK149" s="22"/>
      <c r="GWL149" s="22"/>
      <c r="GWM149" s="22"/>
      <c r="GWN149" s="22"/>
      <c r="GWO149" s="22"/>
      <c r="GWP149" s="22"/>
      <c r="GWQ149" s="22"/>
      <c r="GWR149" s="22"/>
      <c r="GWS149" s="22"/>
      <c r="GWT149" s="22"/>
      <c r="GWU149" s="22"/>
      <c r="GWV149" s="22"/>
      <c r="GWW149" s="22"/>
      <c r="GWX149" s="22"/>
      <c r="GWY149" s="22"/>
      <c r="GWZ149" s="22"/>
      <c r="GXA149" s="22"/>
      <c r="GXB149" s="22"/>
      <c r="GXC149" s="22"/>
      <c r="GXD149" s="22"/>
      <c r="GXE149" s="22"/>
      <c r="GXF149" s="22"/>
      <c r="GXG149" s="22"/>
      <c r="GXH149" s="22"/>
      <c r="GXI149" s="22"/>
      <c r="GXJ149" s="22"/>
      <c r="GXK149" s="22"/>
      <c r="GXL149" s="22"/>
      <c r="GXM149" s="22"/>
      <c r="GXN149" s="22"/>
      <c r="GXO149" s="22"/>
      <c r="GXP149" s="22"/>
      <c r="GXQ149" s="22"/>
      <c r="GXR149" s="22"/>
      <c r="GXS149" s="22"/>
      <c r="GXT149" s="22"/>
      <c r="GXU149" s="22"/>
      <c r="GXV149" s="22"/>
      <c r="GXW149" s="22"/>
      <c r="GXX149" s="22"/>
      <c r="GXY149" s="22"/>
      <c r="GXZ149" s="22"/>
      <c r="GYA149" s="22"/>
      <c r="GYB149" s="22"/>
      <c r="GYC149" s="22"/>
      <c r="GYD149" s="22"/>
      <c r="GYE149" s="22"/>
      <c r="GYF149" s="22"/>
      <c r="GYG149" s="22"/>
      <c r="GYH149" s="22"/>
      <c r="GYI149" s="22"/>
      <c r="GYJ149" s="22"/>
      <c r="GYK149" s="22"/>
      <c r="GYL149" s="22"/>
      <c r="GYM149" s="22"/>
      <c r="GYN149" s="22"/>
      <c r="GYO149" s="22"/>
      <c r="GYP149" s="22"/>
      <c r="GYQ149" s="22"/>
      <c r="GYR149" s="22"/>
      <c r="GYS149" s="22"/>
      <c r="GYT149" s="22"/>
      <c r="GYU149" s="22"/>
      <c r="GYV149" s="22"/>
      <c r="GYW149" s="22"/>
      <c r="GYX149" s="22"/>
      <c r="GYY149" s="22"/>
      <c r="GYZ149" s="22"/>
      <c r="GZA149" s="22"/>
      <c r="GZB149" s="22"/>
      <c r="GZC149" s="22"/>
      <c r="GZD149" s="22"/>
      <c r="GZE149" s="22"/>
      <c r="GZF149" s="22"/>
      <c r="GZG149" s="22"/>
      <c r="GZH149" s="22"/>
      <c r="GZI149" s="22"/>
      <c r="GZJ149" s="22"/>
      <c r="GZK149" s="22"/>
      <c r="GZL149" s="22"/>
      <c r="GZM149" s="22"/>
      <c r="GZN149" s="22"/>
      <c r="GZO149" s="22"/>
      <c r="GZP149" s="22"/>
      <c r="GZQ149" s="22"/>
      <c r="GZR149" s="22"/>
      <c r="GZS149" s="22"/>
      <c r="GZT149" s="22"/>
      <c r="GZU149" s="22"/>
      <c r="GZV149" s="22"/>
      <c r="GZW149" s="22"/>
      <c r="GZX149" s="22"/>
      <c r="GZY149" s="22"/>
      <c r="GZZ149" s="22"/>
      <c r="HAA149" s="22"/>
      <c r="HAB149" s="22"/>
      <c r="HAC149" s="22"/>
      <c r="HAD149" s="22"/>
      <c r="HAE149" s="22"/>
      <c r="HAF149" s="22"/>
      <c r="HAG149" s="22"/>
      <c r="HAH149" s="22"/>
      <c r="HAI149" s="22"/>
      <c r="HAJ149" s="22"/>
      <c r="HAK149" s="22"/>
      <c r="HAL149" s="22"/>
      <c r="HAM149" s="22"/>
      <c r="HAN149" s="22"/>
      <c r="HAO149" s="22"/>
      <c r="HAP149" s="22"/>
      <c r="HAQ149" s="22"/>
      <c r="HAR149" s="22"/>
      <c r="HAS149" s="22"/>
      <c r="HAT149" s="22"/>
      <c r="HAU149" s="22"/>
      <c r="HAV149" s="22"/>
      <c r="HAW149" s="22"/>
      <c r="HAX149" s="22"/>
      <c r="HAY149" s="22"/>
      <c r="HAZ149" s="22"/>
      <c r="HBA149" s="22"/>
      <c r="HBB149" s="22"/>
      <c r="HBC149" s="22"/>
      <c r="HBD149" s="22"/>
      <c r="HBE149" s="22"/>
      <c r="HBF149" s="22"/>
      <c r="HBG149" s="22"/>
      <c r="HBH149" s="22"/>
      <c r="HBI149" s="22"/>
      <c r="HBJ149" s="22"/>
      <c r="HBK149" s="22"/>
      <c r="HBL149" s="22"/>
      <c r="HBM149" s="22"/>
      <c r="HBN149" s="22"/>
      <c r="HBO149" s="22"/>
      <c r="HBP149" s="22"/>
      <c r="HBQ149" s="22"/>
      <c r="HBR149" s="22"/>
      <c r="HBS149" s="22"/>
      <c r="HBT149" s="22"/>
      <c r="HBU149" s="22"/>
      <c r="HBV149" s="22"/>
      <c r="HBW149" s="22"/>
      <c r="HBX149" s="22"/>
      <c r="HBY149" s="22"/>
      <c r="HBZ149" s="22"/>
      <c r="HCA149" s="22"/>
      <c r="HCB149" s="22"/>
      <c r="HCC149" s="22"/>
      <c r="HCD149" s="22"/>
      <c r="HCE149" s="22"/>
      <c r="HCF149" s="22"/>
      <c r="HCG149" s="22"/>
      <c r="HCH149" s="22"/>
      <c r="HCI149" s="22"/>
      <c r="HCJ149" s="22"/>
      <c r="HCK149" s="22"/>
      <c r="HCL149" s="22"/>
      <c r="HCM149" s="22"/>
      <c r="HCN149" s="22"/>
      <c r="HCO149" s="22"/>
      <c r="HCP149" s="22"/>
      <c r="HCQ149" s="22"/>
      <c r="HCR149" s="22"/>
      <c r="HCS149" s="22"/>
      <c r="HCT149" s="22"/>
      <c r="HCU149" s="22"/>
      <c r="HCV149" s="22"/>
      <c r="HCW149" s="22"/>
      <c r="HCX149" s="22"/>
      <c r="HCY149" s="22"/>
      <c r="HCZ149" s="22"/>
      <c r="HDA149" s="22"/>
      <c r="HDB149" s="22"/>
      <c r="HDC149" s="22"/>
      <c r="HDD149" s="22"/>
      <c r="HDE149" s="22"/>
      <c r="HDF149" s="22"/>
      <c r="HDG149" s="22"/>
      <c r="HDH149" s="22"/>
      <c r="HDI149" s="22"/>
      <c r="HDJ149" s="22"/>
      <c r="HDK149" s="22"/>
      <c r="HDL149" s="22"/>
      <c r="HDM149" s="22"/>
      <c r="HDN149" s="22"/>
      <c r="HDO149" s="22"/>
      <c r="HDP149" s="22"/>
      <c r="HDQ149" s="22"/>
      <c r="HDR149" s="22"/>
      <c r="HDS149" s="22"/>
      <c r="HDT149" s="22"/>
      <c r="HDU149" s="22"/>
      <c r="HDV149" s="22"/>
      <c r="HDW149" s="22"/>
      <c r="HDX149" s="22"/>
      <c r="HDY149" s="22"/>
      <c r="HDZ149" s="22"/>
      <c r="HEA149" s="22"/>
      <c r="HEB149" s="22"/>
      <c r="HEC149" s="22"/>
      <c r="HED149" s="22"/>
      <c r="HEE149" s="22"/>
      <c r="HEF149" s="22"/>
      <c r="HEG149" s="22"/>
      <c r="HEH149" s="22"/>
      <c r="HEI149" s="22"/>
      <c r="HEJ149" s="22"/>
      <c r="HEK149" s="22"/>
      <c r="HEL149" s="22"/>
      <c r="HEM149" s="22"/>
      <c r="HEN149" s="22"/>
      <c r="HEO149" s="22"/>
      <c r="HEP149" s="22"/>
      <c r="HEQ149" s="22"/>
      <c r="HER149" s="22"/>
      <c r="HES149" s="22"/>
      <c r="HET149" s="22"/>
      <c r="HEU149" s="22"/>
      <c r="HEV149" s="22"/>
      <c r="HEW149" s="22"/>
      <c r="HEX149" s="22"/>
      <c r="HEY149" s="22"/>
      <c r="HEZ149" s="22"/>
      <c r="HFA149" s="22"/>
      <c r="HFB149" s="22"/>
      <c r="HFC149" s="22"/>
      <c r="HFD149" s="22"/>
      <c r="HFE149" s="22"/>
      <c r="HFF149" s="22"/>
      <c r="HFG149" s="22"/>
      <c r="HFH149" s="22"/>
      <c r="HFI149" s="22"/>
      <c r="HFJ149" s="22"/>
      <c r="HFK149" s="22"/>
      <c r="HFL149" s="22"/>
      <c r="HFM149" s="22"/>
      <c r="HFN149" s="22"/>
      <c r="HFO149" s="22"/>
      <c r="HFP149" s="22"/>
      <c r="HFQ149" s="22"/>
      <c r="HFR149" s="22"/>
      <c r="HFS149" s="22"/>
      <c r="HFT149" s="22"/>
      <c r="HFU149" s="22"/>
      <c r="HFV149" s="22"/>
      <c r="HFW149" s="22"/>
      <c r="HFX149" s="22"/>
      <c r="HFY149" s="22"/>
      <c r="HFZ149" s="22"/>
      <c r="HGA149" s="22"/>
      <c r="HGB149" s="22"/>
      <c r="HGC149" s="22"/>
      <c r="HGD149" s="22"/>
      <c r="HGE149" s="22"/>
      <c r="HGF149" s="22"/>
      <c r="HGG149" s="22"/>
      <c r="HGH149" s="22"/>
      <c r="HGI149" s="22"/>
      <c r="HGJ149" s="22"/>
      <c r="HGK149" s="22"/>
      <c r="HGL149" s="22"/>
      <c r="HGM149" s="22"/>
      <c r="HGN149" s="22"/>
      <c r="HGO149" s="22"/>
      <c r="HGP149" s="22"/>
      <c r="HGQ149" s="22"/>
      <c r="HGR149" s="22"/>
      <c r="HGS149" s="22"/>
      <c r="HGT149" s="22"/>
      <c r="HGU149" s="22"/>
      <c r="HGV149" s="22"/>
      <c r="HGW149" s="22"/>
      <c r="HGX149" s="22"/>
      <c r="HGY149" s="22"/>
      <c r="HGZ149" s="22"/>
      <c r="HHA149" s="22"/>
      <c r="HHB149" s="22"/>
      <c r="HHC149" s="22"/>
      <c r="HHD149" s="22"/>
      <c r="HHE149" s="22"/>
      <c r="HHF149" s="22"/>
      <c r="HHG149" s="22"/>
      <c r="HHH149" s="22"/>
      <c r="HHI149" s="22"/>
      <c r="HHJ149" s="22"/>
      <c r="HHK149" s="22"/>
      <c r="HHL149" s="22"/>
      <c r="HHM149" s="22"/>
      <c r="HHN149" s="22"/>
      <c r="HHO149" s="22"/>
      <c r="HHP149" s="22"/>
      <c r="HHQ149" s="22"/>
      <c r="HHR149" s="22"/>
      <c r="HHS149" s="22"/>
      <c r="HHT149" s="22"/>
      <c r="HHU149" s="22"/>
      <c r="HHV149" s="22"/>
      <c r="HHW149" s="22"/>
      <c r="HHX149" s="22"/>
      <c r="HHY149" s="22"/>
      <c r="HHZ149" s="22"/>
      <c r="HIA149" s="22"/>
      <c r="HIB149" s="22"/>
      <c r="HIC149" s="22"/>
      <c r="HID149" s="22"/>
      <c r="HIE149" s="22"/>
      <c r="HIF149" s="22"/>
      <c r="HIG149" s="22"/>
      <c r="HIH149" s="22"/>
      <c r="HII149" s="22"/>
      <c r="HIJ149" s="22"/>
      <c r="HIK149" s="22"/>
      <c r="HIL149" s="22"/>
      <c r="HIM149" s="22"/>
      <c r="HIN149" s="22"/>
      <c r="HIO149" s="22"/>
      <c r="HIP149" s="22"/>
      <c r="HIQ149" s="22"/>
      <c r="HIR149" s="22"/>
      <c r="HIS149" s="22"/>
      <c r="HIT149" s="22"/>
      <c r="HIU149" s="22"/>
      <c r="HIV149" s="22"/>
      <c r="HIW149" s="22"/>
      <c r="HIX149" s="22"/>
      <c r="HIY149" s="22"/>
      <c r="HIZ149" s="22"/>
      <c r="HJA149" s="22"/>
      <c r="HJB149" s="22"/>
      <c r="HJC149" s="22"/>
      <c r="HJD149" s="22"/>
      <c r="HJE149" s="22"/>
      <c r="HJF149" s="22"/>
      <c r="HJG149" s="22"/>
      <c r="HJH149" s="22"/>
      <c r="HJI149" s="22"/>
      <c r="HJJ149" s="22"/>
      <c r="HJK149" s="22"/>
      <c r="HJL149" s="22"/>
      <c r="HJM149" s="22"/>
      <c r="HJN149" s="22"/>
      <c r="HJO149" s="22"/>
      <c r="HJP149" s="22"/>
      <c r="HJQ149" s="22"/>
      <c r="HJR149" s="22"/>
      <c r="HJS149" s="22"/>
      <c r="HJT149" s="22"/>
      <c r="HJU149" s="22"/>
      <c r="HJV149" s="22"/>
      <c r="HJW149" s="22"/>
      <c r="HJX149" s="22"/>
      <c r="HJY149" s="22"/>
      <c r="HJZ149" s="22"/>
      <c r="HKA149" s="22"/>
      <c r="HKB149" s="22"/>
      <c r="HKC149" s="22"/>
      <c r="HKD149" s="22"/>
      <c r="HKE149" s="22"/>
      <c r="HKF149" s="22"/>
      <c r="HKG149" s="22"/>
      <c r="HKH149" s="22"/>
      <c r="HKI149" s="22"/>
      <c r="HKJ149" s="22"/>
      <c r="HKK149" s="22"/>
      <c r="HKL149" s="22"/>
      <c r="HKM149" s="22"/>
      <c r="HKN149" s="22"/>
      <c r="HKO149" s="22"/>
      <c r="HKP149" s="22"/>
      <c r="HKQ149" s="22"/>
      <c r="HKR149" s="22"/>
      <c r="HKS149" s="22"/>
      <c r="HKT149" s="22"/>
      <c r="HKU149" s="22"/>
      <c r="HKV149" s="22"/>
      <c r="HKW149" s="22"/>
      <c r="HKX149" s="22"/>
      <c r="HKY149" s="22"/>
      <c r="HKZ149" s="22"/>
      <c r="HLA149" s="22"/>
      <c r="HLB149" s="22"/>
      <c r="HLC149" s="22"/>
      <c r="HLD149" s="22"/>
      <c r="HLE149" s="22"/>
      <c r="HLF149" s="22"/>
      <c r="HLG149" s="22"/>
      <c r="HLH149" s="22"/>
      <c r="HLI149" s="22"/>
      <c r="HLJ149" s="22"/>
      <c r="HLK149" s="22"/>
      <c r="HLL149" s="22"/>
      <c r="HLM149" s="22"/>
      <c r="HLN149" s="22"/>
      <c r="HLO149" s="22"/>
      <c r="HLP149" s="22"/>
      <c r="HLQ149" s="22"/>
      <c r="HLR149" s="22"/>
      <c r="HLS149" s="22"/>
      <c r="HLT149" s="22"/>
      <c r="HLU149" s="22"/>
      <c r="HLV149" s="22"/>
      <c r="HLW149" s="22"/>
      <c r="HLX149" s="22"/>
      <c r="HLY149" s="22"/>
      <c r="HLZ149" s="22"/>
      <c r="HMA149" s="22"/>
      <c r="HMB149" s="22"/>
      <c r="HMC149" s="22"/>
      <c r="HMD149" s="22"/>
      <c r="HME149" s="22"/>
      <c r="HMF149" s="22"/>
      <c r="HMG149" s="22"/>
      <c r="HMH149" s="22"/>
      <c r="HMI149" s="22"/>
      <c r="HMJ149" s="22"/>
      <c r="HMK149" s="22"/>
      <c r="HML149" s="22"/>
      <c r="HMM149" s="22"/>
      <c r="HMN149" s="22"/>
      <c r="HMO149" s="22"/>
      <c r="HMP149" s="22"/>
      <c r="HMQ149" s="22"/>
      <c r="HMR149" s="22"/>
      <c r="HMS149" s="22"/>
      <c r="HMT149" s="22"/>
      <c r="HMU149" s="22"/>
      <c r="HMV149" s="22"/>
      <c r="HMW149" s="22"/>
      <c r="HMX149" s="22"/>
      <c r="HMY149" s="22"/>
      <c r="HMZ149" s="22"/>
      <c r="HNA149" s="22"/>
      <c r="HNB149" s="22"/>
      <c r="HNC149" s="22"/>
      <c r="HND149" s="22"/>
      <c r="HNE149" s="22"/>
      <c r="HNF149" s="22"/>
      <c r="HNG149" s="22"/>
      <c r="HNH149" s="22"/>
      <c r="HNI149" s="22"/>
      <c r="HNJ149" s="22"/>
      <c r="HNK149" s="22"/>
      <c r="HNL149" s="22"/>
      <c r="HNM149" s="22"/>
      <c r="HNN149" s="22"/>
      <c r="HNO149" s="22"/>
      <c r="HNP149" s="22"/>
      <c r="HNQ149" s="22"/>
      <c r="HNR149" s="22"/>
      <c r="HNS149" s="22"/>
      <c r="HNT149" s="22"/>
      <c r="HNU149" s="22"/>
      <c r="HNV149" s="22"/>
      <c r="HNW149" s="22"/>
      <c r="HNX149" s="22"/>
      <c r="HNY149" s="22"/>
      <c r="HNZ149" s="22"/>
      <c r="HOA149" s="22"/>
      <c r="HOB149" s="22"/>
      <c r="HOC149" s="22"/>
      <c r="HOD149" s="22"/>
      <c r="HOE149" s="22"/>
      <c r="HOF149" s="22"/>
      <c r="HOG149" s="22"/>
      <c r="HOH149" s="22"/>
      <c r="HOI149" s="22"/>
      <c r="HOJ149" s="22"/>
      <c r="HOK149" s="22"/>
      <c r="HOL149" s="22"/>
      <c r="HOM149" s="22"/>
      <c r="HON149" s="22"/>
      <c r="HOO149" s="22"/>
      <c r="HOP149" s="22"/>
      <c r="HOQ149" s="22"/>
      <c r="HOR149" s="22"/>
      <c r="HOS149" s="22"/>
      <c r="HOT149" s="22"/>
      <c r="HOU149" s="22"/>
      <c r="HOV149" s="22"/>
      <c r="HOW149" s="22"/>
      <c r="HOX149" s="22"/>
      <c r="HOY149" s="22"/>
      <c r="HOZ149" s="22"/>
      <c r="HPA149" s="22"/>
      <c r="HPB149" s="22"/>
      <c r="HPC149" s="22"/>
      <c r="HPD149" s="22"/>
      <c r="HPE149" s="22"/>
      <c r="HPF149" s="22"/>
      <c r="HPG149" s="22"/>
      <c r="HPH149" s="22"/>
      <c r="HPI149" s="22"/>
      <c r="HPJ149" s="22"/>
      <c r="HPK149" s="22"/>
      <c r="HPL149" s="22"/>
      <c r="HPM149" s="22"/>
      <c r="HPN149" s="22"/>
      <c r="HPO149" s="22"/>
      <c r="HPP149" s="22"/>
      <c r="HPQ149" s="22"/>
      <c r="HPR149" s="22"/>
      <c r="HPS149" s="22"/>
      <c r="HPT149" s="22"/>
      <c r="HPU149" s="22"/>
      <c r="HPV149" s="22"/>
      <c r="HPW149" s="22"/>
      <c r="HPX149" s="22"/>
      <c r="HPY149" s="22"/>
      <c r="HPZ149" s="22"/>
      <c r="HQA149" s="22"/>
      <c r="HQB149" s="22"/>
      <c r="HQC149" s="22"/>
      <c r="HQD149" s="22"/>
      <c r="HQE149" s="22"/>
      <c r="HQF149" s="22"/>
      <c r="HQG149" s="22"/>
      <c r="HQH149" s="22"/>
      <c r="HQI149" s="22"/>
      <c r="HQJ149" s="22"/>
      <c r="HQK149" s="22"/>
      <c r="HQL149" s="22"/>
      <c r="HQM149" s="22"/>
      <c r="HQN149" s="22"/>
      <c r="HQO149" s="22"/>
      <c r="HQP149" s="22"/>
      <c r="HQQ149" s="22"/>
      <c r="HQR149" s="22"/>
      <c r="HQS149" s="22"/>
      <c r="HQT149" s="22"/>
      <c r="HQU149" s="22"/>
      <c r="HQV149" s="22"/>
      <c r="HQW149" s="22"/>
      <c r="HQX149" s="22"/>
      <c r="HQY149" s="22"/>
      <c r="HQZ149" s="22"/>
      <c r="HRA149" s="22"/>
      <c r="HRB149" s="22"/>
      <c r="HRC149" s="22"/>
      <c r="HRD149" s="22"/>
      <c r="HRE149" s="22"/>
      <c r="HRF149" s="22"/>
      <c r="HRG149" s="22"/>
      <c r="HRH149" s="22"/>
      <c r="HRI149" s="22"/>
      <c r="HRJ149" s="22"/>
      <c r="HRK149" s="22"/>
      <c r="HRL149" s="22"/>
      <c r="HRM149" s="22"/>
      <c r="HRN149" s="22"/>
      <c r="HRO149" s="22"/>
      <c r="HRP149" s="22"/>
      <c r="HRQ149" s="22"/>
      <c r="HRR149" s="22"/>
      <c r="HRS149" s="22"/>
      <c r="HRT149" s="22"/>
      <c r="HRU149" s="22"/>
      <c r="HRV149" s="22"/>
      <c r="HRW149" s="22"/>
      <c r="HRX149" s="22"/>
      <c r="HRY149" s="22"/>
      <c r="HRZ149" s="22"/>
      <c r="HSA149" s="22"/>
      <c r="HSB149" s="22"/>
      <c r="HSC149" s="22"/>
      <c r="HSD149" s="22"/>
      <c r="HSE149" s="22"/>
      <c r="HSF149" s="22"/>
      <c r="HSG149" s="22"/>
      <c r="HSH149" s="22"/>
      <c r="HSI149" s="22"/>
      <c r="HSJ149" s="22"/>
      <c r="HSK149" s="22"/>
      <c r="HSL149" s="22"/>
      <c r="HSM149" s="22"/>
      <c r="HSN149" s="22"/>
      <c r="HSO149" s="22"/>
      <c r="HSP149" s="22"/>
      <c r="HSQ149" s="22"/>
      <c r="HSR149" s="22"/>
      <c r="HSS149" s="22"/>
      <c r="HST149" s="22"/>
      <c r="HSU149" s="22"/>
      <c r="HSV149" s="22"/>
      <c r="HSW149" s="22"/>
      <c r="HSX149" s="22"/>
      <c r="HSY149" s="22"/>
      <c r="HSZ149" s="22"/>
      <c r="HTA149" s="22"/>
      <c r="HTB149" s="22"/>
      <c r="HTC149" s="22"/>
      <c r="HTD149" s="22"/>
      <c r="HTE149" s="22"/>
      <c r="HTF149" s="22"/>
      <c r="HTG149" s="22"/>
      <c r="HTH149" s="22"/>
      <c r="HTI149" s="22"/>
      <c r="HTJ149" s="22"/>
      <c r="HTK149" s="22"/>
      <c r="HTL149" s="22"/>
      <c r="HTM149" s="22"/>
      <c r="HTN149" s="22"/>
      <c r="HTO149" s="22"/>
      <c r="HTP149" s="22"/>
      <c r="HTQ149" s="22"/>
      <c r="HTR149" s="22"/>
      <c r="HTS149" s="22"/>
      <c r="HTT149" s="22"/>
      <c r="HTU149" s="22"/>
      <c r="HTV149" s="22"/>
      <c r="HTW149" s="22"/>
      <c r="HTX149" s="22"/>
      <c r="HTY149" s="22"/>
      <c r="HTZ149" s="22"/>
      <c r="HUA149" s="22"/>
      <c r="HUB149" s="22"/>
      <c r="HUC149" s="22"/>
      <c r="HUD149" s="22"/>
      <c r="HUE149" s="22"/>
      <c r="HUF149" s="22"/>
      <c r="HUG149" s="22"/>
      <c r="HUH149" s="22"/>
      <c r="HUI149" s="22"/>
      <c r="HUJ149" s="22"/>
      <c r="HUK149" s="22"/>
      <c r="HUL149" s="22"/>
      <c r="HUM149" s="22"/>
      <c r="HUN149" s="22"/>
      <c r="HUO149" s="22"/>
      <c r="HUP149" s="22"/>
      <c r="HUQ149" s="22"/>
      <c r="HUR149" s="22"/>
      <c r="HUS149" s="22"/>
      <c r="HUT149" s="22"/>
      <c r="HUU149" s="22"/>
      <c r="HUV149" s="22"/>
      <c r="HUW149" s="22"/>
      <c r="HUX149" s="22"/>
      <c r="HUY149" s="22"/>
      <c r="HUZ149" s="22"/>
      <c r="HVA149" s="22"/>
      <c r="HVB149" s="22"/>
      <c r="HVC149" s="22"/>
      <c r="HVD149" s="22"/>
      <c r="HVE149" s="22"/>
      <c r="HVF149" s="22"/>
      <c r="HVG149" s="22"/>
      <c r="HVH149" s="22"/>
      <c r="HVI149" s="22"/>
      <c r="HVJ149" s="22"/>
      <c r="HVK149" s="22"/>
      <c r="HVL149" s="22"/>
      <c r="HVM149" s="22"/>
      <c r="HVN149" s="22"/>
      <c r="HVO149" s="22"/>
      <c r="HVP149" s="22"/>
      <c r="HVQ149" s="22"/>
      <c r="HVR149" s="22"/>
      <c r="HVS149" s="22"/>
      <c r="HVT149" s="22"/>
      <c r="HVU149" s="22"/>
      <c r="HVV149" s="22"/>
      <c r="HVW149" s="22"/>
      <c r="HVX149" s="22"/>
      <c r="HVY149" s="22"/>
      <c r="HVZ149" s="22"/>
      <c r="HWA149" s="22"/>
      <c r="HWB149" s="22"/>
      <c r="HWC149" s="22"/>
      <c r="HWD149" s="22"/>
      <c r="HWE149" s="22"/>
      <c r="HWF149" s="22"/>
      <c r="HWG149" s="22"/>
      <c r="HWH149" s="22"/>
      <c r="HWI149" s="22"/>
      <c r="HWJ149" s="22"/>
      <c r="HWK149" s="22"/>
      <c r="HWL149" s="22"/>
      <c r="HWM149" s="22"/>
      <c r="HWN149" s="22"/>
      <c r="HWO149" s="22"/>
      <c r="HWP149" s="22"/>
      <c r="HWQ149" s="22"/>
      <c r="HWR149" s="22"/>
      <c r="HWS149" s="22"/>
      <c r="HWT149" s="22"/>
      <c r="HWU149" s="22"/>
      <c r="HWV149" s="22"/>
      <c r="HWW149" s="22"/>
      <c r="HWX149" s="22"/>
      <c r="HWY149" s="22"/>
      <c r="HWZ149" s="22"/>
      <c r="HXA149" s="22"/>
      <c r="HXB149" s="22"/>
      <c r="HXC149" s="22"/>
      <c r="HXD149" s="22"/>
      <c r="HXE149" s="22"/>
      <c r="HXF149" s="22"/>
      <c r="HXG149" s="22"/>
      <c r="HXH149" s="22"/>
      <c r="HXI149" s="22"/>
      <c r="HXJ149" s="22"/>
      <c r="HXK149" s="22"/>
      <c r="HXL149" s="22"/>
      <c r="HXM149" s="22"/>
      <c r="HXN149" s="22"/>
      <c r="HXO149" s="22"/>
      <c r="HXP149" s="22"/>
      <c r="HXQ149" s="22"/>
      <c r="HXR149" s="22"/>
      <c r="HXS149" s="22"/>
      <c r="HXT149" s="22"/>
      <c r="HXU149" s="22"/>
      <c r="HXV149" s="22"/>
      <c r="HXW149" s="22"/>
      <c r="HXX149" s="22"/>
      <c r="HXY149" s="22"/>
      <c r="HXZ149" s="22"/>
      <c r="HYA149" s="22"/>
      <c r="HYB149" s="22"/>
      <c r="HYC149" s="22"/>
      <c r="HYD149" s="22"/>
      <c r="HYE149" s="22"/>
      <c r="HYF149" s="22"/>
      <c r="HYG149" s="22"/>
      <c r="HYH149" s="22"/>
      <c r="HYI149" s="22"/>
      <c r="HYJ149" s="22"/>
      <c r="HYK149" s="22"/>
      <c r="HYL149" s="22"/>
      <c r="HYM149" s="22"/>
      <c r="HYN149" s="22"/>
      <c r="HYO149" s="22"/>
      <c r="HYP149" s="22"/>
      <c r="HYQ149" s="22"/>
      <c r="HYR149" s="22"/>
      <c r="HYS149" s="22"/>
      <c r="HYT149" s="22"/>
      <c r="HYU149" s="22"/>
      <c r="HYV149" s="22"/>
      <c r="HYW149" s="22"/>
      <c r="HYX149" s="22"/>
      <c r="HYY149" s="22"/>
      <c r="HYZ149" s="22"/>
      <c r="HZA149" s="22"/>
      <c r="HZB149" s="22"/>
      <c r="HZC149" s="22"/>
      <c r="HZD149" s="22"/>
      <c r="HZE149" s="22"/>
      <c r="HZF149" s="22"/>
      <c r="HZG149" s="22"/>
      <c r="HZH149" s="22"/>
      <c r="HZI149" s="22"/>
      <c r="HZJ149" s="22"/>
      <c r="HZK149" s="22"/>
      <c r="HZL149" s="22"/>
      <c r="HZM149" s="22"/>
      <c r="HZN149" s="22"/>
      <c r="HZO149" s="22"/>
      <c r="HZP149" s="22"/>
      <c r="HZQ149" s="22"/>
      <c r="HZR149" s="22"/>
      <c r="HZS149" s="22"/>
      <c r="HZT149" s="22"/>
      <c r="HZU149" s="22"/>
      <c r="HZV149" s="22"/>
      <c r="HZW149" s="22"/>
      <c r="HZX149" s="22"/>
      <c r="HZY149" s="22"/>
      <c r="HZZ149" s="22"/>
      <c r="IAA149" s="22"/>
      <c r="IAB149" s="22"/>
      <c r="IAC149" s="22"/>
      <c r="IAD149" s="22"/>
      <c r="IAE149" s="22"/>
      <c r="IAF149" s="22"/>
      <c r="IAG149" s="22"/>
      <c r="IAH149" s="22"/>
      <c r="IAI149" s="22"/>
      <c r="IAJ149" s="22"/>
      <c r="IAK149" s="22"/>
      <c r="IAL149" s="22"/>
      <c r="IAM149" s="22"/>
      <c r="IAN149" s="22"/>
      <c r="IAO149" s="22"/>
      <c r="IAP149" s="22"/>
      <c r="IAQ149" s="22"/>
      <c r="IAR149" s="22"/>
      <c r="IAS149" s="22"/>
      <c r="IAT149" s="22"/>
      <c r="IAU149" s="22"/>
      <c r="IAV149" s="22"/>
      <c r="IAW149" s="22"/>
      <c r="IAX149" s="22"/>
      <c r="IAY149" s="22"/>
      <c r="IAZ149" s="22"/>
      <c r="IBA149" s="22"/>
      <c r="IBB149" s="22"/>
      <c r="IBC149" s="22"/>
      <c r="IBD149" s="22"/>
      <c r="IBE149" s="22"/>
      <c r="IBF149" s="22"/>
      <c r="IBG149" s="22"/>
      <c r="IBH149" s="22"/>
      <c r="IBI149" s="22"/>
      <c r="IBJ149" s="22"/>
      <c r="IBK149" s="22"/>
      <c r="IBL149" s="22"/>
      <c r="IBM149" s="22"/>
      <c r="IBN149" s="22"/>
      <c r="IBO149" s="22"/>
      <c r="IBP149" s="22"/>
      <c r="IBQ149" s="22"/>
      <c r="IBR149" s="22"/>
      <c r="IBS149" s="22"/>
      <c r="IBT149" s="22"/>
      <c r="IBU149" s="22"/>
      <c r="IBV149" s="22"/>
      <c r="IBW149" s="22"/>
      <c r="IBX149" s="22"/>
      <c r="IBY149" s="22"/>
      <c r="IBZ149" s="22"/>
      <c r="ICA149" s="22"/>
      <c r="ICB149" s="22"/>
      <c r="ICC149" s="22"/>
      <c r="ICD149" s="22"/>
      <c r="ICE149" s="22"/>
      <c r="ICF149" s="22"/>
      <c r="ICG149" s="22"/>
      <c r="ICH149" s="22"/>
      <c r="ICI149" s="22"/>
      <c r="ICJ149" s="22"/>
      <c r="ICK149" s="22"/>
      <c r="ICL149" s="22"/>
      <c r="ICM149" s="22"/>
      <c r="ICN149" s="22"/>
      <c r="ICO149" s="22"/>
      <c r="ICP149" s="22"/>
      <c r="ICQ149" s="22"/>
      <c r="ICR149" s="22"/>
      <c r="ICS149" s="22"/>
      <c r="ICT149" s="22"/>
      <c r="ICU149" s="22"/>
      <c r="ICV149" s="22"/>
      <c r="ICW149" s="22"/>
      <c r="ICX149" s="22"/>
      <c r="ICY149" s="22"/>
      <c r="ICZ149" s="22"/>
      <c r="IDA149" s="22"/>
      <c r="IDB149" s="22"/>
      <c r="IDC149" s="22"/>
      <c r="IDD149" s="22"/>
      <c r="IDE149" s="22"/>
      <c r="IDF149" s="22"/>
      <c r="IDG149" s="22"/>
      <c r="IDH149" s="22"/>
      <c r="IDI149" s="22"/>
      <c r="IDJ149" s="22"/>
      <c r="IDK149" s="22"/>
      <c r="IDL149" s="22"/>
      <c r="IDM149" s="22"/>
      <c r="IDN149" s="22"/>
      <c r="IDO149" s="22"/>
      <c r="IDP149" s="22"/>
      <c r="IDQ149" s="22"/>
      <c r="IDR149" s="22"/>
      <c r="IDS149" s="22"/>
      <c r="IDT149" s="22"/>
      <c r="IDU149" s="22"/>
      <c r="IDV149" s="22"/>
      <c r="IDW149" s="22"/>
      <c r="IDX149" s="22"/>
      <c r="IDY149" s="22"/>
      <c r="IDZ149" s="22"/>
      <c r="IEA149" s="22"/>
      <c r="IEB149" s="22"/>
      <c r="IEC149" s="22"/>
      <c r="IED149" s="22"/>
      <c r="IEE149" s="22"/>
      <c r="IEF149" s="22"/>
      <c r="IEG149" s="22"/>
      <c r="IEH149" s="22"/>
      <c r="IEI149" s="22"/>
      <c r="IEJ149" s="22"/>
      <c r="IEK149" s="22"/>
      <c r="IEL149" s="22"/>
      <c r="IEM149" s="22"/>
      <c r="IEN149" s="22"/>
      <c r="IEO149" s="22"/>
      <c r="IEP149" s="22"/>
      <c r="IEQ149" s="22"/>
      <c r="IER149" s="22"/>
      <c r="IES149" s="22"/>
      <c r="IET149" s="22"/>
      <c r="IEU149" s="22"/>
      <c r="IEV149" s="22"/>
      <c r="IEW149" s="22"/>
      <c r="IEX149" s="22"/>
      <c r="IEY149" s="22"/>
      <c r="IEZ149" s="22"/>
      <c r="IFA149" s="22"/>
      <c r="IFB149" s="22"/>
      <c r="IFC149" s="22"/>
      <c r="IFD149" s="22"/>
      <c r="IFE149" s="22"/>
      <c r="IFF149" s="22"/>
      <c r="IFG149" s="22"/>
      <c r="IFH149" s="22"/>
      <c r="IFI149" s="22"/>
      <c r="IFJ149" s="22"/>
      <c r="IFK149" s="22"/>
      <c r="IFL149" s="22"/>
      <c r="IFM149" s="22"/>
      <c r="IFN149" s="22"/>
      <c r="IFO149" s="22"/>
      <c r="IFP149" s="22"/>
      <c r="IFQ149" s="22"/>
      <c r="IFR149" s="22"/>
      <c r="IFS149" s="22"/>
      <c r="IFT149" s="22"/>
      <c r="IFU149" s="22"/>
      <c r="IFV149" s="22"/>
      <c r="IFW149" s="22"/>
      <c r="IFX149" s="22"/>
      <c r="IFY149" s="22"/>
      <c r="IFZ149" s="22"/>
      <c r="IGA149" s="22"/>
      <c r="IGB149" s="22"/>
      <c r="IGC149" s="22"/>
      <c r="IGD149" s="22"/>
      <c r="IGE149" s="22"/>
      <c r="IGF149" s="22"/>
      <c r="IGG149" s="22"/>
      <c r="IGH149" s="22"/>
      <c r="IGI149" s="22"/>
      <c r="IGJ149" s="22"/>
      <c r="IGK149" s="22"/>
      <c r="IGL149" s="22"/>
      <c r="IGM149" s="22"/>
      <c r="IGN149" s="22"/>
      <c r="IGO149" s="22"/>
      <c r="IGP149" s="22"/>
      <c r="IGQ149" s="22"/>
      <c r="IGR149" s="22"/>
      <c r="IGS149" s="22"/>
      <c r="IGT149" s="22"/>
      <c r="IGU149" s="22"/>
      <c r="IGV149" s="22"/>
      <c r="IGW149" s="22"/>
      <c r="IGX149" s="22"/>
      <c r="IGY149" s="22"/>
      <c r="IGZ149" s="22"/>
      <c r="IHA149" s="22"/>
      <c r="IHB149" s="22"/>
      <c r="IHC149" s="22"/>
      <c r="IHD149" s="22"/>
      <c r="IHE149" s="22"/>
      <c r="IHF149" s="22"/>
      <c r="IHG149" s="22"/>
      <c r="IHH149" s="22"/>
      <c r="IHI149" s="22"/>
      <c r="IHJ149" s="22"/>
      <c r="IHK149" s="22"/>
      <c r="IHL149" s="22"/>
      <c r="IHM149" s="22"/>
      <c r="IHN149" s="22"/>
      <c r="IHO149" s="22"/>
      <c r="IHP149" s="22"/>
      <c r="IHQ149" s="22"/>
      <c r="IHR149" s="22"/>
      <c r="IHS149" s="22"/>
      <c r="IHT149" s="22"/>
      <c r="IHU149" s="22"/>
      <c r="IHV149" s="22"/>
      <c r="IHW149" s="22"/>
      <c r="IHX149" s="22"/>
      <c r="IHY149" s="22"/>
      <c r="IHZ149" s="22"/>
      <c r="IIA149" s="22"/>
      <c r="IIB149" s="22"/>
      <c r="IIC149" s="22"/>
      <c r="IID149" s="22"/>
      <c r="IIE149" s="22"/>
      <c r="IIF149" s="22"/>
      <c r="IIG149" s="22"/>
      <c r="IIH149" s="22"/>
      <c r="III149" s="22"/>
      <c r="IIJ149" s="22"/>
      <c r="IIK149" s="22"/>
      <c r="IIL149" s="22"/>
      <c r="IIM149" s="22"/>
      <c r="IIN149" s="22"/>
      <c r="IIO149" s="22"/>
      <c r="IIP149" s="22"/>
      <c r="IIQ149" s="22"/>
      <c r="IIR149" s="22"/>
      <c r="IIS149" s="22"/>
      <c r="IIT149" s="22"/>
      <c r="IIU149" s="22"/>
      <c r="IIV149" s="22"/>
      <c r="IIW149" s="22"/>
      <c r="IIX149" s="22"/>
      <c r="IIY149" s="22"/>
      <c r="IIZ149" s="22"/>
      <c r="IJA149" s="22"/>
      <c r="IJB149" s="22"/>
      <c r="IJC149" s="22"/>
      <c r="IJD149" s="22"/>
      <c r="IJE149" s="22"/>
      <c r="IJF149" s="22"/>
      <c r="IJG149" s="22"/>
      <c r="IJH149" s="22"/>
      <c r="IJI149" s="22"/>
      <c r="IJJ149" s="22"/>
      <c r="IJK149" s="22"/>
      <c r="IJL149" s="22"/>
      <c r="IJM149" s="22"/>
      <c r="IJN149" s="22"/>
      <c r="IJO149" s="22"/>
      <c r="IJP149" s="22"/>
      <c r="IJQ149" s="22"/>
      <c r="IJR149" s="22"/>
      <c r="IJS149" s="22"/>
      <c r="IJT149" s="22"/>
      <c r="IJU149" s="22"/>
      <c r="IJV149" s="22"/>
      <c r="IJW149" s="22"/>
      <c r="IJX149" s="22"/>
      <c r="IJY149" s="22"/>
      <c r="IJZ149" s="22"/>
      <c r="IKA149" s="22"/>
      <c r="IKB149" s="22"/>
      <c r="IKC149" s="22"/>
      <c r="IKD149" s="22"/>
      <c r="IKE149" s="22"/>
      <c r="IKF149" s="22"/>
      <c r="IKG149" s="22"/>
      <c r="IKH149" s="22"/>
      <c r="IKI149" s="22"/>
      <c r="IKJ149" s="22"/>
      <c r="IKK149" s="22"/>
      <c r="IKL149" s="22"/>
      <c r="IKM149" s="22"/>
      <c r="IKN149" s="22"/>
      <c r="IKO149" s="22"/>
      <c r="IKP149" s="22"/>
      <c r="IKQ149" s="22"/>
      <c r="IKR149" s="22"/>
      <c r="IKS149" s="22"/>
      <c r="IKT149" s="22"/>
      <c r="IKU149" s="22"/>
      <c r="IKV149" s="22"/>
      <c r="IKW149" s="22"/>
      <c r="IKX149" s="22"/>
      <c r="IKY149" s="22"/>
      <c r="IKZ149" s="22"/>
      <c r="ILA149" s="22"/>
      <c r="ILB149" s="22"/>
      <c r="ILC149" s="22"/>
      <c r="ILD149" s="22"/>
      <c r="ILE149" s="22"/>
      <c r="ILF149" s="22"/>
      <c r="ILG149" s="22"/>
      <c r="ILH149" s="22"/>
      <c r="ILI149" s="22"/>
      <c r="ILJ149" s="22"/>
      <c r="ILK149" s="22"/>
      <c r="ILL149" s="22"/>
      <c r="ILM149" s="22"/>
      <c r="ILN149" s="22"/>
      <c r="ILO149" s="22"/>
      <c r="ILP149" s="22"/>
      <c r="ILQ149" s="22"/>
      <c r="ILR149" s="22"/>
      <c r="ILS149" s="22"/>
      <c r="ILT149" s="22"/>
      <c r="ILU149" s="22"/>
      <c r="ILV149" s="22"/>
      <c r="ILW149" s="22"/>
      <c r="ILX149" s="22"/>
      <c r="ILY149" s="22"/>
      <c r="ILZ149" s="22"/>
      <c r="IMA149" s="22"/>
      <c r="IMB149" s="22"/>
      <c r="IMC149" s="22"/>
      <c r="IMD149" s="22"/>
      <c r="IME149" s="22"/>
      <c r="IMF149" s="22"/>
      <c r="IMG149" s="22"/>
      <c r="IMH149" s="22"/>
      <c r="IMI149" s="22"/>
      <c r="IMJ149" s="22"/>
      <c r="IMK149" s="22"/>
      <c r="IML149" s="22"/>
      <c r="IMM149" s="22"/>
      <c r="IMN149" s="22"/>
      <c r="IMO149" s="22"/>
      <c r="IMP149" s="22"/>
      <c r="IMQ149" s="22"/>
      <c r="IMR149" s="22"/>
      <c r="IMS149" s="22"/>
      <c r="IMT149" s="22"/>
      <c r="IMU149" s="22"/>
      <c r="IMV149" s="22"/>
      <c r="IMW149" s="22"/>
      <c r="IMX149" s="22"/>
      <c r="IMY149" s="22"/>
      <c r="IMZ149" s="22"/>
      <c r="INA149" s="22"/>
      <c r="INB149" s="22"/>
      <c r="INC149" s="22"/>
      <c r="IND149" s="22"/>
      <c r="INE149" s="22"/>
      <c r="INF149" s="22"/>
      <c r="ING149" s="22"/>
      <c r="INH149" s="22"/>
      <c r="INI149" s="22"/>
      <c r="INJ149" s="22"/>
      <c r="INK149" s="22"/>
      <c r="INL149" s="22"/>
      <c r="INM149" s="22"/>
      <c r="INN149" s="22"/>
      <c r="INO149" s="22"/>
      <c r="INP149" s="22"/>
      <c r="INQ149" s="22"/>
      <c r="INR149" s="22"/>
      <c r="INS149" s="22"/>
      <c r="INT149" s="22"/>
      <c r="INU149" s="22"/>
      <c r="INV149" s="22"/>
      <c r="INW149" s="22"/>
      <c r="INX149" s="22"/>
      <c r="INY149" s="22"/>
      <c r="INZ149" s="22"/>
      <c r="IOA149" s="22"/>
      <c r="IOB149" s="22"/>
      <c r="IOC149" s="22"/>
      <c r="IOD149" s="22"/>
      <c r="IOE149" s="22"/>
      <c r="IOF149" s="22"/>
      <c r="IOG149" s="22"/>
      <c r="IOH149" s="22"/>
      <c r="IOI149" s="22"/>
      <c r="IOJ149" s="22"/>
      <c r="IOK149" s="22"/>
      <c r="IOL149" s="22"/>
      <c r="IOM149" s="22"/>
      <c r="ION149" s="22"/>
      <c r="IOO149" s="22"/>
      <c r="IOP149" s="22"/>
      <c r="IOQ149" s="22"/>
      <c r="IOR149" s="22"/>
      <c r="IOS149" s="22"/>
      <c r="IOT149" s="22"/>
      <c r="IOU149" s="22"/>
      <c r="IOV149" s="22"/>
      <c r="IOW149" s="22"/>
      <c r="IOX149" s="22"/>
      <c r="IOY149" s="22"/>
      <c r="IOZ149" s="22"/>
      <c r="IPA149" s="22"/>
      <c r="IPB149" s="22"/>
      <c r="IPC149" s="22"/>
      <c r="IPD149" s="22"/>
      <c r="IPE149" s="22"/>
      <c r="IPF149" s="22"/>
      <c r="IPG149" s="22"/>
      <c r="IPH149" s="22"/>
      <c r="IPI149" s="22"/>
      <c r="IPJ149" s="22"/>
      <c r="IPK149" s="22"/>
      <c r="IPL149" s="22"/>
      <c r="IPM149" s="22"/>
      <c r="IPN149" s="22"/>
      <c r="IPO149" s="22"/>
      <c r="IPP149" s="22"/>
      <c r="IPQ149" s="22"/>
      <c r="IPR149" s="22"/>
      <c r="IPS149" s="22"/>
      <c r="IPT149" s="22"/>
      <c r="IPU149" s="22"/>
      <c r="IPV149" s="22"/>
      <c r="IPW149" s="22"/>
      <c r="IPX149" s="22"/>
      <c r="IPY149" s="22"/>
      <c r="IPZ149" s="22"/>
      <c r="IQA149" s="22"/>
      <c r="IQB149" s="22"/>
      <c r="IQC149" s="22"/>
      <c r="IQD149" s="22"/>
      <c r="IQE149" s="22"/>
      <c r="IQF149" s="22"/>
      <c r="IQG149" s="22"/>
      <c r="IQH149" s="22"/>
      <c r="IQI149" s="22"/>
      <c r="IQJ149" s="22"/>
      <c r="IQK149" s="22"/>
      <c r="IQL149" s="22"/>
      <c r="IQM149" s="22"/>
      <c r="IQN149" s="22"/>
      <c r="IQO149" s="22"/>
      <c r="IQP149" s="22"/>
      <c r="IQQ149" s="22"/>
      <c r="IQR149" s="22"/>
      <c r="IQS149" s="22"/>
      <c r="IQT149" s="22"/>
      <c r="IQU149" s="22"/>
      <c r="IQV149" s="22"/>
      <c r="IQW149" s="22"/>
      <c r="IQX149" s="22"/>
      <c r="IQY149" s="22"/>
      <c r="IQZ149" s="22"/>
      <c r="IRA149" s="22"/>
      <c r="IRB149" s="22"/>
      <c r="IRC149" s="22"/>
      <c r="IRD149" s="22"/>
      <c r="IRE149" s="22"/>
      <c r="IRF149" s="22"/>
      <c r="IRG149" s="22"/>
      <c r="IRH149" s="22"/>
      <c r="IRI149" s="22"/>
      <c r="IRJ149" s="22"/>
      <c r="IRK149" s="22"/>
      <c r="IRL149" s="22"/>
      <c r="IRM149" s="22"/>
      <c r="IRN149" s="22"/>
      <c r="IRO149" s="22"/>
      <c r="IRP149" s="22"/>
      <c r="IRQ149" s="22"/>
      <c r="IRR149" s="22"/>
      <c r="IRS149" s="22"/>
      <c r="IRT149" s="22"/>
      <c r="IRU149" s="22"/>
      <c r="IRV149" s="22"/>
      <c r="IRW149" s="22"/>
      <c r="IRX149" s="22"/>
      <c r="IRY149" s="22"/>
      <c r="IRZ149" s="22"/>
      <c r="ISA149" s="22"/>
      <c r="ISB149" s="22"/>
      <c r="ISC149" s="22"/>
      <c r="ISD149" s="22"/>
      <c r="ISE149" s="22"/>
      <c r="ISF149" s="22"/>
      <c r="ISG149" s="22"/>
      <c r="ISH149" s="22"/>
      <c r="ISI149" s="22"/>
      <c r="ISJ149" s="22"/>
      <c r="ISK149" s="22"/>
      <c r="ISL149" s="22"/>
      <c r="ISM149" s="22"/>
      <c r="ISN149" s="22"/>
      <c r="ISO149" s="22"/>
      <c r="ISP149" s="22"/>
      <c r="ISQ149" s="22"/>
      <c r="ISR149" s="22"/>
      <c r="ISS149" s="22"/>
      <c r="IST149" s="22"/>
      <c r="ISU149" s="22"/>
      <c r="ISV149" s="22"/>
      <c r="ISW149" s="22"/>
      <c r="ISX149" s="22"/>
      <c r="ISY149" s="22"/>
      <c r="ISZ149" s="22"/>
      <c r="ITA149" s="22"/>
      <c r="ITB149" s="22"/>
      <c r="ITC149" s="22"/>
      <c r="ITD149" s="22"/>
      <c r="ITE149" s="22"/>
      <c r="ITF149" s="22"/>
      <c r="ITG149" s="22"/>
      <c r="ITH149" s="22"/>
      <c r="ITI149" s="22"/>
      <c r="ITJ149" s="22"/>
      <c r="ITK149" s="22"/>
      <c r="ITL149" s="22"/>
      <c r="ITM149" s="22"/>
      <c r="ITN149" s="22"/>
      <c r="ITO149" s="22"/>
      <c r="ITP149" s="22"/>
      <c r="ITQ149" s="22"/>
      <c r="ITR149" s="22"/>
      <c r="ITS149" s="22"/>
      <c r="ITT149" s="22"/>
      <c r="ITU149" s="22"/>
      <c r="ITV149" s="22"/>
      <c r="ITW149" s="22"/>
      <c r="ITX149" s="22"/>
      <c r="ITY149" s="22"/>
      <c r="ITZ149" s="22"/>
      <c r="IUA149" s="22"/>
      <c r="IUB149" s="22"/>
      <c r="IUC149" s="22"/>
      <c r="IUD149" s="22"/>
      <c r="IUE149" s="22"/>
      <c r="IUF149" s="22"/>
      <c r="IUG149" s="22"/>
      <c r="IUH149" s="22"/>
      <c r="IUI149" s="22"/>
      <c r="IUJ149" s="22"/>
      <c r="IUK149" s="22"/>
      <c r="IUL149" s="22"/>
      <c r="IUM149" s="22"/>
      <c r="IUN149" s="22"/>
      <c r="IUO149" s="22"/>
      <c r="IUP149" s="22"/>
      <c r="IUQ149" s="22"/>
      <c r="IUR149" s="22"/>
      <c r="IUS149" s="22"/>
      <c r="IUT149" s="22"/>
      <c r="IUU149" s="22"/>
      <c r="IUV149" s="22"/>
      <c r="IUW149" s="22"/>
      <c r="IUX149" s="22"/>
      <c r="IUY149" s="22"/>
      <c r="IUZ149" s="22"/>
      <c r="IVA149" s="22"/>
      <c r="IVB149" s="22"/>
      <c r="IVC149" s="22"/>
      <c r="IVD149" s="22"/>
      <c r="IVE149" s="22"/>
      <c r="IVF149" s="22"/>
      <c r="IVG149" s="22"/>
      <c r="IVH149" s="22"/>
      <c r="IVI149" s="22"/>
      <c r="IVJ149" s="22"/>
      <c r="IVK149" s="22"/>
      <c r="IVL149" s="22"/>
      <c r="IVM149" s="22"/>
      <c r="IVN149" s="22"/>
      <c r="IVO149" s="22"/>
      <c r="IVP149" s="22"/>
      <c r="IVQ149" s="22"/>
      <c r="IVR149" s="22"/>
      <c r="IVS149" s="22"/>
      <c r="IVT149" s="22"/>
      <c r="IVU149" s="22"/>
      <c r="IVV149" s="22"/>
      <c r="IVW149" s="22"/>
      <c r="IVX149" s="22"/>
      <c r="IVY149" s="22"/>
      <c r="IVZ149" s="22"/>
      <c r="IWA149" s="22"/>
      <c r="IWB149" s="22"/>
      <c r="IWC149" s="22"/>
      <c r="IWD149" s="22"/>
      <c r="IWE149" s="22"/>
      <c r="IWF149" s="22"/>
      <c r="IWG149" s="22"/>
      <c r="IWH149" s="22"/>
      <c r="IWI149" s="22"/>
      <c r="IWJ149" s="22"/>
      <c r="IWK149" s="22"/>
      <c r="IWL149" s="22"/>
      <c r="IWM149" s="22"/>
      <c r="IWN149" s="22"/>
      <c r="IWO149" s="22"/>
      <c r="IWP149" s="22"/>
      <c r="IWQ149" s="22"/>
      <c r="IWR149" s="22"/>
      <c r="IWS149" s="22"/>
      <c r="IWT149" s="22"/>
      <c r="IWU149" s="22"/>
      <c r="IWV149" s="22"/>
      <c r="IWW149" s="22"/>
      <c r="IWX149" s="22"/>
      <c r="IWY149" s="22"/>
      <c r="IWZ149" s="22"/>
      <c r="IXA149" s="22"/>
      <c r="IXB149" s="22"/>
      <c r="IXC149" s="22"/>
      <c r="IXD149" s="22"/>
      <c r="IXE149" s="22"/>
      <c r="IXF149" s="22"/>
      <c r="IXG149" s="22"/>
      <c r="IXH149" s="22"/>
      <c r="IXI149" s="22"/>
      <c r="IXJ149" s="22"/>
      <c r="IXK149" s="22"/>
      <c r="IXL149" s="22"/>
      <c r="IXM149" s="22"/>
      <c r="IXN149" s="22"/>
      <c r="IXO149" s="22"/>
      <c r="IXP149" s="22"/>
      <c r="IXQ149" s="22"/>
      <c r="IXR149" s="22"/>
      <c r="IXS149" s="22"/>
      <c r="IXT149" s="22"/>
      <c r="IXU149" s="22"/>
      <c r="IXV149" s="22"/>
      <c r="IXW149" s="22"/>
      <c r="IXX149" s="22"/>
      <c r="IXY149" s="22"/>
      <c r="IXZ149" s="22"/>
      <c r="IYA149" s="22"/>
      <c r="IYB149" s="22"/>
      <c r="IYC149" s="22"/>
      <c r="IYD149" s="22"/>
      <c r="IYE149" s="22"/>
      <c r="IYF149" s="22"/>
      <c r="IYG149" s="22"/>
      <c r="IYH149" s="22"/>
      <c r="IYI149" s="22"/>
      <c r="IYJ149" s="22"/>
      <c r="IYK149" s="22"/>
      <c r="IYL149" s="22"/>
      <c r="IYM149" s="22"/>
      <c r="IYN149" s="22"/>
      <c r="IYO149" s="22"/>
      <c r="IYP149" s="22"/>
      <c r="IYQ149" s="22"/>
      <c r="IYR149" s="22"/>
      <c r="IYS149" s="22"/>
      <c r="IYT149" s="22"/>
      <c r="IYU149" s="22"/>
      <c r="IYV149" s="22"/>
      <c r="IYW149" s="22"/>
      <c r="IYX149" s="22"/>
      <c r="IYY149" s="22"/>
      <c r="IYZ149" s="22"/>
      <c r="IZA149" s="22"/>
      <c r="IZB149" s="22"/>
      <c r="IZC149" s="22"/>
      <c r="IZD149" s="22"/>
      <c r="IZE149" s="22"/>
      <c r="IZF149" s="22"/>
      <c r="IZG149" s="22"/>
      <c r="IZH149" s="22"/>
      <c r="IZI149" s="22"/>
      <c r="IZJ149" s="22"/>
      <c r="IZK149" s="22"/>
      <c r="IZL149" s="22"/>
      <c r="IZM149" s="22"/>
      <c r="IZN149" s="22"/>
      <c r="IZO149" s="22"/>
      <c r="IZP149" s="22"/>
      <c r="IZQ149" s="22"/>
      <c r="IZR149" s="22"/>
      <c r="IZS149" s="22"/>
      <c r="IZT149" s="22"/>
      <c r="IZU149" s="22"/>
      <c r="IZV149" s="22"/>
      <c r="IZW149" s="22"/>
      <c r="IZX149" s="22"/>
      <c r="IZY149" s="22"/>
      <c r="IZZ149" s="22"/>
      <c r="JAA149" s="22"/>
      <c r="JAB149" s="22"/>
      <c r="JAC149" s="22"/>
      <c r="JAD149" s="22"/>
      <c r="JAE149" s="22"/>
      <c r="JAF149" s="22"/>
      <c r="JAG149" s="22"/>
      <c r="JAH149" s="22"/>
      <c r="JAI149" s="22"/>
      <c r="JAJ149" s="22"/>
      <c r="JAK149" s="22"/>
      <c r="JAL149" s="22"/>
      <c r="JAM149" s="22"/>
      <c r="JAN149" s="22"/>
      <c r="JAO149" s="22"/>
      <c r="JAP149" s="22"/>
      <c r="JAQ149" s="22"/>
      <c r="JAR149" s="22"/>
      <c r="JAS149" s="22"/>
      <c r="JAT149" s="22"/>
      <c r="JAU149" s="22"/>
      <c r="JAV149" s="22"/>
      <c r="JAW149" s="22"/>
      <c r="JAX149" s="22"/>
      <c r="JAY149" s="22"/>
      <c r="JAZ149" s="22"/>
      <c r="JBA149" s="22"/>
      <c r="JBB149" s="22"/>
      <c r="JBC149" s="22"/>
      <c r="JBD149" s="22"/>
      <c r="JBE149" s="22"/>
      <c r="JBF149" s="22"/>
      <c r="JBG149" s="22"/>
      <c r="JBH149" s="22"/>
      <c r="JBI149" s="22"/>
      <c r="JBJ149" s="22"/>
      <c r="JBK149" s="22"/>
      <c r="JBL149" s="22"/>
      <c r="JBM149" s="22"/>
      <c r="JBN149" s="22"/>
      <c r="JBO149" s="22"/>
      <c r="JBP149" s="22"/>
      <c r="JBQ149" s="22"/>
      <c r="JBR149" s="22"/>
      <c r="JBS149" s="22"/>
      <c r="JBT149" s="22"/>
      <c r="JBU149" s="22"/>
      <c r="JBV149" s="22"/>
      <c r="JBW149" s="22"/>
      <c r="JBX149" s="22"/>
      <c r="JBY149" s="22"/>
      <c r="JBZ149" s="22"/>
      <c r="JCA149" s="22"/>
      <c r="JCB149" s="22"/>
      <c r="JCC149" s="22"/>
      <c r="JCD149" s="22"/>
      <c r="JCE149" s="22"/>
      <c r="JCF149" s="22"/>
      <c r="JCG149" s="22"/>
      <c r="JCH149" s="22"/>
      <c r="JCI149" s="22"/>
      <c r="JCJ149" s="22"/>
      <c r="JCK149" s="22"/>
      <c r="JCL149" s="22"/>
      <c r="JCM149" s="22"/>
      <c r="JCN149" s="22"/>
      <c r="JCO149" s="22"/>
      <c r="JCP149" s="22"/>
      <c r="JCQ149" s="22"/>
      <c r="JCR149" s="22"/>
      <c r="JCS149" s="22"/>
      <c r="JCT149" s="22"/>
      <c r="JCU149" s="22"/>
      <c r="JCV149" s="22"/>
      <c r="JCW149" s="22"/>
      <c r="JCX149" s="22"/>
      <c r="JCY149" s="22"/>
      <c r="JCZ149" s="22"/>
      <c r="JDA149" s="22"/>
      <c r="JDB149" s="22"/>
      <c r="JDC149" s="22"/>
      <c r="JDD149" s="22"/>
      <c r="JDE149" s="22"/>
      <c r="JDF149" s="22"/>
      <c r="JDG149" s="22"/>
      <c r="JDH149" s="22"/>
      <c r="JDI149" s="22"/>
      <c r="JDJ149" s="22"/>
      <c r="JDK149" s="22"/>
      <c r="JDL149" s="22"/>
      <c r="JDM149" s="22"/>
      <c r="JDN149" s="22"/>
      <c r="JDO149" s="22"/>
      <c r="JDP149" s="22"/>
      <c r="JDQ149" s="22"/>
      <c r="JDR149" s="22"/>
      <c r="JDS149" s="22"/>
      <c r="JDT149" s="22"/>
      <c r="JDU149" s="22"/>
      <c r="JDV149" s="22"/>
      <c r="JDW149" s="22"/>
      <c r="JDX149" s="22"/>
      <c r="JDY149" s="22"/>
      <c r="JDZ149" s="22"/>
      <c r="JEA149" s="22"/>
      <c r="JEB149" s="22"/>
      <c r="JEC149" s="22"/>
      <c r="JED149" s="22"/>
      <c r="JEE149" s="22"/>
      <c r="JEF149" s="22"/>
      <c r="JEG149" s="22"/>
      <c r="JEH149" s="22"/>
      <c r="JEI149" s="22"/>
      <c r="JEJ149" s="22"/>
      <c r="JEK149" s="22"/>
      <c r="JEL149" s="22"/>
      <c r="JEM149" s="22"/>
      <c r="JEN149" s="22"/>
      <c r="JEO149" s="22"/>
      <c r="JEP149" s="22"/>
      <c r="JEQ149" s="22"/>
      <c r="JER149" s="22"/>
      <c r="JES149" s="22"/>
      <c r="JET149" s="22"/>
      <c r="JEU149" s="22"/>
      <c r="JEV149" s="22"/>
      <c r="JEW149" s="22"/>
      <c r="JEX149" s="22"/>
      <c r="JEY149" s="22"/>
      <c r="JEZ149" s="22"/>
      <c r="JFA149" s="22"/>
      <c r="JFB149" s="22"/>
      <c r="JFC149" s="22"/>
      <c r="JFD149" s="22"/>
      <c r="JFE149" s="22"/>
      <c r="JFF149" s="22"/>
      <c r="JFG149" s="22"/>
      <c r="JFH149" s="22"/>
      <c r="JFI149" s="22"/>
      <c r="JFJ149" s="22"/>
      <c r="JFK149" s="22"/>
      <c r="JFL149" s="22"/>
      <c r="JFM149" s="22"/>
      <c r="JFN149" s="22"/>
      <c r="JFO149" s="22"/>
      <c r="JFP149" s="22"/>
      <c r="JFQ149" s="22"/>
      <c r="JFR149" s="22"/>
      <c r="JFS149" s="22"/>
      <c r="JFT149" s="22"/>
      <c r="JFU149" s="22"/>
      <c r="JFV149" s="22"/>
      <c r="JFW149" s="22"/>
      <c r="JFX149" s="22"/>
      <c r="JFY149" s="22"/>
      <c r="JFZ149" s="22"/>
      <c r="JGA149" s="22"/>
      <c r="JGB149" s="22"/>
      <c r="JGC149" s="22"/>
      <c r="JGD149" s="22"/>
      <c r="JGE149" s="22"/>
      <c r="JGF149" s="22"/>
      <c r="JGG149" s="22"/>
      <c r="JGH149" s="22"/>
      <c r="JGI149" s="22"/>
      <c r="JGJ149" s="22"/>
      <c r="JGK149" s="22"/>
      <c r="JGL149" s="22"/>
      <c r="JGM149" s="22"/>
      <c r="JGN149" s="22"/>
      <c r="JGO149" s="22"/>
      <c r="JGP149" s="22"/>
      <c r="JGQ149" s="22"/>
      <c r="JGR149" s="22"/>
      <c r="JGS149" s="22"/>
      <c r="JGT149" s="22"/>
      <c r="JGU149" s="22"/>
      <c r="JGV149" s="22"/>
      <c r="JGW149" s="22"/>
      <c r="JGX149" s="22"/>
      <c r="JGY149" s="22"/>
      <c r="JGZ149" s="22"/>
      <c r="JHA149" s="22"/>
      <c r="JHB149" s="22"/>
      <c r="JHC149" s="22"/>
      <c r="JHD149" s="22"/>
      <c r="JHE149" s="22"/>
      <c r="JHF149" s="22"/>
      <c r="JHG149" s="22"/>
      <c r="JHH149" s="22"/>
      <c r="JHI149" s="22"/>
      <c r="JHJ149" s="22"/>
      <c r="JHK149" s="22"/>
      <c r="JHL149" s="22"/>
      <c r="JHM149" s="22"/>
      <c r="JHN149" s="22"/>
      <c r="JHO149" s="22"/>
      <c r="JHP149" s="22"/>
      <c r="JHQ149" s="22"/>
      <c r="JHR149" s="22"/>
      <c r="JHS149" s="22"/>
      <c r="JHT149" s="22"/>
      <c r="JHU149" s="22"/>
      <c r="JHV149" s="22"/>
      <c r="JHW149" s="22"/>
      <c r="JHX149" s="22"/>
      <c r="JHY149" s="22"/>
      <c r="JHZ149" s="22"/>
      <c r="JIA149" s="22"/>
      <c r="JIB149" s="22"/>
      <c r="JIC149" s="22"/>
      <c r="JID149" s="22"/>
      <c r="JIE149" s="22"/>
      <c r="JIF149" s="22"/>
      <c r="JIG149" s="22"/>
      <c r="JIH149" s="22"/>
      <c r="JII149" s="22"/>
      <c r="JIJ149" s="22"/>
      <c r="JIK149" s="22"/>
      <c r="JIL149" s="22"/>
      <c r="JIM149" s="22"/>
      <c r="JIN149" s="22"/>
      <c r="JIO149" s="22"/>
      <c r="JIP149" s="22"/>
      <c r="JIQ149" s="22"/>
      <c r="JIR149" s="22"/>
      <c r="JIS149" s="22"/>
      <c r="JIT149" s="22"/>
      <c r="JIU149" s="22"/>
      <c r="JIV149" s="22"/>
      <c r="JIW149" s="22"/>
      <c r="JIX149" s="22"/>
      <c r="JIY149" s="22"/>
      <c r="JIZ149" s="22"/>
      <c r="JJA149" s="22"/>
      <c r="JJB149" s="22"/>
      <c r="JJC149" s="22"/>
      <c r="JJD149" s="22"/>
      <c r="JJE149" s="22"/>
      <c r="JJF149" s="22"/>
      <c r="JJG149" s="22"/>
      <c r="JJH149" s="22"/>
      <c r="JJI149" s="22"/>
      <c r="JJJ149" s="22"/>
      <c r="JJK149" s="22"/>
      <c r="JJL149" s="22"/>
      <c r="JJM149" s="22"/>
      <c r="JJN149" s="22"/>
      <c r="JJO149" s="22"/>
      <c r="JJP149" s="22"/>
      <c r="JJQ149" s="22"/>
      <c r="JJR149" s="22"/>
      <c r="JJS149" s="22"/>
      <c r="JJT149" s="22"/>
      <c r="JJU149" s="22"/>
      <c r="JJV149" s="22"/>
      <c r="JJW149" s="22"/>
      <c r="JJX149" s="22"/>
      <c r="JJY149" s="22"/>
      <c r="JJZ149" s="22"/>
      <c r="JKA149" s="22"/>
      <c r="JKB149" s="22"/>
      <c r="JKC149" s="22"/>
      <c r="JKD149" s="22"/>
      <c r="JKE149" s="22"/>
      <c r="JKF149" s="22"/>
      <c r="JKG149" s="22"/>
      <c r="JKH149" s="22"/>
      <c r="JKI149" s="22"/>
      <c r="JKJ149" s="22"/>
      <c r="JKK149" s="22"/>
      <c r="JKL149" s="22"/>
      <c r="JKM149" s="22"/>
      <c r="JKN149" s="22"/>
      <c r="JKO149" s="22"/>
      <c r="JKP149" s="22"/>
      <c r="JKQ149" s="22"/>
      <c r="JKR149" s="22"/>
      <c r="JKS149" s="22"/>
      <c r="JKT149" s="22"/>
      <c r="JKU149" s="22"/>
      <c r="JKV149" s="22"/>
      <c r="JKW149" s="22"/>
      <c r="JKX149" s="22"/>
      <c r="JKY149" s="22"/>
      <c r="JKZ149" s="22"/>
      <c r="JLA149" s="22"/>
      <c r="JLB149" s="22"/>
      <c r="JLC149" s="22"/>
      <c r="JLD149" s="22"/>
      <c r="JLE149" s="22"/>
      <c r="JLF149" s="22"/>
      <c r="JLG149" s="22"/>
      <c r="JLH149" s="22"/>
      <c r="JLI149" s="22"/>
      <c r="JLJ149" s="22"/>
      <c r="JLK149" s="22"/>
      <c r="JLL149" s="22"/>
      <c r="JLM149" s="22"/>
      <c r="JLN149" s="22"/>
      <c r="JLO149" s="22"/>
      <c r="JLP149" s="22"/>
      <c r="JLQ149" s="22"/>
      <c r="JLR149" s="22"/>
      <c r="JLS149" s="22"/>
      <c r="JLT149" s="22"/>
      <c r="JLU149" s="22"/>
      <c r="JLV149" s="22"/>
      <c r="JLW149" s="22"/>
      <c r="JLX149" s="22"/>
      <c r="JLY149" s="22"/>
      <c r="JLZ149" s="22"/>
      <c r="JMA149" s="22"/>
      <c r="JMB149" s="22"/>
      <c r="JMC149" s="22"/>
      <c r="JMD149" s="22"/>
      <c r="JME149" s="22"/>
      <c r="JMF149" s="22"/>
      <c r="JMG149" s="22"/>
      <c r="JMH149" s="22"/>
      <c r="JMI149" s="22"/>
      <c r="JMJ149" s="22"/>
      <c r="JMK149" s="22"/>
      <c r="JML149" s="22"/>
      <c r="JMM149" s="22"/>
      <c r="JMN149" s="22"/>
      <c r="JMO149" s="22"/>
      <c r="JMP149" s="22"/>
      <c r="JMQ149" s="22"/>
      <c r="JMR149" s="22"/>
      <c r="JMS149" s="22"/>
      <c r="JMT149" s="22"/>
      <c r="JMU149" s="22"/>
      <c r="JMV149" s="22"/>
      <c r="JMW149" s="22"/>
      <c r="JMX149" s="22"/>
      <c r="JMY149" s="22"/>
      <c r="JMZ149" s="22"/>
      <c r="JNA149" s="22"/>
      <c r="JNB149" s="22"/>
      <c r="JNC149" s="22"/>
      <c r="JND149" s="22"/>
      <c r="JNE149" s="22"/>
      <c r="JNF149" s="22"/>
      <c r="JNG149" s="22"/>
      <c r="JNH149" s="22"/>
      <c r="JNI149" s="22"/>
      <c r="JNJ149" s="22"/>
      <c r="JNK149" s="22"/>
      <c r="JNL149" s="22"/>
      <c r="JNM149" s="22"/>
      <c r="JNN149" s="22"/>
      <c r="JNO149" s="22"/>
      <c r="JNP149" s="22"/>
      <c r="JNQ149" s="22"/>
      <c r="JNR149" s="22"/>
      <c r="JNS149" s="22"/>
      <c r="JNT149" s="22"/>
      <c r="JNU149" s="22"/>
      <c r="JNV149" s="22"/>
      <c r="JNW149" s="22"/>
      <c r="JNX149" s="22"/>
      <c r="JNY149" s="22"/>
      <c r="JNZ149" s="22"/>
      <c r="JOA149" s="22"/>
      <c r="JOB149" s="22"/>
      <c r="JOC149" s="22"/>
      <c r="JOD149" s="22"/>
      <c r="JOE149" s="22"/>
      <c r="JOF149" s="22"/>
      <c r="JOG149" s="22"/>
      <c r="JOH149" s="22"/>
      <c r="JOI149" s="22"/>
      <c r="JOJ149" s="22"/>
      <c r="JOK149" s="22"/>
      <c r="JOL149" s="22"/>
      <c r="JOM149" s="22"/>
      <c r="JON149" s="22"/>
      <c r="JOO149" s="22"/>
      <c r="JOP149" s="22"/>
      <c r="JOQ149" s="22"/>
      <c r="JOR149" s="22"/>
      <c r="JOS149" s="22"/>
      <c r="JOT149" s="22"/>
      <c r="JOU149" s="22"/>
      <c r="JOV149" s="22"/>
      <c r="JOW149" s="22"/>
      <c r="JOX149" s="22"/>
      <c r="JOY149" s="22"/>
      <c r="JOZ149" s="22"/>
      <c r="JPA149" s="22"/>
      <c r="JPB149" s="22"/>
      <c r="JPC149" s="22"/>
      <c r="JPD149" s="22"/>
      <c r="JPE149" s="22"/>
      <c r="JPF149" s="22"/>
      <c r="JPG149" s="22"/>
      <c r="JPH149" s="22"/>
      <c r="JPI149" s="22"/>
      <c r="JPJ149" s="22"/>
      <c r="JPK149" s="22"/>
      <c r="JPL149" s="22"/>
      <c r="JPM149" s="22"/>
      <c r="JPN149" s="22"/>
      <c r="JPO149" s="22"/>
      <c r="JPP149" s="22"/>
      <c r="JPQ149" s="22"/>
      <c r="JPR149" s="22"/>
      <c r="JPS149" s="22"/>
      <c r="JPT149" s="22"/>
      <c r="JPU149" s="22"/>
      <c r="JPV149" s="22"/>
      <c r="JPW149" s="22"/>
      <c r="JPX149" s="22"/>
      <c r="JPY149" s="22"/>
      <c r="JPZ149" s="22"/>
      <c r="JQA149" s="22"/>
      <c r="JQB149" s="22"/>
      <c r="JQC149" s="22"/>
      <c r="JQD149" s="22"/>
      <c r="JQE149" s="22"/>
      <c r="JQF149" s="22"/>
      <c r="JQG149" s="22"/>
      <c r="JQH149" s="22"/>
      <c r="JQI149" s="22"/>
      <c r="JQJ149" s="22"/>
      <c r="JQK149" s="22"/>
      <c r="JQL149" s="22"/>
      <c r="JQM149" s="22"/>
      <c r="JQN149" s="22"/>
      <c r="JQO149" s="22"/>
      <c r="JQP149" s="22"/>
      <c r="JQQ149" s="22"/>
      <c r="JQR149" s="22"/>
      <c r="JQS149" s="22"/>
      <c r="JQT149" s="22"/>
      <c r="JQU149" s="22"/>
      <c r="JQV149" s="22"/>
      <c r="JQW149" s="22"/>
      <c r="JQX149" s="22"/>
      <c r="JQY149" s="22"/>
      <c r="JQZ149" s="22"/>
      <c r="JRA149" s="22"/>
      <c r="JRB149" s="22"/>
      <c r="JRC149" s="22"/>
      <c r="JRD149" s="22"/>
      <c r="JRE149" s="22"/>
      <c r="JRF149" s="22"/>
      <c r="JRG149" s="22"/>
      <c r="JRH149" s="22"/>
      <c r="JRI149" s="22"/>
      <c r="JRJ149" s="22"/>
      <c r="JRK149" s="22"/>
      <c r="JRL149" s="22"/>
      <c r="JRM149" s="22"/>
      <c r="JRN149" s="22"/>
      <c r="JRO149" s="22"/>
      <c r="JRP149" s="22"/>
      <c r="JRQ149" s="22"/>
      <c r="JRR149" s="22"/>
      <c r="JRS149" s="22"/>
      <c r="JRT149" s="22"/>
      <c r="JRU149" s="22"/>
      <c r="JRV149" s="22"/>
      <c r="JRW149" s="22"/>
      <c r="JRX149" s="22"/>
      <c r="JRY149" s="22"/>
      <c r="JRZ149" s="22"/>
      <c r="JSA149" s="22"/>
      <c r="JSB149" s="22"/>
      <c r="JSC149" s="22"/>
      <c r="JSD149" s="22"/>
      <c r="JSE149" s="22"/>
      <c r="JSF149" s="22"/>
      <c r="JSG149" s="22"/>
      <c r="JSH149" s="22"/>
      <c r="JSI149" s="22"/>
      <c r="JSJ149" s="22"/>
      <c r="JSK149" s="22"/>
      <c r="JSL149" s="22"/>
      <c r="JSM149" s="22"/>
      <c r="JSN149" s="22"/>
      <c r="JSO149" s="22"/>
      <c r="JSP149" s="22"/>
      <c r="JSQ149" s="22"/>
      <c r="JSR149" s="22"/>
      <c r="JSS149" s="22"/>
      <c r="JST149" s="22"/>
      <c r="JSU149" s="22"/>
      <c r="JSV149" s="22"/>
      <c r="JSW149" s="22"/>
      <c r="JSX149" s="22"/>
      <c r="JSY149" s="22"/>
      <c r="JSZ149" s="22"/>
      <c r="JTA149" s="22"/>
      <c r="JTB149" s="22"/>
      <c r="JTC149" s="22"/>
      <c r="JTD149" s="22"/>
      <c r="JTE149" s="22"/>
      <c r="JTF149" s="22"/>
      <c r="JTG149" s="22"/>
      <c r="JTH149" s="22"/>
      <c r="JTI149" s="22"/>
      <c r="JTJ149" s="22"/>
      <c r="JTK149" s="22"/>
      <c r="JTL149" s="22"/>
      <c r="JTM149" s="22"/>
      <c r="JTN149" s="22"/>
      <c r="JTO149" s="22"/>
      <c r="JTP149" s="22"/>
      <c r="JTQ149" s="22"/>
      <c r="JTR149" s="22"/>
      <c r="JTS149" s="22"/>
      <c r="JTT149" s="22"/>
      <c r="JTU149" s="22"/>
      <c r="JTV149" s="22"/>
      <c r="JTW149" s="22"/>
      <c r="JTX149" s="22"/>
      <c r="JTY149" s="22"/>
      <c r="JTZ149" s="22"/>
      <c r="JUA149" s="22"/>
      <c r="JUB149" s="22"/>
      <c r="JUC149" s="22"/>
      <c r="JUD149" s="22"/>
      <c r="JUE149" s="22"/>
      <c r="JUF149" s="22"/>
      <c r="JUG149" s="22"/>
      <c r="JUH149" s="22"/>
      <c r="JUI149" s="22"/>
      <c r="JUJ149" s="22"/>
      <c r="JUK149" s="22"/>
      <c r="JUL149" s="22"/>
      <c r="JUM149" s="22"/>
      <c r="JUN149" s="22"/>
      <c r="JUO149" s="22"/>
      <c r="JUP149" s="22"/>
      <c r="JUQ149" s="22"/>
      <c r="JUR149" s="22"/>
      <c r="JUS149" s="22"/>
      <c r="JUT149" s="22"/>
      <c r="JUU149" s="22"/>
      <c r="JUV149" s="22"/>
      <c r="JUW149" s="22"/>
      <c r="JUX149" s="22"/>
      <c r="JUY149" s="22"/>
      <c r="JUZ149" s="22"/>
      <c r="JVA149" s="22"/>
      <c r="JVB149" s="22"/>
      <c r="JVC149" s="22"/>
      <c r="JVD149" s="22"/>
      <c r="JVE149" s="22"/>
      <c r="JVF149" s="22"/>
      <c r="JVG149" s="22"/>
      <c r="JVH149" s="22"/>
      <c r="JVI149" s="22"/>
      <c r="JVJ149" s="22"/>
      <c r="JVK149" s="22"/>
      <c r="JVL149" s="22"/>
      <c r="JVM149" s="22"/>
      <c r="JVN149" s="22"/>
      <c r="JVO149" s="22"/>
      <c r="JVP149" s="22"/>
      <c r="JVQ149" s="22"/>
      <c r="JVR149" s="22"/>
      <c r="JVS149" s="22"/>
      <c r="JVT149" s="22"/>
      <c r="JVU149" s="22"/>
      <c r="JVV149" s="22"/>
      <c r="JVW149" s="22"/>
      <c r="JVX149" s="22"/>
      <c r="JVY149" s="22"/>
      <c r="JVZ149" s="22"/>
      <c r="JWA149" s="22"/>
      <c r="JWB149" s="22"/>
      <c r="JWC149" s="22"/>
      <c r="JWD149" s="22"/>
      <c r="JWE149" s="22"/>
      <c r="JWF149" s="22"/>
      <c r="JWG149" s="22"/>
      <c r="JWH149" s="22"/>
      <c r="JWI149" s="22"/>
      <c r="JWJ149" s="22"/>
      <c r="JWK149" s="22"/>
      <c r="JWL149" s="22"/>
      <c r="JWM149" s="22"/>
      <c r="JWN149" s="22"/>
      <c r="JWO149" s="22"/>
      <c r="JWP149" s="22"/>
      <c r="JWQ149" s="22"/>
      <c r="JWR149" s="22"/>
      <c r="JWS149" s="22"/>
      <c r="JWT149" s="22"/>
      <c r="JWU149" s="22"/>
      <c r="JWV149" s="22"/>
      <c r="JWW149" s="22"/>
      <c r="JWX149" s="22"/>
      <c r="JWY149" s="22"/>
      <c r="JWZ149" s="22"/>
      <c r="JXA149" s="22"/>
      <c r="JXB149" s="22"/>
      <c r="JXC149" s="22"/>
      <c r="JXD149" s="22"/>
      <c r="JXE149" s="22"/>
      <c r="JXF149" s="22"/>
      <c r="JXG149" s="22"/>
      <c r="JXH149" s="22"/>
      <c r="JXI149" s="22"/>
      <c r="JXJ149" s="22"/>
      <c r="JXK149" s="22"/>
      <c r="JXL149" s="22"/>
      <c r="JXM149" s="22"/>
      <c r="JXN149" s="22"/>
      <c r="JXO149" s="22"/>
      <c r="JXP149" s="22"/>
      <c r="JXQ149" s="22"/>
      <c r="JXR149" s="22"/>
      <c r="JXS149" s="22"/>
      <c r="JXT149" s="22"/>
      <c r="JXU149" s="22"/>
      <c r="JXV149" s="22"/>
      <c r="JXW149" s="22"/>
      <c r="JXX149" s="22"/>
      <c r="JXY149" s="22"/>
      <c r="JXZ149" s="22"/>
      <c r="JYA149" s="22"/>
      <c r="JYB149" s="22"/>
      <c r="JYC149" s="22"/>
      <c r="JYD149" s="22"/>
      <c r="JYE149" s="22"/>
      <c r="JYF149" s="22"/>
      <c r="JYG149" s="22"/>
      <c r="JYH149" s="22"/>
      <c r="JYI149" s="22"/>
      <c r="JYJ149" s="22"/>
      <c r="JYK149" s="22"/>
      <c r="JYL149" s="22"/>
      <c r="JYM149" s="22"/>
      <c r="JYN149" s="22"/>
      <c r="JYO149" s="22"/>
      <c r="JYP149" s="22"/>
      <c r="JYQ149" s="22"/>
      <c r="JYR149" s="22"/>
      <c r="JYS149" s="22"/>
      <c r="JYT149" s="22"/>
      <c r="JYU149" s="22"/>
      <c r="JYV149" s="22"/>
      <c r="JYW149" s="22"/>
      <c r="JYX149" s="22"/>
      <c r="JYY149" s="22"/>
      <c r="JYZ149" s="22"/>
      <c r="JZA149" s="22"/>
      <c r="JZB149" s="22"/>
      <c r="JZC149" s="22"/>
      <c r="JZD149" s="22"/>
      <c r="JZE149" s="22"/>
      <c r="JZF149" s="22"/>
      <c r="JZG149" s="22"/>
      <c r="JZH149" s="22"/>
      <c r="JZI149" s="22"/>
      <c r="JZJ149" s="22"/>
      <c r="JZK149" s="22"/>
      <c r="JZL149" s="22"/>
      <c r="JZM149" s="22"/>
      <c r="JZN149" s="22"/>
      <c r="JZO149" s="22"/>
      <c r="JZP149" s="22"/>
      <c r="JZQ149" s="22"/>
      <c r="JZR149" s="22"/>
      <c r="JZS149" s="22"/>
      <c r="JZT149" s="22"/>
      <c r="JZU149" s="22"/>
      <c r="JZV149" s="22"/>
      <c r="JZW149" s="22"/>
      <c r="JZX149" s="22"/>
      <c r="JZY149" s="22"/>
      <c r="JZZ149" s="22"/>
      <c r="KAA149" s="22"/>
      <c r="KAB149" s="22"/>
      <c r="KAC149" s="22"/>
      <c r="KAD149" s="22"/>
      <c r="KAE149" s="22"/>
      <c r="KAF149" s="22"/>
      <c r="KAG149" s="22"/>
      <c r="KAH149" s="22"/>
      <c r="KAI149" s="22"/>
      <c r="KAJ149" s="22"/>
      <c r="KAK149" s="22"/>
      <c r="KAL149" s="22"/>
      <c r="KAM149" s="22"/>
      <c r="KAN149" s="22"/>
      <c r="KAO149" s="22"/>
      <c r="KAP149" s="22"/>
      <c r="KAQ149" s="22"/>
      <c r="KAR149" s="22"/>
      <c r="KAS149" s="22"/>
      <c r="KAT149" s="22"/>
      <c r="KAU149" s="22"/>
      <c r="KAV149" s="22"/>
      <c r="KAW149" s="22"/>
      <c r="KAX149" s="22"/>
      <c r="KAY149" s="22"/>
      <c r="KAZ149" s="22"/>
      <c r="KBA149" s="22"/>
      <c r="KBB149" s="22"/>
      <c r="KBC149" s="22"/>
      <c r="KBD149" s="22"/>
      <c r="KBE149" s="22"/>
      <c r="KBF149" s="22"/>
      <c r="KBG149" s="22"/>
      <c r="KBH149" s="22"/>
      <c r="KBI149" s="22"/>
      <c r="KBJ149" s="22"/>
      <c r="KBK149" s="22"/>
      <c r="KBL149" s="22"/>
      <c r="KBM149" s="22"/>
      <c r="KBN149" s="22"/>
      <c r="KBO149" s="22"/>
      <c r="KBP149" s="22"/>
      <c r="KBQ149" s="22"/>
      <c r="KBR149" s="22"/>
      <c r="KBS149" s="22"/>
      <c r="KBT149" s="22"/>
      <c r="KBU149" s="22"/>
      <c r="KBV149" s="22"/>
      <c r="KBW149" s="22"/>
      <c r="KBX149" s="22"/>
      <c r="KBY149" s="22"/>
      <c r="KBZ149" s="22"/>
      <c r="KCA149" s="22"/>
      <c r="KCB149" s="22"/>
      <c r="KCC149" s="22"/>
      <c r="KCD149" s="22"/>
      <c r="KCE149" s="22"/>
      <c r="KCF149" s="22"/>
      <c r="KCG149" s="22"/>
      <c r="KCH149" s="22"/>
      <c r="KCI149" s="22"/>
      <c r="KCJ149" s="22"/>
      <c r="KCK149" s="22"/>
      <c r="KCL149" s="22"/>
      <c r="KCM149" s="22"/>
      <c r="KCN149" s="22"/>
      <c r="KCO149" s="22"/>
      <c r="KCP149" s="22"/>
      <c r="KCQ149" s="22"/>
      <c r="KCR149" s="22"/>
      <c r="KCS149" s="22"/>
      <c r="KCT149" s="22"/>
      <c r="KCU149" s="22"/>
      <c r="KCV149" s="22"/>
      <c r="KCW149" s="22"/>
      <c r="KCX149" s="22"/>
      <c r="KCY149" s="22"/>
      <c r="KCZ149" s="22"/>
      <c r="KDA149" s="22"/>
      <c r="KDB149" s="22"/>
      <c r="KDC149" s="22"/>
      <c r="KDD149" s="22"/>
      <c r="KDE149" s="22"/>
      <c r="KDF149" s="22"/>
      <c r="KDG149" s="22"/>
      <c r="KDH149" s="22"/>
      <c r="KDI149" s="22"/>
      <c r="KDJ149" s="22"/>
      <c r="KDK149" s="22"/>
      <c r="KDL149" s="22"/>
      <c r="KDM149" s="22"/>
      <c r="KDN149" s="22"/>
      <c r="KDO149" s="22"/>
      <c r="KDP149" s="22"/>
      <c r="KDQ149" s="22"/>
      <c r="KDR149" s="22"/>
      <c r="KDS149" s="22"/>
      <c r="KDT149" s="22"/>
      <c r="KDU149" s="22"/>
      <c r="KDV149" s="22"/>
      <c r="KDW149" s="22"/>
      <c r="KDX149" s="22"/>
      <c r="KDY149" s="22"/>
      <c r="KDZ149" s="22"/>
      <c r="KEA149" s="22"/>
      <c r="KEB149" s="22"/>
      <c r="KEC149" s="22"/>
      <c r="KED149" s="22"/>
      <c r="KEE149" s="22"/>
      <c r="KEF149" s="22"/>
      <c r="KEG149" s="22"/>
      <c r="KEH149" s="22"/>
      <c r="KEI149" s="22"/>
      <c r="KEJ149" s="22"/>
      <c r="KEK149" s="22"/>
      <c r="KEL149" s="22"/>
      <c r="KEM149" s="22"/>
      <c r="KEN149" s="22"/>
      <c r="KEO149" s="22"/>
      <c r="KEP149" s="22"/>
      <c r="KEQ149" s="22"/>
      <c r="KER149" s="22"/>
      <c r="KES149" s="22"/>
      <c r="KET149" s="22"/>
      <c r="KEU149" s="22"/>
      <c r="KEV149" s="22"/>
      <c r="KEW149" s="22"/>
      <c r="KEX149" s="22"/>
      <c r="KEY149" s="22"/>
      <c r="KEZ149" s="22"/>
      <c r="KFA149" s="22"/>
      <c r="KFB149" s="22"/>
      <c r="KFC149" s="22"/>
      <c r="KFD149" s="22"/>
      <c r="KFE149" s="22"/>
      <c r="KFF149" s="22"/>
      <c r="KFG149" s="22"/>
      <c r="KFH149" s="22"/>
      <c r="KFI149" s="22"/>
      <c r="KFJ149" s="22"/>
      <c r="KFK149" s="22"/>
      <c r="KFL149" s="22"/>
      <c r="KFM149" s="22"/>
      <c r="KFN149" s="22"/>
      <c r="KFO149" s="22"/>
      <c r="KFP149" s="22"/>
      <c r="KFQ149" s="22"/>
      <c r="KFR149" s="22"/>
      <c r="KFS149" s="22"/>
      <c r="KFT149" s="22"/>
      <c r="KFU149" s="22"/>
      <c r="KFV149" s="22"/>
      <c r="KFW149" s="22"/>
      <c r="KFX149" s="22"/>
      <c r="KFY149" s="22"/>
      <c r="KFZ149" s="22"/>
      <c r="KGA149" s="22"/>
      <c r="KGB149" s="22"/>
      <c r="KGC149" s="22"/>
      <c r="KGD149" s="22"/>
      <c r="KGE149" s="22"/>
      <c r="KGF149" s="22"/>
      <c r="KGG149" s="22"/>
      <c r="KGH149" s="22"/>
      <c r="KGI149" s="22"/>
      <c r="KGJ149" s="22"/>
      <c r="KGK149" s="22"/>
      <c r="KGL149" s="22"/>
      <c r="KGM149" s="22"/>
      <c r="KGN149" s="22"/>
      <c r="KGO149" s="22"/>
      <c r="KGP149" s="22"/>
      <c r="KGQ149" s="22"/>
      <c r="KGR149" s="22"/>
      <c r="KGS149" s="22"/>
      <c r="KGT149" s="22"/>
      <c r="KGU149" s="22"/>
      <c r="KGV149" s="22"/>
      <c r="KGW149" s="22"/>
      <c r="KGX149" s="22"/>
      <c r="KGY149" s="22"/>
      <c r="KGZ149" s="22"/>
      <c r="KHA149" s="22"/>
      <c r="KHB149" s="22"/>
      <c r="KHC149" s="22"/>
      <c r="KHD149" s="22"/>
      <c r="KHE149" s="22"/>
      <c r="KHF149" s="22"/>
      <c r="KHG149" s="22"/>
      <c r="KHH149" s="22"/>
      <c r="KHI149" s="22"/>
      <c r="KHJ149" s="22"/>
      <c r="KHK149" s="22"/>
      <c r="KHL149" s="22"/>
      <c r="KHM149" s="22"/>
      <c r="KHN149" s="22"/>
      <c r="KHO149" s="22"/>
      <c r="KHP149" s="22"/>
      <c r="KHQ149" s="22"/>
      <c r="KHR149" s="22"/>
      <c r="KHS149" s="22"/>
      <c r="KHT149" s="22"/>
      <c r="KHU149" s="22"/>
      <c r="KHV149" s="22"/>
      <c r="KHW149" s="22"/>
      <c r="KHX149" s="22"/>
      <c r="KHY149" s="22"/>
      <c r="KHZ149" s="22"/>
      <c r="KIA149" s="22"/>
      <c r="KIB149" s="22"/>
      <c r="KIC149" s="22"/>
      <c r="KID149" s="22"/>
      <c r="KIE149" s="22"/>
      <c r="KIF149" s="22"/>
      <c r="KIG149" s="22"/>
      <c r="KIH149" s="22"/>
      <c r="KII149" s="22"/>
      <c r="KIJ149" s="22"/>
      <c r="KIK149" s="22"/>
      <c r="KIL149" s="22"/>
      <c r="KIM149" s="22"/>
      <c r="KIN149" s="22"/>
      <c r="KIO149" s="22"/>
      <c r="KIP149" s="22"/>
      <c r="KIQ149" s="22"/>
      <c r="KIR149" s="22"/>
      <c r="KIS149" s="22"/>
      <c r="KIT149" s="22"/>
      <c r="KIU149" s="22"/>
      <c r="KIV149" s="22"/>
      <c r="KIW149" s="22"/>
      <c r="KIX149" s="22"/>
      <c r="KIY149" s="22"/>
      <c r="KIZ149" s="22"/>
      <c r="KJA149" s="22"/>
      <c r="KJB149" s="22"/>
      <c r="KJC149" s="22"/>
      <c r="KJD149" s="22"/>
      <c r="KJE149" s="22"/>
      <c r="KJF149" s="22"/>
      <c r="KJG149" s="22"/>
      <c r="KJH149" s="22"/>
      <c r="KJI149" s="22"/>
      <c r="KJJ149" s="22"/>
      <c r="KJK149" s="22"/>
      <c r="KJL149" s="22"/>
      <c r="KJM149" s="22"/>
      <c r="KJN149" s="22"/>
      <c r="KJO149" s="22"/>
      <c r="KJP149" s="22"/>
      <c r="KJQ149" s="22"/>
      <c r="KJR149" s="22"/>
      <c r="KJS149" s="22"/>
      <c r="KJT149" s="22"/>
      <c r="KJU149" s="22"/>
      <c r="KJV149" s="22"/>
      <c r="KJW149" s="22"/>
      <c r="KJX149" s="22"/>
      <c r="KJY149" s="22"/>
      <c r="KJZ149" s="22"/>
      <c r="KKA149" s="22"/>
      <c r="KKB149" s="22"/>
      <c r="KKC149" s="22"/>
      <c r="KKD149" s="22"/>
      <c r="KKE149" s="22"/>
      <c r="KKF149" s="22"/>
      <c r="KKG149" s="22"/>
      <c r="KKH149" s="22"/>
      <c r="KKI149" s="22"/>
      <c r="KKJ149" s="22"/>
      <c r="KKK149" s="22"/>
      <c r="KKL149" s="22"/>
      <c r="KKM149" s="22"/>
      <c r="KKN149" s="22"/>
      <c r="KKO149" s="22"/>
      <c r="KKP149" s="22"/>
      <c r="KKQ149" s="22"/>
      <c r="KKR149" s="22"/>
      <c r="KKS149" s="22"/>
      <c r="KKT149" s="22"/>
      <c r="KKU149" s="22"/>
      <c r="KKV149" s="22"/>
      <c r="KKW149" s="22"/>
      <c r="KKX149" s="22"/>
      <c r="KKY149" s="22"/>
      <c r="KKZ149" s="22"/>
      <c r="KLA149" s="22"/>
      <c r="KLB149" s="22"/>
      <c r="KLC149" s="22"/>
      <c r="KLD149" s="22"/>
      <c r="KLE149" s="22"/>
      <c r="KLF149" s="22"/>
      <c r="KLG149" s="22"/>
      <c r="KLH149" s="22"/>
      <c r="KLI149" s="22"/>
      <c r="KLJ149" s="22"/>
      <c r="KLK149" s="22"/>
      <c r="KLL149" s="22"/>
      <c r="KLM149" s="22"/>
      <c r="KLN149" s="22"/>
      <c r="KLO149" s="22"/>
      <c r="KLP149" s="22"/>
      <c r="KLQ149" s="22"/>
      <c r="KLR149" s="22"/>
      <c r="KLS149" s="22"/>
      <c r="KLT149" s="22"/>
      <c r="KLU149" s="22"/>
      <c r="KLV149" s="22"/>
      <c r="KLW149" s="22"/>
      <c r="KLX149" s="22"/>
      <c r="KLY149" s="22"/>
      <c r="KLZ149" s="22"/>
      <c r="KMA149" s="22"/>
      <c r="KMB149" s="22"/>
      <c r="KMC149" s="22"/>
      <c r="KMD149" s="22"/>
      <c r="KME149" s="22"/>
      <c r="KMF149" s="22"/>
      <c r="KMG149" s="22"/>
      <c r="KMH149" s="22"/>
      <c r="KMI149" s="22"/>
      <c r="KMJ149" s="22"/>
      <c r="KMK149" s="22"/>
      <c r="KML149" s="22"/>
      <c r="KMM149" s="22"/>
      <c r="KMN149" s="22"/>
      <c r="KMO149" s="22"/>
      <c r="KMP149" s="22"/>
      <c r="KMQ149" s="22"/>
      <c r="KMR149" s="22"/>
      <c r="KMS149" s="22"/>
      <c r="KMT149" s="22"/>
      <c r="KMU149" s="22"/>
      <c r="KMV149" s="22"/>
      <c r="KMW149" s="22"/>
      <c r="KMX149" s="22"/>
      <c r="KMY149" s="22"/>
      <c r="KMZ149" s="22"/>
      <c r="KNA149" s="22"/>
      <c r="KNB149" s="22"/>
      <c r="KNC149" s="22"/>
      <c r="KND149" s="22"/>
      <c r="KNE149" s="22"/>
      <c r="KNF149" s="22"/>
      <c r="KNG149" s="22"/>
      <c r="KNH149" s="22"/>
      <c r="KNI149" s="22"/>
      <c r="KNJ149" s="22"/>
      <c r="KNK149" s="22"/>
      <c r="KNL149" s="22"/>
      <c r="KNM149" s="22"/>
      <c r="KNN149" s="22"/>
      <c r="KNO149" s="22"/>
      <c r="KNP149" s="22"/>
      <c r="KNQ149" s="22"/>
      <c r="KNR149" s="22"/>
      <c r="KNS149" s="22"/>
      <c r="KNT149" s="22"/>
      <c r="KNU149" s="22"/>
      <c r="KNV149" s="22"/>
      <c r="KNW149" s="22"/>
      <c r="KNX149" s="22"/>
      <c r="KNY149" s="22"/>
      <c r="KNZ149" s="22"/>
      <c r="KOA149" s="22"/>
      <c r="KOB149" s="22"/>
      <c r="KOC149" s="22"/>
      <c r="KOD149" s="22"/>
      <c r="KOE149" s="22"/>
      <c r="KOF149" s="22"/>
      <c r="KOG149" s="22"/>
      <c r="KOH149" s="22"/>
      <c r="KOI149" s="22"/>
      <c r="KOJ149" s="22"/>
      <c r="KOK149" s="22"/>
      <c r="KOL149" s="22"/>
      <c r="KOM149" s="22"/>
      <c r="KON149" s="22"/>
      <c r="KOO149" s="22"/>
      <c r="KOP149" s="22"/>
      <c r="KOQ149" s="22"/>
      <c r="KOR149" s="22"/>
      <c r="KOS149" s="22"/>
      <c r="KOT149" s="22"/>
      <c r="KOU149" s="22"/>
      <c r="KOV149" s="22"/>
      <c r="KOW149" s="22"/>
      <c r="KOX149" s="22"/>
      <c r="KOY149" s="22"/>
      <c r="KOZ149" s="22"/>
      <c r="KPA149" s="22"/>
      <c r="KPB149" s="22"/>
      <c r="KPC149" s="22"/>
      <c r="KPD149" s="22"/>
      <c r="KPE149" s="22"/>
      <c r="KPF149" s="22"/>
      <c r="KPG149" s="22"/>
      <c r="KPH149" s="22"/>
      <c r="KPI149" s="22"/>
      <c r="KPJ149" s="22"/>
      <c r="KPK149" s="22"/>
      <c r="KPL149" s="22"/>
      <c r="KPM149" s="22"/>
      <c r="KPN149" s="22"/>
      <c r="KPO149" s="22"/>
      <c r="KPP149" s="22"/>
      <c r="KPQ149" s="22"/>
      <c r="KPR149" s="22"/>
      <c r="KPS149" s="22"/>
      <c r="KPT149" s="22"/>
      <c r="KPU149" s="22"/>
      <c r="KPV149" s="22"/>
      <c r="KPW149" s="22"/>
      <c r="KPX149" s="22"/>
      <c r="KPY149" s="22"/>
      <c r="KPZ149" s="22"/>
      <c r="KQA149" s="22"/>
      <c r="KQB149" s="22"/>
      <c r="KQC149" s="22"/>
      <c r="KQD149" s="22"/>
      <c r="KQE149" s="22"/>
      <c r="KQF149" s="22"/>
      <c r="KQG149" s="22"/>
      <c r="KQH149" s="22"/>
      <c r="KQI149" s="22"/>
      <c r="KQJ149" s="22"/>
      <c r="KQK149" s="22"/>
      <c r="KQL149" s="22"/>
      <c r="KQM149" s="22"/>
      <c r="KQN149" s="22"/>
      <c r="KQO149" s="22"/>
      <c r="KQP149" s="22"/>
      <c r="KQQ149" s="22"/>
      <c r="KQR149" s="22"/>
      <c r="KQS149" s="22"/>
      <c r="KQT149" s="22"/>
      <c r="KQU149" s="22"/>
      <c r="KQV149" s="22"/>
      <c r="KQW149" s="22"/>
      <c r="KQX149" s="22"/>
      <c r="KQY149" s="22"/>
      <c r="KQZ149" s="22"/>
      <c r="KRA149" s="22"/>
      <c r="KRB149" s="22"/>
      <c r="KRC149" s="22"/>
      <c r="KRD149" s="22"/>
      <c r="KRE149" s="22"/>
      <c r="KRF149" s="22"/>
      <c r="KRG149" s="22"/>
      <c r="KRH149" s="22"/>
      <c r="KRI149" s="22"/>
      <c r="KRJ149" s="22"/>
      <c r="KRK149" s="22"/>
      <c r="KRL149" s="22"/>
      <c r="KRM149" s="22"/>
      <c r="KRN149" s="22"/>
      <c r="KRO149" s="22"/>
      <c r="KRP149" s="22"/>
      <c r="KRQ149" s="22"/>
      <c r="KRR149" s="22"/>
      <c r="KRS149" s="22"/>
      <c r="KRT149" s="22"/>
      <c r="KRU149" s="22"/>
      <c r="KRV149" s="22"/>
      <c r="KRW149" s="22"/>
      <c r="KRX149" s="22"/>
      <c r="KRY149" s="22"/>
      <c r="KRZ149" s="22"/>
      <c r="KSA149" s="22"/>
      <c r="KSB149" s="22"/>
      <c r="KSC149" s="22"/>
      <c r="KSD149" s="22"/>
      <c r="KSE149" s="22"/>
      <c r="KSF149" s="22"/>
      <c r="KSG149" s="22"/>
      <c r="KSH149" s="22"/>
      <c r="KSI149" s="22"/>
      <c r="KSJ149" s="22"/>
      <c r="KSK149" s="22"/>
      <c r="KSL149" s="22"/>
      <c r="KSM149" s="22"/>
      <c r="KSN149" s="22"/>
      <c r="KSO149" s="22"/>
      <c r="KSP149" s="22"/>
      <c r="KSQ149" s="22"/>
      <c r="KSR149" s="22"/>
      <c r="KSS149" s="22"/>
      <c r="KST149" s="22"/>
      <c r="KSU149" s="22"/>
      <c r="KSV149" s="22"/>
      <c r="KSW149" s="22"/>
      <c r="KSX149" s="22"/>
      <c r="KSY149" s="22"/>
      <c r="KSZ149" s="22"/>
      <c r="KTA149" s="22"/>
      <c r="KTB149" s="22"/>
      <c r="KTC149" s="22"/>
      <c r="KTD149" s="22"/>
      <c r="KTE149" s="22"/>
      <c r="KTF149" s="22"/>
      <c r="KTG149" s="22"/>
      <c r="KTH149" s="22"/>
      <c r="KTI149" s="22"/>
      <c r="KTJ149" s="22"/>
      <c r="KTK149" s="22"/>
      <c r="KTL149" s="22"/>
      <c r="KTM149" s="22"/>
      <c r="KTN149" s="22"/>
      <c r="KTO149" s="22"/>
      <c r="KTP149" s="22"/>
      <c r="KTQ149" s="22"/>
      <c r="KTR149" s="22"/>
      <c r="KTS149" s="22"/>
      <c r="KTT149" s="22"/>
      <c r="KTU149" s="22"/>
      <c r="KTV149" s="22"/>
      <c r="KTW149" s="22"/>
      <c r="KTX149" s="22"/>
      <c r="KTY149" s="22"/>
      <c r="KTZ149" s="22"/>
      <c r="KUA149" s="22"/>
      <c r="KUB149" s="22"/>
      <c r="KUC149" s="22"/>
      <c r="KUD149" s="22"/>
      <c r="KUE149" s="22"/>
      <c r="KUF149" s="22"/>
      <c r="KUG149" s="22"/>
      <c r="KUH149" s="22"/>
      <c r="KUI149" s="22"/>
      <c r="KUJ149" s="22"/>
      <c r="KUK149" s="22"/>
      <c r="KUL149" s="22"/>
      <c r="KUM149" s="22"/>
      <c r="KUN149" s="22"/>
      <c r="KUO149" s="22"/>
      <c r="KUP149" s="22"/>
      <c r="KUQ149" s="22"/>
      <c r="KUR149" s="22"/>
      <c r="KUS149" s="22"/>
      <c r="KUT149" s="22"/>
      <c r="KUU149" s="22"/>
      <c r="KUV149" s="22"/>
      <c r="KUW149" s="22"/>
      <c r="KUX149" s="22"/>
      <c r="KUY149" s="22"/>
      <c r="KUZ149" s="22"/>
      <c r="KVA149" s="22"/>
      <c r="KVB149" s="22"/>
      <c r="KVC149" s="22"/>
      <c r="KVD149" s="22"/>
      <c r="KVE149" s="22"/>
      <c r="KVF149" s="22"/>
      <c r="KVG149" s="22"/>
      <c r="KVH149" s="22"/>
      <c r="KVI149" s="22"/>
      <c r="KVJ149" s="22"/>
      <c r="KVK149" s="22"/>
      <c r="KVL149" s="22"/>
      <c r="KVM149" s="22"/>
      <c r="KVN149" s="22"/>
      <c r="KVO149" s="22"/>
      <c r="KVP149" s="22"/>
      <c r="KVQ149" s="22"/>
      <c r="KVR149" s="22"/>
      <c r="KVS149" s="22"/>
      <c r="KVT149" s="22"/>
      <c r="KVU149" s="22"/>
      <c r="KVV149" s="22"/>
      <c r="KVW149" s="22"/>
      <c r="KVX149" s="22"/>
      <c r="KVY149" s="22"/>
      <c r="KVZ149" s="22"/>
      <c r="KWA149" s="22"/>
      <c r="KWB149" s="22"/>
      <c r="KWC149" s="22"/>
      <c r="KWD149" s="22"/>
      <c r="KWE149" s="22"/>
      <c r="KWF149" s="22"/>
      <c r="KWG149" s="22"/>
      <c r="KWH149" s="22"/>
      <c r="KWI149" s="22"/>
      <c r="KWJ149" s="22"/>
      <c r="KWK149" s="22"/>
      <c r="KWL149" s="22"/>
      <c r="KWM149" s="22"/>
      <c r="KWN149" s="22"/>
      <c r="KWO149" s="22"/>
      <c r="KWP149" s="22"/>
      <c r="KWQ149" s="22"/>
      <c r="KWR149" s="22"/>
      <c r="KWS149" s="22"/>
      <c r="KWT149" s="22"/>
      <c r="KWU149" s="22"/>
      <c r="KWV149" s="22"/>
      <c r="KWW149" s="22"/>
      <c r="KWX149" s="22"/>
      <c r="KWY149" s="22"/>
      <c r="KWZ149" s="22"/>
      <c r="KXA149" s="22"/>
      <c r="KXB149" s="22"/>
      <c r="KXC149" s="22"/>
      <c r="KXD149" s="22"/>
      <c r="KXE149" s="22"/>
      <c r="KXF149" s="22"/>
      <c r="KXG149" s="22"/>
      <c r="KXH149" s="22"/>
      <c r="KXI149" s="22"/>
      <c r="KXJ149" s="22"/>
      <c r="KXK149" s="22"/>
      <c r="KXL149" s="22"/>
      <c r="KXM149" s="22"/>
      <c r="KXN149" s="22"/>
      <c r="KXO149" s="22"/>
      <c r="KXP149" s="22"/>
      <c r="KXQ149" s="22"/>
      <c r="KXR149" s="22"/>
      <c r="KXS149" s="22"/>
      <c r="KXT149" s="22"/>
      <c r="KXU149" s="22"/>
      <c r="KXV149" s="22"/>
      <c r="KXW149" s="22"/>
      <c r="KXX149" s="22"/>
      <c r="KXY149" s="22"/>
      <c r="KXZ149" s="22"/>
      <c r="KYA149" s="22"/>
      <c r="KYB149" s="22"/>
      <c r="KYC149" s="22"/>
      <c r="KYD149" s="22"/>
      <c r="KYE149" s="22"/>
      <c r="KYF149" s="22"/>
      <c r="KYG149" s="22"/>
      <c r="KYH149" s="22"/>
      <c r="KYI149" s="22"/>
      <c r="KYJ149" s="22"/>
      <c r="KYK149" s="22"/>
      <c r="KYL149" s="22"/>
      <c r="KYM149" s="22"/>
      <c r="KYN149" s="22"/>
      <c r="KYO149" s="22"/>
      <c r="KYP149" s="22"/>
      <c r="KYQ149" s="22"/>
      <c r="KYR149" s="22"/>
      <c r="KYS149" s="22"/>
      <c r="KYT149" s="22"/>
      <c r="KYU149" s="22"/>
      <c r="KYV149" s="22"/>
      <c r="KYW149" s="22"/>
      <c r="KYX149" s="22"/>
      <c r="KYY149" s="22"/>
      <c r="KYZ149" s="22"/>
      <c r="KZA149" s="22"/>
      <c r="KZB149" s="22"/>
      <c r="KZC149" s="22"/>
      <c r="KZD149" s="22"/>
      <c r="KZE149" s="22"/>
      <c r="KZF149" s="22"/>
      <c r="KZG149" s="22"/>
      <c r="KZH149" s="22"/>
      <c r="KZI149" s="22"/>
      <c r="KZJ149" s="22"/>
      <c r="KZK149" s="22"/>
      <c r="KZL149" s="22"/>
      <c r="KZM149" s="22"/>
      <c r="KZN149" s="22"/>
      <c r="KZO149" s="22"/>
      <c r="KZP149" s="22"/>
      <c r="KZQ149" s="22"/>
      <c r="KZR149" s="22"/>
      <c r="KZS149" s="22"/>
      <c r="KZT149" s="22"/>
      <c r="KZU149" s="22"/>
      <c r="KZV149" s="22"/>
      <c r="KZW149" s="22"/>
      <c r="KZX149" s="22"/>
      <c r="KZY149" s="22"/>
      <c r="KZZ149" s="22"/>
      <c r="LAA149" s="22"/>
      <c r="LAB149" s="22"/>
      <c r="LAC149" s="22"/>
      <c r="LAD149" s="22"/>
      <c r="LAE149" s="22"/>
      <c r="LAF149" s="22"/>
      <c r="LAG149" s="22"/>
      <c r="LAH149" s="22"/>
      <c r="LAI149" s="22"/>
      <c r="LAJ149" s="22"/>
      <c r="LAK149" s="22"/>
      <c r="LAL149" s="22"/>
      <c r="LAM149" s="22"/>
      <c r="LAN149" s="22"/>
      <c r="LAO149" s="22"/>
      <c r="LAP149" s="22"/>
      <c r="LAQ149" s="22"/>
      <c r="LAR149" s="22"/>
      <c r="LAS149" s="22"/>
      <c r="LAT149" s="22"/>
      <c r="LAU149" s="22"/>
      <c r="LAV149" s="22"/>
      <c r="LAW149" s="22"/>
      <c r="LAX149" s="22"/>
      <c r="LAY149" s="22"/>
      <c r="LAZ149" s="22"/>
      <c r="LBA149" s="22"/>
      <c r="LBB149" s="22"/>
      <c r="LBC149" s="22"/>
      <c r="LBD149" s="22"/>
      <c r="LBE149" s="22"/>
      <c r="LBF149" s="22"/>
      <c r="LBG149" s="22"/>
      <c r="LBH149" s="22"/>
      <c r="LBI149" s="22"/>
      <c r="LBJ149" s="22"/>
      <c r="LBK149" s="22"/>
      <c r="LBL149" s="22"/>
      <c r="LBM149" s="22"/>
      <c r="LBN149" s="22"/>
      <c r="LBO149" s="22"/>
      <c r="LBP149" s="22"/>
      <c r="LBQ149" s="22"/>
      <c r="LBR149" s="22"/>
      <c r="LBS149" s="22"/>
      <c r="LBT149" s="22"/>
      <c r="LBU149" s="22"/>
      <c r="LBV149" s="22"/>
      <c r="LBW149" s="22"/>
      <c r="LBX149" s="22"/>
      <c r="LBY149" s="22"/>
      <c r="LBZ149" s="22"/>
      <c r="LCA149" s="22"/>
      <c r="LCB149" s="22"/>
      <c r="LCC149" s="22"/>
      <c r="LCD149" s="22"/>
      <c r="LCE149" s="22"/>
      <c r="LCF149" s="22"/>
      <c r="LCG149" s="22"/>
      <c r="LCH149" s="22"/>
      <c r="LCI149" s="22"/>
      <c r="LCJ149" s="22"/>
      <c r="LCK149" s="22"/>
      <c r="LCL149" s="22"/>
      <c r="LCM149" s="22"/>
      <c r="LCN149" s="22"/>
      <c r="LCO149" s="22"/>
      <c r="LCP149" s="22"/>
      <c r="LCQ149" s="22"/>
      <c r="LCR149" s="22"/>
      <c r="LCS149" s="22"/>
      <c r="LCT149" s="22"/>
      <c r="LCU149" s="22"/>
      <c r="LCV149" s="22"/>
      <c r="LCW149" s="22"/>
      <c r="LCX149" s="22"/>
      <c r="LCY149" s="22"/>
      <c r="LCZ149" s="22"/>
      <c r="LDA149" s="22"/>
      <c r="LDB149" s="22"/>
      <c r="LDC149" s="22"/>
      <c r="LDD149" s="22"/>
      <c r="LDE149" s="22"/>
      <c r="LDF149" s="22"/>
      <c r="LDG149" s="22"/>
      <c r="LDH149" s="22"/>
      <c r="LDI149" s="22"/>
      <c r="LDJ149" s="22"/>
      <c r="LDK149" s="22"/>
      <c r="LDL149" s="22"/>
      <c r="LDM149" s="22"/>
      <c r="LDN149" s="22"/>
      <c r="LDO149" s="22"/>
      <c r="LDP149" s="22"/>
      <c r="LDQ149" s="22"/>
      <c r="LDR149" s="22"/>
      <c r="LDS149" s="22"/>
      <c r="LDT149" s="22"/>
      <c r="LDU149" s="22"/>
      <c r="LDV149" s="22"/>
      <c r="LDW149" s="22"/>
      <c r="LDX149" s="22"/>
      <c r="LDY149" s="22"/>
      <c r="LDZ149" s="22"/>
      <c r="LEA149" s="22"/>
      <c r="LEB149" s="22"/>
      <c r="LEC149" s="22"/>
      <c r="LED149" s="22"/>
      <c r="LEE149" s="22"/>
      <c r="LEF149" s="22"/>
      <c r="LEG149" s="22"/>
      <c r="LEH149" s="22"/>
      <c r="LEI149" s="22"/>
      <c r="LEJ149" s="22"/>
      <c r="LEK149" s="22"/>
      <c r="LEL149" s="22"/>
      <c r="LEM149" s="22"/>
      <c r="LEN149" s="22"/>
      <c r="LEO149" s="22"/>
      <c r="LEP149" s="22"/>
      <c r="LEQ149" s="22"/>
      <c r="LER149" s="22"/>
      <c r="LES149" s="22"/>
      <c r="LET149" s="22"/>
      <c r="LEU149" s="22"/>
      <c r="LEV149" s="22"/>
      <c r="LEW149" s="22"/>
      <c r="LEX149" s="22"/>
      <c r="LEY149" s="22"/>
      <c r="LEZ149" s="22"/>
      <c r="LFA149" s="22"/>
      <c r="LFB149" s="22"/>
      <c r="LFC149" s="22"/>
      <c r="LFD149" s="22"/>
      <c r="LFE149" s="22"/>
      <c r="LFF149" s="22"/>
      <c r="LFG149" s="22"/>
      <c r="LFH149" s="22"/>
      <c r="LFI149" s="22"/>
      <c r="LFJ149" s="22"/>
      <c r="LFK149" s="22"/>
      <c r="LFL149" s="22"/>
      <c r="LFM149" s="22"/>
      <c r="LFN149" s="22"/>
      <c r="LFO149" s="22"/>
      <c r="LFP149" s="22"/>
      <c r="LFQ149" s="22"/>
      <c r="LFR149" s="22"/>
      <c r="LFS149" s="22"/>
      <c r="LFT149" s="22"/>
      <c r="LFU149" s="22"/>
      <c r="LFV149" s="22"/>
      <c r="LFW149" s="22"/>
      <c r="LFX149" s="22"/>
      <c r="LFY149" s="22"/>
      <c r="LFZ149" s="22"/>
      <c r="LGA149" s="22"/>
      <c r="LGB149" s="22"/>
      <c r="LGC149" s="22"/>
      <c r="LGD149" s="22"/>
      <c r="LGE149" s="22"/>
      <c r="LGF149" s="22"/>
      <c r="LGG149" s="22"/>
      <c r="LGH149" s="22"/>
      <c r="LGI149" s="22"/>
      <c r="LGJ149" s="22"/>
      <c r="LGK149" s="22"/>
      <c r="LGL149" s="22"/>
      <c r="LGM149" s="22"/>
      <c r="LGN149" s="22"/>
      <c r="LGO149" s="22"/>
      <c r="LGP149" s="22"/>
      <c r="LGQ149" s="22"/>
      <c r="LGR149" s="22"/>
      <c r="LGS149" s="22"/>
      <c r="LGT149" s="22"/>
      <c r="LGU149" s="22"/>
      <c r="LGV149" s="22"/>
      <c r="LGW149" s="22"/>
      <c r="LGX149" s="22"/>
      <c r="LGY149" s="22"/>
      <c r="LGZ149" s="22"/>
      <c r="LHA149" s="22"/>
      <c r="LHB149" s="22"/>
      <c r="LHC149" s="22"/>
      <c r="LHD149" s="22"/>
      <c r="LHE149" s="22"/>
      <c r="LHF149" s="22"/>
      <c r="LHG149" s="22"/>
      <c r="LHH149" s="22"/>
      <c r="LHI149" s="22"/>
      <c r="LHJ149" s="22"/>
      <c r="LHK149" s="22"/>
      <c r="LHL149" s="22"/>
      <c r="LHM149" s="22"/>
      <c r="LHN149" s="22"/>
      <c r="LHO149" s="22"/>
      <c r="LHP149" s="22"/>
      <c r="LHQ149" s="22"/>
      <c r="LHR149" s="22"/>
      <c r="LHS149" s="22"/>
      <c r="LHT149" s="22"/>
      <c r="LHU149" s="22"/>
      <c r="LHV149" s="22"/>
      <c r="LHW149" s="22"/>
      <c r="LHX149" s="22"/>
      <c r="LHY149" s="22"/>
      <c r="LHZ149" s="22"/>
      <c r="LIA149" s="22"/>
      <c r="LIB149" s="22"/>
      <c r="LIC149" s="22"/>
      <c r="LID149" s="22"/>
      <c r="LIE149" s="22"/>
      <c r="LIF149" s="22"/>
      <c r="LIG149" s="22"/>
      <c r="LIH149" s="22"/>
      <c r="LII149" s="22"/>
      <c r="LIJ149" s="22"/>
      <c r="LIK149" s="22"/>
      <c r="LIL149" s="22"/>
      <c r="LIM149" s="22"/>
      <c r="LIN149" s="22"/>
      <c r="LIO149" s="22"/>
      <c r="LIP149" s="22"/>
      <c r="LIQ149" s="22"/>
      <c r="LIR149" s="22"/>
      <c r="LIS149" s="22"/>
      <c r="LIT149" s="22"/>
      <c r="LIU149" s="22"/>
      <c r="LIV149" s="22"/>
      <c r="LIW149" s="22"/>
      <c r="LIX149" s="22"/>
      <c r="LIY149" s="22"/>
      <c r="LIZ149" s="22"/>
      <c r="LJA149" s="22"/>
      <c r="LJB149" s="22"/>
      <c r="LJC149" s="22"/>
      <c r="LJD149" s="22"/>
      <c r="LJE149" s="22"/>
      <c r="LJF149" s="22"/>
      <c r="LJG149" s="22"/>
      <c r="LJH149" s="22"/>
      <c r="LJI149" s="22"/>
      <c r="LJJ149" s="22"/>
      <c r="LJK149" s="22"/>
      <c r="LJL149" s="22"/>
      <c r="LJM149" s="22"/>
      <c r="LJN149" s="22"/>
      <c r="LJO149" s="22"/>
      <c r="LJP149" s="22"/>
      <c r="LJQ149" s="22"/>
      <c r="LJR149" s="22"/>
      <c r="LJS149" s="22"/>
      <c r="LJT149" s="22"/>
      <c r="LJU149" s="22"/>
      <c r="LJV149" s="22"/>
      <c r="LJW149" s="22"/>
      <c r="LJX149" s="22"/>
      <c r="LJY149" s="22"/>
      <c r="LJZ149" s="22"/>
      <c r="LKA149" s="22"/>
      <c r="LKB149" s="22"/>
      <c r="LKC149" s="22"/>
      <c r="LKD149" s="22"/>
      <c r="LKE149" s="22"/>
      <c r="LKF149" s="22"/>
      <c r="LKG149" s="22"/>
      <c r="LKH149" s="22"/>
      <c r="LKI149" s="22"/>
      <c r="LKJ149" s="22"/>
      <c r="LKK149" s="22"/>
      <c r="LKL149" s="22"/>
      <c r="LKM149" s="22"/>
      <c r="LKN149" s="22"/>
      <c r="LKO149" s="22"/>
      <c r="LKP149" s="22"/>
      <c r="LKQ149" s="22"/>
      <c r="LKR149" s="22"/>
      <c r="LKS149" s="22"/>
      <c r="LKT149" s="22"/>
      <c r="LKU149" s="22"/>
      <c r="LKV149" s="22"/>
      <c r="LKW149" s="22"/>
      <c r="LKX149" s="22"/>
      <c r="LKY149" s="22"/>
      <c r="LKZ149" s="22"/>
      <c r="LLA149" s="22"/>
      <c r="LLB149" s="22"/>
      <c r="LLC149" s="22"/>
      <c r="LLD149" s="22"/>
      <c r="LLE149" s="22"/>
      <c r="LLF149" s="22"/>
      <c r="LLG149" s="22"/>
      <c r="LLH149" s="22"/>
      <c r="LLI149" s="22"/>
      <c r="LLJ149" s="22"/>
      <c r="LLK149" s="22"/>
      <c r="LLL149" s="22"/>
      <c r="LLM149" s="22"/>
      <c r="LLN149" s="22"/>
      <c r="LLO149" s="22"/>
      <c r="LLP149" s="22"/>
      <c r="LLQ149" s="22"/>
      <c r="LLR149" s="22"/>
      <c r="LLS149" s="22"/>
      <c r="LLT149" s="22"/>
      <c r="LLU149" s="22"/>
      <c r="LLV149" s="22"/>
      <c r="LLW149" s="22"/>
      <c r="LLX149" s="22"/>
      <c r="LLY149" s="22"/>
      <c r="LLZ149" s="22"/>
      <c r="LMA149" s="22"/>
      <c r="LMB149" s="22"/>
      <c r="LMC149" s="22"/>
      <c r="LMD149" s="22"/>
      <c r="LME149" s="22"/>
      <c r="LMF149" s="22"/>
      <c r="LMG149" s="22"/>
      <c r="LMH149" s="22"/>
      <c r="LMI149" s="22"/>
      <c r="LMJ149" s="22"/>
      <c r="LMK149" s="22"/>
      <c r="LML149" s="22"/>
      <c r="LMM149" s="22"/>
      <c r="LMN149" s="22"/>
      <c r="LMO149" s="22"/>
      <c r="LMP149" s="22"/>
      <c r="LMQ149" s="22"/>
      <c r="LMR149" s="22"/>
      <c r="LMS149" s="22"/>
      <c r="LMT149" s="22"/>
      <c r="LMU149" s="22"/>
      <c r="LMV149" s="22"/>
      <c r="LMW149" s="22"/>
      <c r="LMX149" s="22"/>
      <c r="LMY149" s="22"/>
      <c r="LMZ149" s="22"/>
      <c r="LNA149" s="22"/>
      <c r="LNB149" s="22"/>
      <c r="LNC149" s="22"/>
      <c r="LND149" s="22"/>
      <c r="LNE149" s="22"/>
      <c r="LNF149" s="22"/>
      <c r="LNG149" s="22"/>
      <c r="LNH149" s="22"/>
      <c r="LNI149" s="22"/>
      <c r="LNJ149" s="22"/>
      <c r="LNK149" s="22"/>
      <c r="LNL149" s="22"/>
      <c r="LNM149" s="22"/>
      <c r="LNN149" s="22"/>
      <c r="LNO149" s="22"/>
      <c r="LNP149" s="22"/>
      <c r="LNQ149" s="22"/>
      <c r="LNR149" s="22"/>
      <c r="LNS149" s="22"/>
      <c r="LNT149" s="22"/>
      <c r="LNU149" s="22"/>
      <c r="LNV149" s="22"/>
      <c r="LNW149" s="22"/>
      <c r="LNX149" s="22"/>
      <c r="LNY149" s="22"/>
      <c r="LNZ149" s="22"/>
      <c r="LOA149" s="22"/>
      <c r="LOB149" s="22"/>
      <c r="LOC149" s="22"/>
      <c r="LOD149" s="22"/>
      <c r="LOE149" s="22"/>
      <c r="LOF149" s="22"/>
      <c r="LOG149" s="22"/>
      <c r="LOH149" s="22"/>
      <c r="LOI149" s="22"/>
      <c r="LOJ149" s="22"/>
      <c r="LOK149" s="22"/>
      <c r="LOL149" s="22"/>
      <c r="LOM149" s="22"/>
      <c r="LON149" s="22"/>
      <c r="LOO149" s="22"/>
      <c r="LOP149" s="22"/>
      <c r="LOQ149" s="22"/>
      <c r="LOR149" s="22"/>
      <c r="LOS149" s="22"/>
      <c r="LOT149" s="22"/>
      <c r="LOU149" s="22"/>
      <c r="LOV149" s="22"/>
      <c r="LOW149" s="22"/>
      <c r="LOX149" s="22"/>
      <c r="LOY149" s="22"/>
      <c r="LOZ149" s="22"/>
      <c r="LPA149" s="22"/>
      <c r="LPB149" s="22"/>
      <c r="LPC149" s="22"/>
      <c r="LPD149" s="22"/>
      <c r="LPE149" s="22"/>
      <c r="LPF149" s="22"/>
      <c r="LPG149" s="22"/>
      <c r="LPH149" s="22"/>
      <c r="LPI149" s="22"/>
      <c r="LPJ149" s="22"/>
      <c r="LPK149" s="22"/>
      <c r="LPL149" s="22"/>
      <c r="LPM149" s="22"/>
      <c r="LPN149" s="22"/>
      <c r="LPO149" s="22"/>
      <c r="LPP149" s="22"/>
      <c r="LPQ149" s="22"/>
      <c r="LPR149" s="22"/>
      <c r="LPS149" s="22"/>
      <c r="LPT149" s="22"/>
      <c r="LPU149" s="22"/>
      <c r="LPV149" s="22"/>
      <c r="LPW149" s="22"/>
      <c r="LPX149" s="22"/>
      <c r="LPY149" s="22"/>
      <c r="LPZ149" s="22"/>
      <c r="LQA149" s="22"/>
      <c r="LQB149" s="22"/>
      <c r="LQC149" s="22"/>
      <c r="LQD149" s="22"/>
      <c r="LQE149" s="22"/>
      <c r="LQF149" s="22"/>
      <c r="LQG149" s="22"/>
      <c r="LQH149" s="22"/>
      <c r="LQI149" s="22"/>
      <c r="LQJ149" s="22"/>
      <c r="LQK149" s="22"/>
      <c r="LQL149" s="22"/>
      <c r="LQM149" s="22"/>
      <c r="LQN149" s="22"/>
      <c r="LQO149" s="22"/>
      <c r="LQP149" s="22"/>
      <c r="LQQ149" s="22"/>
      <c r="LQR149" s="22"/>
      <c r="LQS149" s="22"/>
      <c r="LQT149" s="22"/>
      <c r="LQU149" s="22"/>
      <c r="LQV149" s="22"/>
      <c r="LQW149" s="22"/>
      <c r="LQX149" s="22"/>
      <c r="LQY149" s="22"/>
      <c r="LQZ149" s="22"/>
      <c r="LRA149" s="22"/>
      <c r="LRB149" s="22"/>
      <c r="LRC149" s="22"/>
      <c r="LRD149" s="22"/>
      <c r="LRE149" s="22"/>
      <c r="LRF149" s="22"/>
      <c r="LRG149" s="22"/>
      <c r="LRH149" s="22"/>
      <c r="LRI149" s="22"/>
      <c r="LRJ149" s="22"/>
      <c r="LRK149" s="22"/>
      <c r="LRL149" s="22"/>
      <c r="LRM149" s="22"/>
      <c r="LRN149" s="22"/>
      <c r="LRO149" s="22"/>
      <c r="LRP149" s="22"/>
      <c r="LRQ149" s="22"/>
      <c r="LRR149" s="22"/>
      <c r="LRS149" s="22"/>
      <c r="LRT149" s="22"/>
      <c r="LRU149" s="22"/>
      <c r="LRV149" s="22"/>
      <c r="LRW149" s="22"/>
      <c r="LRX149" s="22"/>
      <c r="LRY149" s="22"/>
      <c r="LRZ149" s="22"/>
      <c r="LSA149" s="22"/>
      <c r="LSB149" s="22"/>
      <c r="LSC149" s="22"/>
      <c r="LSD149" s="22"/>
      <c r="LSE149" s="22"/>
      <c r="LSF149" s="22"/>
      <c r="LSG149" s="22"/>
      <c r="LSH149" s="22"/>
      <c r="LSI149" s="22"/>
      <c r="LSJ149" s="22"/>
      <c r="LSK149" s="22"/>
      <c r="LSL149" s="22"/>
      <c r="LSM149" s="22"/>
      <c r="LSN149" s="22"/>
      <c r="LSO149" s="22"/>
      <c r="LSP149" s="22"/>
      <c r="LSQ149" s="22"/>
      <c r="LSR149" s="22"/>
      <c r="LSS149" s="22"/>
      <c r="LST149" s="22"/>
      <c r="LSU149" s="22"/>
      <c r="LSV149" s="22"/>
      <c r="LSW149" s="22"/>
      <c r="LSX149" s="22"/>
      <c r="LSY149" s="22"/>
      <c r="LSZ149" s="22"/>
      <c r="LTA149" s="22"/>
      <c r="LTB149" s="22"/>
      <c r="LTC149" s="22"/>
      <c r="LTD149" s="22"/>
      <c r="LTE149" s="22"/>
      <c r="LTF149" s="22"/>
      <c r="LTG149" s="22"/>
      <c r="LTH149" s="22"/>
      <c r="LTI149" s="22"/>
      <c r="LTJ149" s="22"/>
      <c r="LTK149" s="22"/>
      <c r="LTL149" s="22"/>
      <c r="LTM149" s="22"/>
      <c r="LTN149" s="22"/>
      <c r="LTO149" s="22"/>
      <c r="LTP149" s="22"/>
      <c r="LTQ149" s="22"/>
      <c r="LTR149" s="22"/>
      <c r="LTS149" s="22"/>
      <c r="LTT149" s="22"/>
      <c r="LTU149" s="22"/>
      <c r="LTV149" s="22"/>
      <c r="LTW149" s="22"/>
      <c r="LTX149" s="22"/>
      <c r="LTY149" s="22"/>
      <c r="LTZ149" s="22"/>
      <c r="LUA149" s="22"/>
      <c r="LUB149" s="22"/>
      <c r="LUC149" s="22"/>
      <c r="LUD149" s="22"/>
      <c r="LUE149" s="22"/>
      <c r="LUF149" s="22"/>
      <c r="LUG149" s="22"/>
      <c r="LUH149" s="22"/>
      <c r="LUI149" s="22"/>
      <c r="LUJ149" s="22"/>
      <c r="LUK149" s="22"/>
      <c r="LUL149" s="22"/>
      <c r="LUM149" s="22"/>
      <c r="LUN149" s="22"/>
      <c r="LUO149" s="22"/>
      <c r="LUP149" s="22"/>
      <c r="LUQ149" s="22"/>
      <c r="LUR149" s="22"/>
      <c r="LUS149" s="22"/>
      <c r="LUT149" s="22"/>
      <c r="LUU149" s="22"/>
      <c r="LUV149" s="22"/>
      <c r="LUW149" s="22"/>
      <c r="LUX149" s="22"/>
      <c r="LUY149" s="22"/>
      <c r="LUZ149" s="22"/>
      <c r="LVA149" s="22"/>
      <c r="LVB149" s="22"/>
      <c r="LVC149" s="22"/>
      <c r="LVD149" s="22"/>
      <c r="LVE149" s="22"/>
      <c r="LVF149" s="22"/>
      <c r="LVG149" s="22"/>
      <c r="LVH149" s="22"/>
      <c r="LVI149" s="22"/>
      <c r="LVJ149" s="22"/>
      <c r="LVK149" s="22"/>
      <c r="LVL149" s="22"/>
      <c r="LVM149" s="22"/>
      <c r="LVN149" s="22"/>
      <c r="LVO149" s="22"/>
      <c r="LVP149" s="22"/>
      <c r="LVQ149" s="22"/>
      <c r="LVR149" s="22"/>
      <c r="LVS149" s="22"/>
      <c r="LVT149" s="22"/>
      <c r="LVU149" s="22"/>
      <c r="LVV149" s="22"/>
      <c r="LVW149" s="22"/>
      <c r="LVX149" s="22"/>
      <c r="LVY149" s="22"/>
      <c r="LVZ149" s="22"/>
      <c r="LWA149" s="22"/>
      <c r="LWB149" s="22"/>
      <c r="LWC149" s="22"/>
      <c r="LWD149" s="22"/>
      <c r="LWE149" s="22"/>
      <c r="LWF149" s="22"/>
      <c r="LWG149" s="22"/>
      <c r="LWH149" s="22"/>
      <c r="LWI149" s="22"/>
      <c r="LWJ149" s="22"/>
      <c r="LWK149" s="22"/>
      <c r="LWL149" s="22"/>
      <c r="LWM149" s="22"/>
      <c r="LWN149" s="22"/>
      <c r="LWO149" s="22"/>
      <c r="LWP149" s="22"/>
      <c r="LWQ149" s="22"/>
      <c r="LWR149" s="22"/>
      <c r="LWS149" s="22"/>
      <c r="LWT149" s="22"/>
      <c r="LWU149" s="22"/>
      <c r="LWV149" s="22"/>
      <c r="LWW149" s="22"/>
      <c r="LWX149" s="22"/>
      <c r="LWY149" s="22"/>
      <c r="LWZ149" s="22"/>
      <c r="LXA149" s="22"/>
      <c r="LXB149" s="22"/>
      <c r="LXC149" s="22"/>
      <c r="LXD149" s="22"/>
      <c r="LXE149" s="22"/>
      <c r="LXF149" s="22"/>
      <c r="LXG149" s="22"/>
      <c r="LXH149" s="22"/>
      <c r="LXI149" s="22"/>
      <c r="LXJ149" s="22"/>
      <c r="LXK149" s="22"/>
      <c r="LXL149" s="22"/>
      <c r="LXM149" s="22"/>
      <c r="LXN149" s="22"/>
      <c r="LXO149" s="22"/>
      <c r="LXP149" s="22"/>
      <c r="LXQ149" s="22"/>
      <c r="LXR149" s="22"/>
      <c r="LXS149" s="22"/>
      <c r="LXT149" s="22"/>
      <c r="LXU149" s="22"/>
      <c r="LXV149" s="22"/>
      <c r="LXW149" s="22"/>
      <c r="LXX149" s="22"/>
      <c r="LXY149" s="22"/>
      <c r="LXZ149" s="22"/>
      <c r="LYA149" s="22"/>
      <c r="LYB149" s="22"/>
      <c r="LYC149" s="22"/>
      <c r="LYD149" s="22"/>
      <c r="LYE149" s="22"/>
      <c r="LYF149" s="22"/>
      <c r="LYG149" s="22"/>
      <c r="LYH149" s="22"/>
      <c r="LYI149" s="22"/>
      <c r="LYJ149" s="22"/>
      <c r="LYK149" s="22"/>
      <c r="LYL149" s="22"/>
      <c r="LYM149" s="22"/>
      <c r="LYN149" s="22"/>
      <c r="LYO149" s="22"/>
      <c r="LYP149" s="22"/>
      <c r="LYQ149" s="22"/>
      <c r="LYR149" s="22"/>
      <c r="LYS149" s="22"/>
      <c r="LYT149" s="22"/>
      <c r="LYU149" s="22"/>
      <c r="LYV149" s="22"/>
      <c r="LYW149" s="22"/>
      <c r="LYX149" s="22"/>
      <c r="LYY149" s="22"/>
      <c r="LYZ149" s="22"/>
      <c r="LZA149" s="22"/>
      <c r="LZB149" s="22"/>
      <c r="LZC149" s="22"/>
      <c r="LZD149" s="22"/>
      <c r="LZE149" s="22"/>
      <c r="LZF149" s="22"/>
      <c r="LZG149" s="22"/>
      <c r="LZH149" s="22"/>
      <c r="LZI149" s="22"/>
      <c r="LZJ149" s="22"/>
      <c r="LZK149" s="22"/>
      <c r="LZL149" s="22"/>
      <c r="LZM149" s="22"/>
      <c r="LZN149" s="22"/>
      <c r="LZO149" s="22"/>
      <c r="LZP149" s="22"/>
      <c r="LZQ149" s="22"/>
      <c r="LZR149" s="22"/>
      <c r="LZS149" s="22"/>
      <c r="LZT149" s="22"/>
      <c r="LZU149" s="22"/>
      <c r="LZV149" s="22"/>
      <c r="LZW149" s="22"/>
      <c r="LZX149" s="22"/>
      <c r="LZY149" s="22"/>
      <c r="LZZ149" s="22"/>
      <c r="MAA149" s="22"/>
      <c r="MAB149" s="22"/>
      <c r="MAC149" s="22"/>
      <c r="MAD149" s="22"/>
      <c r="MAE149" s="22"/>
      <c r="MAF149" s="22"/>
      <c r="MAG149" s="22"/>
      <c r="MAH149" s="22"/>
      <c r="MAI149" s="22"/>
      <c r="MAJ149" s="22"/>
      <c r="MAK149" s="22"/>
      <c r="MAL149" s="22"/>
      <c r="MAM149" s="22"/>
      <c r="MAN149" s="22"/>
      <c r="MAO149" s="22"/>
      <c r="MAP149" s="22"/>
      <c r="MAQ149" s="22"/>
      <c r="MAR149" s="22"/>
      <c r="MAS149" s="22"/>
      <c r="MAT149" s="22"/>
      <c r="MAU149" s="22"/>
      <c r="MAV149" s="22"/>
      <c r="MAW149" s="22"/>
      <c r="MAX149" s="22"/>
      <c r="MAY149" s="22"/>
      <c r="MAZ149" s="22"/>
      <c r="MBA149" s="22"/>
      <c r="MBB149" s="22"/>
      <c r="MBC149" s="22"/>
      <c r="MBD149" s="22"/>
      <c r="MBE149" s="22"/>
      <c r="MBF149" s="22"/>
      <c r="MBG149" s="22"/>
      <c r="MBH149" s="22"/>
      <c r="MBI149" s="22"/>
      <c r="MBJ149" s="22"/>
      <c r="MBK149" s="22"/>
      <c r="MBL149" s="22"/>
      <c r="MBM149" s="22"/>
      <c r="MBN149" s="22"/>
      <c r="MBO149" s="22"/>
      <c r="MBP149" s="22"/>
      <c r="MBQ149" s="22"/>
      <c r="MBR149" s="22"/>
      <c r="MBS149" s="22"/>
      <c r="MBT149" s="22"/>
      <c r="MBU149" s="22"/>
      <c r="MBV149" s="22"/>
      <c r="MBW149" s="22"/>
      <c r="MBX149" s="22"/>
      <c r="MBY149" s="22"/>
      <c r="MBZ149" s="22"/>
      <c r="MCA149" s="22"/>
      <c r="MCB149" s="22"/>
      <c r="MCC149" s="22"/>
      <c r="MCD149" s="22"/>
      <c r="MCE149" s="22"/>
      <c r="MCF149" s="22"/>
      <c r="MCG149" s="22"/>
      <c r="MCH149" s="22"/>
      <c r="MCI149" s="22"/>
      <c r="MCJ149" s="22"/>
      <c r="MCK149" s="22"/>
      <c r="MCL149" s="22"/>
      <c r="MCM149" s="22"/>
      <c r="MCN149" s="22"/>
      <c r="MCO149" s="22"/>
      <c r="MCP149" s="22"/>
      <c r="MCQ149" s="22"/>
      <c r="MCR149" s="22"/>
      <c r="MCS149" s="22"/>
      <c r="MCT149" s="22"/>
      <c r="MCU149" s="22"/>
      <c r="MCV149" s="22"/>
      <c r="MCW149" s="22"/>
      <c r="MCX149" s="22"/>
      <c r="MCY149" s="22"/>
      <c r="MCZ149" s="22"/>
      <c r="MDA149" s="22"/>
      <c r="MDB149" s="22"/>
      <c r="MDC149" s="22"/>
      <c r="MDD149" s="22"/>
      <c r="MDE149" s="22"/>
      <c r="MDF149" s="22"/>
      <c r="MDG149" s="22"/>
      <c r="MDH149" s="22"/>
      <c r="MDI149" s="22"/>
      <c r="MDJ149" s="22"/>
      <c r="MDK149" s="22"/>
      <c r="MDL149" s="22"/>
      <c r="MDM149" s="22"/>
      <c r="MDN149" s="22"/>
      <c r="MDO149" s="22"/>
      <c r="MDP149" s="22"/>
      <c r="MDQ149" s="22"/>
      <c r="MDR149" s="22"/>
      <c r="MDS149" s="22"/>
      <c r="MDT149" s="22"/>
      <c r="MDU149" s="22"/>
      <c r="MDV149" s="22"/>
      <c r="MDW149" s="22"/>
      <c r="MDX149" s="22"/>
      <c r="MDY149" s="22"/>
      <c r="MDZ149" s="22"/>
      <c r="MEA149" s="22"/>
      <c r="MEB149" s="22"/>
      <c r="MEC149" s="22"/>
      <c r="MED149" s="22"/>
      <c r="MEE149" s="22"/>
      <c r="MEF149" s="22"/>
      <c r="MEG149" s="22"/>
      <c r="MEH149" s="22"/>
      <c r="MEI149" s="22"/>
      <c r="MEJ149" s="22"/>
      <c r="MEK149" s="22"/>
      <c r="MEL149" s="22"/>
      <c r="MEM149" s="22"/>
      <c r="MEN149" s="22"/>
      <c r="MEO149" s="22"/>
      <c r="MEP149" s="22"/>
      <c r="MEQ149" s="22"/>
      <c r="MER149" s="22"/>
      <c r="MES149" s="22"/>
      <c r="MET149" s="22"/>
      <c r="MEU149" s="22"/>
      <c r="MEV149" s="22"/>
      <c r="MEW149" s="22"/>
      <c r="MEX149" s="22"/>
      <c r="MEY149" s="22"/>
      <c r="MEZ149" s="22"/>
      <c r="MFA149" s="22"/>
      <c r="MFB149" s="22"/>
      <c r="MFC149" s="22"/>
      <c r="MFD149" s="22"/>
      <c r="MFE149" s="22"/>
      <c r="MFF149" s="22"/>
      <c r="MFG149" s="22"/>
      <c r="MFH149" s="22"/>
      <c r="MFI149" s="22"/>
      <c r="MFJ149" s="22"/>
      <c r="MFK149" s="22"/>
      <c r="MFL149" s="22"/>
      <c r="MFM149" s="22"/>
      <c r="MFN149" s="22"/>
      <c r="MFO149" s="22"/>
      <c r="MFP149" s="22"/>
      <c r="MFQ149" s="22"/>
      <c r="MFR149" s="22"/>
      <c r="MFS149" s="22"/>
      <c r="MFT149" s="22"/>
      <c r="MFU149" s="22"/>
      <c r="MFV149" s="22"/>
      <c r="MFW149" s="22"/>
      <c r="MFX149" s="22"/>
      <c r="MFY149" s="22"/>
      <c r="MFZ149" s="22"/>
      <c r="MGA149" s="22"/>
      <c r="MGB149" s="22"/>
      <c r="MGC149" s="22"/>
      <c r="MGD149" s="22"/>
      <c r="MGE149" s="22"/>
      <c r="MGF149" s="22"/>
      <c r="MGG149" s="22"/>
      <c r="MGH149" s="22"/>
      <c r="MGI149" s="22"/>
      <c r="MGJ149" s="22"/>
      <c r="MGK149" s="22"/>
      <c r="MGL149" s="22"/>
      <c r="MGM149" s="22"/>
      <c r="MGN149" s="22"/>
      <c r="MGO149" s="22"/>
      <c r="MGP149" s="22"/>
      <c r="MGQ149" s="22"/>
      <c r="MGR149" s="22"/>
      <c r="MGS149" s="22"/>
      <c r="MGT149" s="22"/>
      <c r="MGU149" s="22"/>
      <c r="MGV149" s="22"/>
      <c r="MGW149" s="22"/>
      <c r="MGX149" s="22"/>
      <c r="MGY149" s="22"/>
      <c r="MGZ149" s="22"/>
      <c r="MHA149" s="22"/>
      <c r="MHB149" s="22"/>
      <c r="MHC149" s="22"/>
      <c r="MHD149" s="22"/>
      <c r="MHE149" s="22"/>
      <c r="MHF149" s="22"/>
      <c r="MHG149" s="22"/>
      <c r="MHH149" s="22"/>
      <c r="MHI149" s="22"/>
      <c r="MHJ149" s="22"/>
      <c r="MHK149" s="22"/>
      <c r="MHL149" s="22"/>
      <c r="MHM149" s="22"/>
      <c r="MHN149" s="22"/>
      <c r="MHO149" s="22"/>
      <c r="MHP149" s="22"/>
      <c r="MHQ149" s="22"/>
      <c r="MHR149" s="22"/>
      <c r="MHS149" s="22"/>
      <c r="MHT149" s="22"/>
      <c r="MHU149" s="22"/>
      <c r="MHV149" s="22"/>
      <c r="MHW149" s="22"/>
      <c r="MHX149" s="22"/>
      <c r="MHY149" s="22"/>
      <c r="MHZ149" s="22"/>
      <c r="MIA149" s="22"/>
      <c r="MIB149" s="22"/>
      <c r="MIC149" s="22"/>
      <c r="MID149" s="22"/>
      <c r="MIE149" s="22"/>
      <c r="MIF149" s="22"/>
      <c r="MIG149" s="22"/>
      <c r="MIH149" s="22"/>
      <c r="MII149" s="22"/>
      <c r="MIJ149" s="22"/>
      <c r="MIK149" s="22"/>
      <c r="MIL149" s="22"/>
      <c r="MIM149" s="22"/>
      <c r="MIN149" s="22"/>
      <c r="MIO149" s="22"/>
      <c r="MIP149" s="22"/>
      <c r="MIQ149" s="22"/>
      <c r="MIR149" s="22"/>
      <c r="MIS149" s="22"/>
      <c r="MIT149" s="22"/>
      <c r="MIU149" s="22"/>
      <c r="MIV149" s="22"/>
      <c r="MIW149" s="22"/>
      <c r="MIX149" s="22"/>
      <c r="MIY149" s="22"/>
      <c r="MIZ149" s="22"/>
      <c r="MJA149" s="22"/>
      <c r="MJB149" s="22"/>
      <c r="MJC149" s="22"/>
      <c r="MJD149" s="22"/>
      <c r="MJE149" s="22"/>
      <c r="MJF149" s="22"/>
      <c r="MJG149" s="22"/>
      <c r="MJH149" s="22"/>
      <c r="MJI149" s="22"/>
      <c r="MJJ149" s="22"/>
      <c r="MJK149" s="22"/>
      <c r="MJL149" s="22"/>
      <c r="MJM149" s="22"/>
      <c r="MJN149" s="22"/>
      <c r="MJO149" s="22"/>
      <c r="MJP149" s="22"/>
      <c r="MJQ149" s="22"/>
      <c r="MJR149" s="22"/>
      <c r="MJS149" s="22"/>
      <c r="MJT149" s="22"/>
      <c r="MJU149" s="22"/>
      <c r="MJV149" s="22"/>
      <c r="MJW149" s="22"/>
      <c r="MJX149" s="22"/>
      <c r="MJY149" s="22"/>
      <c r="MJZ149" s="22"/>
      <c r="MKA149" s="22"/>
      <c r="MKB149" s="22"/>
      <c r="MKC149" s="22"/>
      <c r="MKD149" s="22"/>
      <c r="MKE149" s="22"/>
      <c r="MKF149" s="22"/>
      <c r="MKG149" s="22"/>
      <c r="MKH149" s="22"/>
      <c r="MKI149" s="22"/>
      <c r="MKJ149" s="22"/>
      <c r="MKK149" s="22"/>
      <c r="MKL149" s="22"/>
      <c r="MKM149" s="22"/>
      <c r="MKN149" s="22"/>
      <c r="MKO149" s="22"/>
      <c r="MKP149" s="22"/>
      <c r="MKQ149" s="22"/>
      <c r="MKR149" s="22"/>
      <c r="MKS149" s="22"/>
      <c r="MKT149" s="22"/>
      <c r="MKU149" s="22"/>
      <c r="MKV149" s="22"/>
      <c r="MKW149" s="22"/>
      <c r="MKX149" s="22"/>
      <c r="MKY149" s="22"/>
      <c r="MKZ149" s="22"/>
      <c r="MLA149" s="22"/>
      <c r="MLB149" s="22"/>
      <c r="MLC149" s="22"/>
      <c r="MLD149" s="22"/>
      <c r="MLE149" s="22"/>
      <c r="MLF149" s="22"/>
      <c r="MLG149" s="22"/>
      <c r="MLH149" s="22"/>
      <c r="MLI149" s="22"/>
      <c r="MLJ149" s="22"/>
      <c r="MLK149" s="22"/>
      <c r="MLL149" s="22"/>
      <c r="MLM149" s="22"/>
      <c r="MLN149" s="22"/>
      <c r="MLO149" s="22"/>
      <c r="MLP149" s="22"/>
      <c r="MLQ149" s="22"/>
      <c r="MLR149" s="22"/>
      <c r="MLS149" s="22"/>
      <c r="MLT149" s="22"/>
      <c r="MLU149" s="22"/>
      <c r="MLV149" s="22"/>
      <c r="MLW149" s="22"/>
      <c r="MLX149" s="22"/>
      <c r="MLY149" s="22"/>
      <c r="MLZ149" s="22"/>
      <c r="MMA149" s="22"/>
      <c r="MMB149" s="22"/>
      <c r="MMC149" s="22"/>
      <c r="MMD149" s="22"/>
      <c r="MME149" s="22"/>
      <c r="MMF149" s="22"/>
      <c r="MMG149" s="22"/>
      <c r="MMH149" s="22"/>
      <c r="MMI149" s="22"/>
      <c r="MMJ149" s="22"/>
      <c r="MMK149" s="22"/>
      <c r="MML149" s="22"/>
      <c r="MMM149" s="22"/>
      <c r="MMN149" s="22"/>
      <c r="MMO149" s="22"/>
      <c r="MMP149" s="22"/>
      <c r="MMQ149" s="22"/>
      <c r="MMR149" s="22"/>
      <c r="MMS149" s="22"/>
      <c r="MMT149" s="22"/>
      <c r="MMU149" s="22"/>
      <c r="MMV149" s="22"/>
      <c r="MMW149" s="22"/>
      <c r="MMX149" s="22"/>
      <c r="MMY149" s="22"/>
      <c r="MMZ149" s="22"/>
      <c r="MNA149" s="22"/>
      <c r="MNB149" s="22"/>
      <c r="MNC149" s="22"/>
      <c r="MND149" s="22"/>
      <c r="MNE149" s="22"/>
      <c r="MNF149" s="22"/>
      <c r="MNG149" s="22"/>
      <c r="MNH149" s="22"/>
      <c r="MNI149" s="22"/>
      <c r="MNJ149" s="22"/>
      <c r="MNK149" s="22"/>
      <c r="MNL149" s="22"/>
      <c r="MNM149" s="22"/>
      <c r="MNN149" s="22"/>
      <c r="MNO149" s="22"/>
      <c r="MNP149" s="22"/>
      <c r="MNQ149" s="22"/>
      <c r="MNR149" s="22"/>
      <c r="MNS149" s="22"/>
      <c r="MNT149" s="22"/>
      <c r="MNU149" s="22"/>
      <c r="MNV149" s="22"/>
      <c r="MNW149" s="22"/>
      <c r="MNX149" s="22"/>
      <c r="MNY149" s="22"/>
      <c r="MNZ149" s="22"/>
      <c r="MOA149" s="22"/>
      <c r="MOB149" s="22"/>
      <c r="MOC149" s="22"/>
      <c r="MOD149" s="22"/>
      <c r="MOE149" s="22"/>
      <c r="MOF149" s="22"/>
      <c r="MOG149" s="22"/>
      <c r="MOH149" s="22"/>
      <c r="MOI149" s="22"/>
      <c r="MOJ149" s="22"/>
      <c r="MOK149" s="22"/>
      <c r="MOL149" s="22"/>
      <c r="MOM149" s="22"/>
      <c r="MON149" s="22"/>
      <c r="MOO149" s="22"/>
      <c r="MOP149" s="22"/>
      <c r="MOQ149" s="22"/>
      <c r="MOR149" s="22"/>
      <c r="MOS149" s="22"/>
      <c r="MOT149" s="22"/>
      <c r="MOU149" s="22"/>
      <c r="MOV149" s="22"/>
      <c r="MOW149" s="22"/>
      <c r="MOX149" s="22"/>
      <c r="MOY149" s="22"/>
      <c r="MOZ149" s="22"/>
      <c r="MPA149" s="22"/>
      <c r="MPB149" s="22"/>
      <c r="MPC149" s="22"/>
      <c r="MPD149" s="22"/>
      <c r="MPE149" s="22"/>
      <c r="MPF149" s="22"/>
      <c r="MPG149" s="22"/>
      <c r="MPH149" s="22"/>
      <c r="MPI149" s="22"/>
      <c r="MPJ149" s="22"/>
      <c r="MPK149" s="22"/>
      <c r="MPL149" s="22"/>
      <c r="MPM149" s="22"/>
      <c r="MPN149" s="22"/>
      <c r="MPO149" s="22"/>
      <c r="MPP149" s="22"/>
      <c r="MPQ149" s="22"/>
      <c r="MPR149" s="22"/>
      <c r="MPS149" s="22"/>
      <c r="MPT149" s="22"/>
      <c r="MPU149" s="22"/>
      <c r="MPV149" s="22"/>
      <c r="MPW149" s="22"/>
      <c r="MPX149" s="22"/>
      <c r="MPY149" s="22"/>
      <c r="MPZ149" s="22"/>
      <c r="MQA149" s="22"/>
      <c r="MQB149" s="22"/>
      <c r="MQC149" s="22"/>
      <c r="MQD149" s="22"/>
      <c r="MQE149" s="22"/>
      <c r="MQF149" s="22"/>
      <c r="MQG149" s="22"/>
      <c r="MQH149" s="22"/>
      <c r="MQI149" s="22"/>
      <c r="MQJ149" s="22"/>
      <c r="MQK149" s="22"/>
      <c r="MQL149" s="22"/>
      <c r="MQM149" s="22"/>
      <c r="MQN149" s="22"/>
      <c r="MQO149" s="22"/>
      <c r="MQP149" s="22"/>
      <c r="MQQ149" s="22"/>
      <c r="MQR149" s="22"/>
      <c r="MQS149" s="22"/>
      <c r="MQT149" s="22"/>
      <c r="MQU149" s="22"/>
      <c r="MQV149" s="22"/>
      <c r="MQW149" s="22"/>
      <c r="MQX149" s="22"/>
      <c r="MQY149" s="22"/>
      <c r="MQZ149" s="22"/>
      <c r="MRA149" s="22"/>
      <c r="MRB149" s="22"/>
      <c r="MRC149" s="22"/>
      <c r="MRD149" s="22"/>
      <c r="MRE149" s="22"/>
      <c r="MRF149" s="22"/>
      <c r="MRG149" s="22"/>
      <c r="MRH149" s="22"/>
      <c r="MRI149" s="22"/>
      <c r="MRJ149" s="22"/>
      <c r="MRK149" s="22"/>
      <c r="MRL149" s="22"/>
      <c r="MRM149" s="22"/>
      <c r="MRN149" s="22"/>
      <c r="MRO149" s="22"/>
      <c r="MRP149" s="22"/>
      <c r="MRQ149" s="22"/>
      <c r="MRR149" s="22"/>
      <c r="MRS149" s="22"/>
      <c r="MRT149" s="22"/>
      <c r="MRU149" s="22"/>
      <c r="MRV149" s="22"/>
      <c r="MRW149" s="22"/>
      <c r="MRX149" s="22"/>
      <c r="MRY149" s="22"/>
      <c r="MRZ149" s="22"/>
      <c r="MSA149" s="22"/>
      <c r="MSB149" s="22"/>
      <c r="MSC149" s="22"/>
      <c r="MSD149" s="22"/>
      <c r="MSE149" s="22"/>
      <c r="MSF149" s="22"/>
      <c r="MSG149" s="22"/>
      <c r="MSH149" s="22"/>
      <c r="MSI149" s="22"/>
      <c r="MSJ149" s="22"/>
      <c r="MSK149" s="22"/>
      <c r="MSL149" s="22"/>
      <c r="MSM149" s="22"/>
      <c r="MSN149" s="22"/>
      <c r="MSO149" s="22"/>
      <c r="MSP149" s="22"/>
      <c r="MSQ149" s="22"/>
      <c r="MSR149" s="22"/>
      <c r="MSS149" s="22"/>
      <c r="MST149" s="22"/>
      <c r="MSU149" s="22"/>
      <c r="MSV149" s="22"/>
      <c r="MSW149" s="22"/>
      <c r="MSX149" s="22"/>
      <c r="MSY149" s="22"/>
      <c r="MSZ149" s="22"/>
      <c r="MTA149" s="22"/>
      <c r="MTB149" s="22"/>
      <c r="MTC149" s="22"/>
      <c r="MTD149" s="22"/>
      <c r="MTE149" s="22"/>
      <c r="MTF149" s="22"/>
      <c r="MTG149" s="22"/>
      <c r="MTH149" s="22"/>
      <c r="MTI149" s="22"/>
      <c r="MTJ149" s="22"/>
      <c r="MTK149" s="22"/>
      <c r="MTL149" s="22"/>
      <c r="MTM149" s="22"/>
      <c r="MTN149" s="22"/>
      <c r="MTO149" s="22"/>
      <c r="MTP149" s="22"/>
      <c r="MTQ149" s="22"/>
      <c r="MTR149" s="22"/>
      <c r="MTS149" s="22"/>
      <c r="MTT149" s="22"/>
      <c r="MTU149" s="22"/>
      <c r="MTV149" s="22"/>
      <c r="MTW149" s="22"/>
      <c r="MTX149" s="22"/>
      <c r="MTY149" s="22"/>
      <c r="MTZ149" s="22"/>
      <c r="MUA149" s="22"/>
      <c r="MUB149" s="22"/>
      <c r="MUC149" s="22"/>
      <c r="MUD149" s="22"/>
      <c r="MUE149" s="22"/>
      <c r="MUF149" s="22"/>
      <c r="MUG149" s="22"/>
      <c r="MUH149" s="22"/>
      <c r="MUI149" s="22"/>
      <c r="MUJ149" s="22"/>
      <c r="MUK149" s="22"/>
      <c r="MUL149" s="22"/>
      <c r="MUM149" s="22"/>
      <c r="MUN149" s="22"/>
      <c r="MUO149" s="22"/>
      <c r="MUP149" s="22"/>
      <c r="MUQ149" s="22"/>
      <c r="MUR149" s="22"/>
      <c r="MUS149" s="22"/>
      <c r="MUT149" s="22"/>
      <c r="MUU149" s="22"/>
      <c r="MUV149" s="22"/>
      <c r="MUW149" s="22"/>
      <c r="MUX149" s="22"/>
      <c r="MUY149" s="22"/>
      <c r="MUZ149" s="22"/>
      <c r="MVA149" s="22"/>
      <c r="MVB149" s="22"/>
      <c r="MVC149" s="22"/>
      <c r="MVD149" s="22"/>
      <c r="MVE149" s="22"/>
      <c r="MVF149" s="22"/>
      <c r="MVG149" s="22"/>
      <c r="MVH149" s="22"/>
      <c r="MVI149" s="22"/>
      <c r="MVJ149" s="22"/>
      <c r="MVK149" s="22"/>
      <c r="MVL149" s="22"/>
      <c r="MVM149" s="22"/>
      <c r="MVN149" s="22"/>
      <c r="MVO149" s="22"/>
      <c r="MVP149" s="22"/>
      <c r="MVQ149" s="22"/>
      <c r="MVR149" s="22"/>
      <c r="MVS149" s="22"/>
      <c r="MVT149" s="22"/>
      <c r="MVU149" s="22"/>
      <c r="MVV149" s="22"/>
      <c r="MVW149" s="22"/>
      <c r="MVX149" s="22"/>
      <c r="MVY149" s="22"/>
      <c r="MVZ149" s="22"/>
      <c r="MWA149" s="22"/>
      <c r="MWB149" s="22"/>
      <c r="MWC149" s="22"/>
      <c r="MWD149" s="22"/>
      <c r="MWE149" s="22"/>
      <c r="MWF149" s="22"/>
      <c r="MWG149" s="22"/>
      <c r="MWH149" s="22"/>
      <c r="MWI149" s="22"/>
      <c r="MWJ149" s="22"/>
      <c r="MWK149" s="22"/>
      <c r="MWL149" s="22"/>
      <c r="MWM149" s="22"/>
      <c r="MWN149" s="22"/>
      <c r="MWO149" s="22"/>
      <c r="MWP149" s="22"/>
      <c r="MWQ149" s="22"/>
      <c r="MWR149" s="22"/>
      <c r="MWS149" s="22"/>
      <c r="MWT149" s="22"/>
      <c r="MWU149" s="22"/>
      <c r="MWV149" s="22"/>
      <c r="MWW149" s="22"/>
      <c r="MWX149" s="22"/>
      <c r="MWY149" s="22"/>
      <c r="MWZ149" s="22"/>
      <c r="MXA149" s="22"/>
      <c r="MXB149" s="22"/>
      <c r="MXC149" s="22"/>
      <c r="MXD149" s="22"/>
      <c r="MXE149" s="22"/>
      <c r="MXF149" s="22"/>
      <c r="MXG149" s="22"/>
      <c r="MXH149" s="22"/>
      <c r="MXI149" s="22"/>
      <c r="MXJ149" s="22"/>
      <c r="MXK149" s="22"/>
      <c r="MXL149" s="22"/>
      <c r="MXM149" s="22"/>
      <c r="MXN149" s="22"/>
      <c r="MXO149" s="22"/>
      <c r="MXP149" s="22"/>
      <c r="MXQ149" s="22"/>
      <c r="MXR149" s="22"/>
      <c r="MXS149" s="22"/>
      <c r="MXT149" s="22"/>
      <c r="MXU149" s="22"/>
      <c r="MXV149" s="22"/>
      <c r="MXW149" s="22"/>
      <c r="MXX149" s="22"/>
      <c r="MXY149" s="22"/>
      <c r="MXZ149" s="22"/>
      <c r="MYA149" s="22"/>
      <c r="MYB149" s="22"/>
      <c r="MYC149" s="22"/>
      <c r="MYD149" s="22"/>
      <c r="MYE149" s="22"/>
      <c r="MYF149" s="22"/>
      <c r="MYG149" s="22"/>
      <c r="MYH149" s="22"/>
      <c r="MYI149" s="22"/>
      <c r="MYJ149" s="22"/>
      <c r="MYK149" s="22"/>
      <c r="MYL149" s="22"/>
      <c r="MYM149" s="22"/>
      <c r="MYN149" s="22"/>
      <c r="MYO149" s="22"/>
      <c r="MYP149" s="22"/>
      <c r="MYQ149" s="22"/>
      <c r="MYR149" s="22"/>
      <c r="MYS149" s="22"/>
      <c r="MYT149" s="22"/>
      <c r="MYU149" s="22"/>
      <c r="MYV149" s="22"/>
      <c r="MYW149" s="22"/>
      <c r="MYX149" s="22"/>
      <c r="MYY149" s="22"/>
      <c r="MYZ149" s="22"/>
      <c r="MZA149" s="22"/>
      <c r="MZB149" s="22"/>
      <c r="MZC149" s="22"/>
      <c r="MZD149" s="22"/>
      <c r="MZE149" s="22"/>
      <c r="MZF149" s="22"/>
      <c r="MZG149" s="22"/>
      <c r="MZH149" s="22"/>
      <c r="MZI149" s="22"/>
      <c r="MZJ149" s="22"/>
      <c r="MZK149" s="22"/>
      <c r="MZL149" s="22"/>
      <c r="MZM149" s="22"/>
      <c r="MZN149" s="22"/>
      <c r="MZO149" s="22"/>
      <c r="MZP149" s="22"/>
      <c r="MZQ149" s="22"/>
      <c r="MZR149" s="22"/>
      <c r="MZS149" s="22"/>
      <c r="MZT149" s="22"/>
      <c r="MZU149" s="22"/>
      <c r="MZV149" s="22"/>
      <c r="MZW149" s="22"/>
      <c r="MZX149" s="22"/>
      <c r="MZY149" s="22"/>
      <c r="MZZ149" s="22"/>
      <c r="NAA149" s="22"/>
      <c r="NAB149" s="22"/>
      <c r="NAC149" s="22"/>
      <c r="NAD149" s="22"/>
      <c r="NAE149" s="22"/>
      <c r="NAF149" s="22"/>
      <c r="NAG149" s="22"/>
      <c r="NAH149" s="22"/>
      <c r="NAI149" s="22"/>
      <c r="NAJ149" s="22"/>
      <c r="NAK149" s="22"/>
      <c r="NAL149" s="22"/>
      <c r="NAM149" s="22"/>
      <c r="NAN149" s="22"/>
      <c r="NAO149" s="22"/>
      <c r="NAP149" s="22"/>
      <c r="NAQ149" s="22"/>
      <c r="NAR149" s="22"/>
      <c r="NAS149" s="22"/>
      <c r="NAT149" s="22"/>
      <c r="NAU149" s="22"/>
      <c r="NAV149" s="22"/>
      <c r="NAW149" s="22"/>
      <c r="NAX149" s="22"/>
      <c r="NAY149" s="22"/>
      <c r="NAZ149" s="22"/>
      <c r="NBA149" s="22"/>
      <c r="NBB149" s="22"/>
      <c r="NBC149" s="22"/>
      <c r="NBD149" s="22"/>
      <c r="NBE149" s="22"/>
      <c r="NBF149" s="22"/>
      <c r="NBG149" s="22"/>
      <c r="NBH149" s="22"/>
      <c r="NBI149" s="22"/>
      <c r="NBJ149" s="22"/>
      <c r="NBK149" s="22"/>
      <c r="NBL149" s="22"/>
      <c r="NBM149" s="22"/>
      <c r="NBN149" s="22"/>
      <c r="NBO149" s="22"/>
      <c r="NBP149" s="22"/>
      <c r="NBQ149" s="22"/>
      <c r="NBR149" s="22"/>
      <c r="NBS149" s="22"/>
      <c r="NBT149" s="22"/>
      <c r="NBU149" s="22"/>
      <c r="NBV149" s="22"/>
      <c r="NBW149" s="22"/>
      <c r="NBX149" s="22"/>
      <c r="NBY149" s="22"/>
      <c r="NBZ149" s="22"/>
      <c r="NCA149" s="22"/>
      <c r="NCB149" s="22"/>
      <c r="NCC149" s="22"/>
      <c r="NCD149" s="22"/>
      <c r="NCE149" s="22"/>
      <c r="NCF149" s="22"/>
      <c r="NCG149" s="22"/>
      <c r="NCH149" s="22"/>
      <c r="NCI149" s="22"/>
      <c r="NCJ149" s="22"/>
      <c r="NCK149" s="22"/>
      <c r="NCL149" s="22"/>
      <c r="NCM149" s="22"/>
      <c r="NCN149" s="22"/>
      <c r="NCO149" s="22"/>
      <c r="NCP149" s="22"/>
      <c r="NCQ149" s="22"/>
      <c r="NCR149" s="22"/>
      <c r="NCS149" s="22"/>
      <c r="NCT149" s="22"/>
      <c r="NCU149" s="22"/>
      <c r="NCV149" s="22"/>
      <c r="NCW149" s="22"/>
      <c r="NCX149" s="22"/>
      <c r="NCY149" s="22"/>
      <c r="NCZ149" s="22"/>
      <c r="NDA149" s="22"/>
      <c r="NDB149" s="22"/>
      <c r="NDC149" s="22"/>
      <c r="NDD149" s="22"/>
      <c r="NDE149" s="22"/>
      <c r="NDF149" s="22"/>
      <c r="NDG149" s="22"/>
      <c r="NDH149" s="22"/>
      <c r="NDI149" s="22"/>
      <c r="NDJ149" s="22"/>
      <c r="NDK149" s="22"/>
      <c r="NDL149" s="22"/>
      <c r="NDM149" s="22"/>
      <c r="NDN149" s="22"/>
      <c r="NDO149" s="22"/>
      <c r="NDP149" s="22"/>
      <c r="NDQ149" s="22"/>
      <c r="NDR149" s="22"/>
      <c r="NDS149" s="22"/>
      <c r="NDT149" s="22"/>
      <c r="NDU149" s="22"/>
      <c r="NDV149" s="22"/>
      <c r="NDW149" s="22"/>
      <c r="NDX149" s="22"/>
      <c r="NDY149" s="22"/>
      <c r="NDZ149" s="22"/>
      <c r="NEA149" s="22"/>
      <c r="NEB149" s="22"/>
      <c r="NEC149" s="22"/>
      <c r="NED149" s="22"/>
      <c r="NEE149" s="22"/>
      <c r="NEF149" s="22"/>
      <c r="NEG149" s="22"/>
      <c r="NEH149" s="22"/>
      <c r="NEI149" s="22"/>
      <c r="NEJ149" s="22"/>
      <c r="NEK149" s="22"/>
      <c r="NEL149" s="22"/>
      <c r="NEM149" s="22"/>
      <c r="NEN149" s="22"/>
      <c r="NEO149" s="22"/>
      <c r="NEP149" s="22"/>
      <c r="NEQ149" s="22"/>
      <c r="NER149" s="22"/>
      <c r="NES149" s="22"/>
      <c r="NET149" s="22"/>
      <c r="NEU149" s="22"/>
      <c r="NEV149" s="22"/>
      <c r="NEW149" s="22"/>
      <c r="NEX149" s="22"/>
      <c r="NEY149" s="22"/>
      <c r="NEZ149" s="22"/>
      <c r="NFA149" s="22"/>
      <c r="NFB149" s="22"/>
      <c r="NFC149" s="22"/>
      <c r="NFD149" s="22"/>
      <c r="NFE149" s="22"/>
      <c r="NFF149" s="22"/>
      <c r="NFG149" s="22"/>
      <c r="NFH149" s="22"/>
      <c r="NFI149" s="22"/>
      <c r="NFJ149" s="22"/>
      <c r="NFK149" s="22"/>
      <c r="NFL149" s="22"/>
      <c r="NFM149" s="22"/>
      <c r="NFN149" s="22"/>
      <c r="NFO149" s="22"/>
      <c r="NFP149" s="22"/>
      <c r="NFQ149" s="22"/>
      <c r="NFR149" s="22"/>
      <c r="NFS149" s="22"/>
      <c r="NFT149" s="22"/>
      <c r="NFU149" s="22"/>
      <c r="NFV149" s="22"/>
      <c r="NFW149" s="22"/>
      <c r="NFX149" s="22"/>
      <c r="NFY149" s="22"/>
      <c r="NFZ149" s="22"/>
      <c r="NGA149" s="22"/>
      <c r="NGB149" s="22"/>
      <c r="NGC149" s="22"/>
      <c r="NGD149" s="22"/>
      <c r="NGE149" s="22"/>
      <c r="NGF149" s="22"/>
      <c r="NGG149" s="22"/>
      <c r="NGH149" s="22"/>
      <c r="NGI149" s="22"/>
      <c r="NGJ149" s="22"/>
      <c r="NGK149" s="22"/>
      <c r="NGL149" s="22"/>
      <c r="NGM149" s="22"/>
      <c r="NGN149" s="22"/>
      <c r="NGO149" s="22"/>
      <c r="NGP149" s="22"/>
      <c r="NGQ149" s="22"/>
      <c r="NGR149" s="22"/>
      <c r="NGS149" s="22"/>
      <c r="NGT149" s="22"/>
      <c r="NGU149" s="22"/>
      <c r="NGV149" s="22"/>
      <c r="NGW149" s="22"/>
      <c r="NGX149" s="22"/>
      <c r="NGY149" s="22"/>
      <c r="NGZ149" s="22"/>
      <c r="NHA149" s="22"/>
      <c r="NHB149" s="22"/>
      <c r="NHC149" s="22"/>
      <c r="NHD149" s="22"/>
      <c r="NHE149" s="22"/>
      <c r="NHF149" s="22"/>
      <c r="NHG149" s="22"/>
      <c r="NHH149" s="22"/>
      <c r="NHI149" s="22"/>
      <c r="NHJ149" s="22"/>
      <c r="NHK149" s="22"/>
      <c r="NHL149" s="22"/>
      <c r="NHM149" s="22"/>
      <c r="NHN149" s="22"/>
      <c r="NHO149" s="22"/>
      <c r="NHP149" s="22"/>
      <c r="NHQ149" s="22"/>
      <c r="NHR149" s="22"/>
      <c r="NHS149" s="22"/>
      <c r="NHT149" s="22"/>
      <c r="NHU149" s="22"/>
      <c r="NHV149" s="22"/>
      <c r="NHW149" s="22"/>
      <c r="NHX149" s="22"/>
      <c r="NHY149" s="22"/>
      <c r="NHZ149" s="22"/>
      <c r="NIA149" s="22"/>
      <c r="NIB149" s="22"/>
      <c r="NIC149" s="22"/>
      <c r="NID149" s="22"/>
      <c r="NIE149" s="22"/>
      <c r="NIF149" s="22"/>
      <c r="NIG149" s="22"/>
      <c r="NIH149" s="22"/>
      <c r="NII149" s="22"/>
      <c r="NIJ149" s="22"/>
      <c r="NIK149" s="22"/>
      <c r="NIL149" s="22"/>
      <c r="NIM149" s="22"/>
      <c r="NIN149" s="22"/>
      <c r="NIO149" s="22"/>
      <c r="NIP149" s="22"/>
      <c r="NIQ149" s="22"/>
      <c r="NIR149" s="22"/>
      <c r="NIS149" s="22"/>
      <c r="NIT149" s="22"/>
      <c r="NIU149" s="22"/>
      <c r="NIV149" s="22"/>
      <c r="NIW149" s="22"/>
      <c r="NIX149" s="22"/>
      <c r="NIY149" s="22"/>
      <c r="NIZ149" s="22"/>
      <c r="NJA149" s="22"/>
      <c r="NJB149" s="22"/>
      <c r="NJC149" s="22"/>
      <c r="NJD149" s="22"/>
      <c r="NJE149" s="22"/>
      <c r="NJF149" s="22"/>
      <c r="NJG149" s="22"/>
      <c r="NJH149" s="22"/>
      <c r="NJI149" s="22"/>
      <c r="NJJ149" s="22"/>
      <c r="NJK149" s="22"/>
      <c r="NJL149" s="22"/>
      <c r="NJM149" s="22"/>
      <c r="NJN149" s="22"/>
      <c r="NJO149" s="22"/>
      <c r="NJP149" s="22"/>
      <c r="NJQ149" s="22"/>
      <c r="NJR149" s="22"/>
      <c r="NJS149" s="22"/>
      <c r="NJT149" s="22"/>
      <c r="NJU149" s="22"/>
      <c r="NJV149" s="22"/>
      <c r="NJW149" s="22"/>
      <c r="NJX149" s="22"/>
      <c r="NJY149" s="22"/>
      <c r="NJZ149" s="22"/>
      <c r="NKA149" s="22"/>
      <c r="NKB149" s="22"/>
      <c r="NKC149" s="22"/>
      <c r="NKD149" s="22"/>
      <c r="NKE149" s="22"/>
      <c r="NKF149" s="22"/>
      <c r="NKG149" s="22"/>
      <c r="NKH149" s="22"/>
      <c r="NKI149" s="22"/>
      <c r="NKJ149" s="22"/>
      <c r="NKK149" s="22"/>
      <c r="NKL149" s="22"/>
      <c r="NKM149" s="22"/>
      <c r="NKN149" s="22"/>
      <c r="NKO149" s="22"/>
      <c r="NKP149" s="22"/>
      <c r="NKQ149" s="22"/>
      <c r="NKR149" s="22"/>
      <c r="NKS149" s="22"/>
      <c r="NKT149" s="22"/>
      <c r="NKU149" s="22"/>
      <c r="NKV149" s="22"/>
      <c r="NKW149" s="22"/>
      <c r="NKX149" s="22"/>
      <c r="NKY149" s="22"/>
      <c r="NKZ149" s="22"/>
      <c r="NLA149" s="22"/>
      <c r="NLB149" s="22"/>
      <c r="NLC149" s="22"/>
      <c r="NLD149" s="22"/>
      <c r="NLE149" s="22"/>
      <c r="NLF149" s="22"/>
      <c r="NLG149" s="22"/>
      <c r="NLH149" s="22"/>
      <c r="NLI149" s="22"/>
      <c r="NLJ149" s="22"/>
      <c r="NLK149" s="22"/>
      <c r="NLL149" s="22"/>
      <c r="NLM149" s="22"/>
      <c r="NLN149" s="22"/>
      <c r="NLO149" s="22"/>
      <c r="NLP149" s="22"/>
      <c r="NLQ149" s="22"/>
      <c r="NLR149" s="22"/>
      <c r="NLS149" s="22"/>
      <c r="NLT149" s="22"/>
      <c r="NLU149" s="22"/>
      <c r="NLV149" s="22"/>
      <c r="NLW149" s="22"/>
      <c r="NLX149" s="22"/>
      <c r="NLY149" s="22"/>
      <c r="NLZ149" s="22"/>
      <c r="NMA149" s="22"/>
      <c r="NMB149" s="22"/>
      <c r="NMC149" s="22"/>
      <c r="NMD149" s="22"/>
      <c r="NME149" s="22"/>
      <c r="NMF149" s="22"/>
      <c r="NMG149" s="22"/>
      <c r="NMH149" s="22"/>
      <c r="NMI149" s="22"/>
      <c r="NMJ149" s="22"/>
      <c r="NMK149" s="22"/>
      <c r="NML149" s="22"/>
      <c r="NMM149" s="22"/>
      <c r="NMN149" s="22"/>
      <c r="NMO149" s="22"/>
      <c r="NMP149" s="22"/>
      <c r="NMQ149" s="22"/>
      <c r="NMR149" s="22"/>
      <c r="NMS149" s="22"/>
      <c r="NMT149" s="22"/>
      <c r="NMU149" s="22"/>
      <c r="NMV149" s="22"/>
      <c r="NMW149" s="22"/>
      <c r="NMX149" s="22"/>
      <c r="NMY149" s="22"/>
      <c r="NMZ149" s="22"/>
      <c r="NNA149" s="22"/>
      <c r="NNB149" s="22"/>
      <c r="NNC149" s="22"/>
      <c r="NND149" s="22"/>
      <c r="NNE149" s="22"/>
      <c r="NNF149" s="22"/>
      <c r="NNG149" s="22"/>
      <c r="NNH149" s="22"/>
      <c r="NNI149" s="22"/>
      <c r="NNJ149" s="22"/>
      <c r="NNK149" s="22"/>
      <c r="NNL149" s="22"/>
      <c r="NNM149" s="22"/>
      <c r="NNN149" s="22"/>
      <c r="NNO149" s="22"/>
      <c r="NNP149" s="22"/>
      <c r="NNQ149" s="22"/>
      <c r="NNR149" s="22"/>
      <c r="NNS149" s="22"/>
      <c r="NNT149" s="22"/>
      <c r="NNU149" s="22"/>
      <c r="NNV149" s="22"/>
      <c r="NNW149" s="22"/>
      <c r="NNX149" s="22"/>
      <c r="NNY149" s="22"/>
      <c r="NNZ149" s="22"/>
      <c r="NOA149" s="22"/>
      <c r="NOB149" s="22"/>
      <c r="NOC149" s="22"/>
      <c r="NOD149" s="22"/>
      <c r="NOE149" s="22"/>
      <c r="NOF149" s="22"/>
      <c r="NOG149" s="22"/>
      <c r="NOH149" s="22"/>
      <c r="NOI149" s="22"/>
      <c r="NOJ149" s="22"/>
      <c r="NOK149" s="22"/>
      <c r="NOL149" s="22"/>
      <c r="NOM149" s="22"/>
      <c r="NON149" s="22"/>
      <c r="NOO149" s="22"/>
      <c r="NOP149" s="22"/>
      <c r="NOQ149" s="22"/>
      <c r="NOR149" s="22"/>
      <c r="NOS149" s="22"/>
      <c r="NOT149" s="22"/>
      <c r="NOU149" s="22"/>
      <c r="NOV149" s="22"/>
      <c r="NOW149" s="22"/>
      <c r="NOX149" s="22"/>
      <c r="NOY149" s="22"/>
      <c r="NOZ149" s="22"/>
      <c r="NPA149" s="22"/>
      <c r="NPB149" s="22"/>
      <c r="NPC149" s="22"/>
      <c r="NPD149" s="22"/>
      <c r="NPE149" s="22"/>
      <c r="NPF149" s="22"/>
      <c r="NPG149" s="22"/>
      <c r="NPH149" s="22"/>
      <c r="NPI149" s="22"/>
      <c r="NPJ149" s="22"/>
      <c r="NPK149" s="22"/>
      <c r="NPL149" s="22"/>
      <c r="NPM149" s="22"/>
      <c r="NPN149" s="22"/>
      <c r="NPO149" s="22"/>
      <c r="NPP149" s="22"/>
      <c r="NPQ149" s="22"/>
      <c r="NPR149" s="22"/>
      <c r="NPS149" s="22"/>
      <c r="NPT149" s="22"/>
      <c r="NPU149" s="22"/>
      <c r="NPV149" s="22"/>
      <c r="NPW149" s="22"/>
      <c r="NPX149" s="22"/>
      <c r="NPY149" s="22"/>
      <c r="NPZ149" s="22"/>
      <c r="NQA149" s="22"/>
      <c r="NQB149" s="22"/>
      <c r="NQC149" s="22"/>
      <c r="NQD149" s="22"/>
      <c r="NQE149" s="22"/>
      <c r="NQF149" s="22"/>
      <c r="NQG149" s="22"/>
      <c r="NQH149" s="22"/>
      <c r="NQI149" s="22"/>
      <c r="NQJ149" s="22"/>
      <c r="NQK149" s="22"/>
      <c r="NQL149" s="22"/>
      <c r="NQM149" s="22"/>
      <c r="NQN149" s="22"/>
      <c r="NQO149" s="22"/>
      <c r="NQP149" s="22"/>
      <c r="NQQ149" s="22"/>
      <c r="NQR149" s="22"/>
      <c r="NQS149" s="22"/>
      <c r="NQT149" s="22"/>
      <c r="NQU149" s="22"/>
      <c r="NQV149" s="22"/>
      <c r="NQW149" s="22"/>
      <c r="NQX149" s="22"/>
      <c r="NQY149" s="22"/>
      <c r="NQZ149" s="22"/>
      <c r="NRA149" s="22"/>
      <c r="NRB149" s="22"/>
      <c r="NRC149" s="22"/>
      <c r="NRD149" s="22"/>
      <c r="NRE149" s="22"/>
      <c r="NRF149" s="22"/>
      <c r="NRG149" s="22"/>
      <c r="NRH149" s="22"/>
      <c r="NRI149" s="22"/>
      <c r="NRJ149" s="22"/>
      <c r="NRK149" s="22"/>
      <c r="NRL149" s="22"/>
      <c r="NRM149" s="22"/>
      <c r="NRN149" s="22"/>
      <c r="NRO149" s="22"/>
      <c r="NRP149" s="22"/>
      <c r="NRQ149" s="22"/>
      <c r="NRR149" s="22"/>
      <c r="NRS149" s="22"/>
      <c r="NRT149" s="22"/>
      <c r="NRU149" s="22"/>
      <c r="NRV149" s="22"/>
      <c r="NRW149" s="22"/>
      <c r="NRX149" s="22"/>
      <c r="NRY149" s="22"/>
      <c r="NRZ149" s="22"/>
      <c r="NSA149" s="22"/>
      <c r="NSB149" s="22"/>
      <c r="NSC149" s="22"/>
      <c r="NSD149" s="22"/>
      <c r="NSE149" s="22"/>
      <c r="NSF149" s="22"/>
      <c r="NSG149" s="22"/>
      <c r="NSH149" s="22"/>
      <c r="NSI149" s="22"/>
      <c r="NSJ149" s="22"/>
      <c r="NSK149" s="22"/>
      <c r="NSL149" s="22"/>
      <c r="NSM149" s="22"/>
      <c r="NSN149" s="22"/>
      <c r="NSO149" s="22"/>
      <c r="NSP149" s="22"/>
      <c r="NSQ149" s="22"/>
      <c r="NSR149" s="22"/>
      <c r="NSS149" s="22"/>
      <c r="NST149" s="22"/>
      <c r="NSU149" s="22"/>
      <c r="NSV149" s="22"/>
      <c r="NSW149" s="22"/>
      <c r="NSX149" s="22"/>
      <c r="NSY149" s="22"/>
      <c r="NSZ149" s="22"/>
      <c r="NTA149" s="22"/>
      <c r="NTB149" s="22"/>
      <c r="NTC149" s="22"/>
      <c r="NTD149" s="22"/>
      <c r="NTE149" s="22"/>
      <c r="NTF149" s="22"/>
      <c r="NTG149" s="22"/>
      <c r="NTH149" s="22"/>
      <c r="NTI149" s="22"/>
      <c r="NTJ149" s="22"/>
      <c r="NTK149" s="22"/>
      <c r="NTL149" s="22"/>
      <c r="NTM149" s="22"/>
      <c r="NTN149" s="22"/>
      <c r="NTO149" s="22"/>
      <c r="NTP149" s="22"/>
      <c r="NTQ149" s="22"/>
      <c r="NTR149" s="22"/>
      <c r="NTS149" s="22"/>
      <c r="NTT149" s="22"/>
      <c r="NTU149" s="22"/>
      <c r="NTV149" s="22"/>
      <c r="NTW149" s="22"/>
      <c r="NTX149" s="22"/>
      <c r="NTY149" s="22"/>
      <c r="NTZ149" s="22"/>
      <c r="NUA149" s="22"/>
      <c r="NUB149" s="22"/>
      <c r="NUC149" s="22"/>
      <c r="NUD149" s="22"/>
      <c r="NUE149" s="22"/>
      <c r="NUF149" s="22"/>
      <c r="NUG149" s="22"/>
      <c r="NUH149" s="22"/>
      <c r="NUI149" s="22"/>
      <c r="NUJ149" s="22"/>
      <c r="NUK149" s="22"/>
      <c r="NUL149" s="22"/>
      <c r="NUM149" s="22"/>
      <c r="NUN149" s="22"/>
      <c r="NUO149" s="22"/>
      <c r="NUP149" s="22"/>
      <c r="NUQ149" s="22"/>
      <c r="NUR149" s="22"/>
      <c r="NUS149" s="22"/>
      <c r="NUT149" s="22"/>
      <c r="NUU149" s="22"/>
      <c r="NUV149" s="22"/>
      <c r="NUW149" s="22"/>
      <c r="NUX149" s="22"/>
      <c r="NUY149" s="22"/>
      <c r="NUZ149" s="22"/>
      <c r="NVA149" s="22"/>
      <c r="NVB149" s="22"/>
      <c r="NVC149" s="22"/>
      <c r="NVD149" s="22"/>
      <c r="NVE149" s="22"/>
      <c r="NVF149" s="22"/>
      <c r="NVG149" s="22"/>
      <c r="NVH149" s="22"/>
      <c r="NVI149" s="22"/>
      <c r="NVJ149" s="22"/>
      <c r="NVK149" s="22"/>
      <c r="NVL149" s="22"/>
      <c r="NVM149" s="22"/>
      <c r="NVN149" s="22"/>
      <c r="NVO149" s="22"/>
      <c r="NVP149" s="22"/>
      <c r="NVQ149" s="22"/>
      <c r="NVR149" s="22"/>
      <c r="NVS149" s="22"/>
      <c r="NVT149" s="22"/>
      <c r="NVU149" s="22"/>
      <c r="NVV149" s="22"/>
      <c r="NVW149" s="22"/>
      <c r="NVX149" s="22"/>
      <c r="NVY149" s="22"/>
      <c r="NVZ149" s="22"/>
      <c r="NWA149" s="22"/>
      <c r="NWB149" s="22"/>
      <c r="NWC149" s="22"/>
      <c r="NWD149" s="22"/>
      <c r="NWE149" s="22"/>
      <c r="NWF149" s="22"/>
      <c r="NWG149" s="22"/>
      <c r="NWH149" s="22"/>
      <c r="NWI149" s="22"/>
      <c r="NWJ149" s="22"/>
      <c r="NWK149" s="22"/>
      <c r="NWL149" s="22"/>
      <c r="NWM149" s="22"/>
      <c r="NWN149" s="22"/>
      <c r="NWO149" s="22"/>
      <c r="NWP149" s="22"/>
      <c r="NWQ149" s="22"/>
      <c r="NWR149" s="22"/>
      <c r="NWS149" s="22"/>
      <c r="NWT149" s="22"/>
      <c r="NWU149" s="22"/>
      <c r="NWV149" s="22"/>
      <c r="NWW149" s="22"/>
      <c r="NWX149" s="22"/>
      <c r="NWY149" s="22"/>
      <c r="NWZ149" s="22"/>
      <c r="NXA149" s="22"/>
      <c r="NXB149" s="22"/>
      <c r="NXC149" s="22"/>
      <c r="NXD149" s="22"/>
      <c r="NXE149" s="22"/>
      <c r="NXF149" s="22"/>
      <c r="NXG149" s="22"/>
      <c r="NXH149" s="22"/>
      <c r="NXI149" s="22"/>
      <c r="NXJ149" s="22"/>
      <c r="NXK149" s="22"/>
      <c r="NXL149" s="22"/>
      <c r="NXM149" s="22"/>
      <c r="NXN149" s="22"/>
      <c r="NXO149" s="22"/>
      <c r="NXP149" s="22"/>
      <c r="NXQ149" s="22"/>
      <c r="NXR149" s="22"/>
      <c r="NXS149" s="22"/>
      <c r="NXT149" s="22"/>
      <c r="NXU149" s="22"/>
      <c r="NXV149" s="22"/>
      <c r="NXW149" s="22"/>
      <c r="NXX149" s="22"/>
      <c r="NXY149" s="22"/>
      <c r="NXZ149" s="22"/>
      <c r="NYA149" s="22"/>
      <c r="NYB149" s="22"/>
      <c r="NYC149" s="22"/>
      <c r="NYD149" s="22"/>
      <c r="NYE149" s="22"/>
      <c r="NYF149" s="22"/>
      <c r="NYG149" s="22"/>
      <c r="NYH149" s="22"/>
      <c r="NYI149" s="22"/>
      <c r="NYJ149" s="22"/>
      <c r="NYK149" s="22"/>
      <c r="NYL149" s="22"/>
      <c r="NYM149" s="22"/>
      <c r="NYN149" s="22"/>
      <c r="NYO149" s="22"/>
      <c r="NYP149" s="22"/>
      <c r="NYQ149" s="22"/>
      <c r="NYR149" s="22"/>
      <c r="NYS149" s="22"/>
      <c r="NYT149" s="22"/>
      <c r="NYU149" s="22"/>
      <c r="NYV149" s="22"/>
      <c r="NYW149" s="22"/>
      <c r="NYX149" s="22"/>
      <c r="NYY149" s="22"/>
      <c r="NYZ149" s="22"/>
      <c r="NZA149" s="22"/>
      <c r="NZB149" s="22"/>
      <c r="NZC149" s="22"/>
      <c r="NZD149" s="22"/>
      <c r="NZE149" s="22"/>
      <c r="NZF149" s="22"/>
      <c r="NZG149" s="22"/>
      <c r="NZH149" s="22"/>
      <c r="NZI149" s="22"/>
      <c r="NZJ149" s="22"/>
      <c r="NZK149" s="22"/>
      <c r="NZL149" s="22"/>
      <c r="NZM149" s="22"/>
      <c r="NZN149" s="22"/>
      <c r="NZO149" s="22"/>
      <c r="NZP149" s="22"/>
      <c r="NZQ149" s="22"/>
      <c r="NZR149" s="22"/>
      <c r="NZS149" s="22"/>
      <c r="NZT149" s="22"/>
      <c r="NZU149" s="22"/>
      <c r="NZV149" s="22"/>
      <c r="NZW149" s="22"/>
      <c r="NZX149" s="22"/>
      <c r="NZY149" s="22"/>
      <c r="NZZ149" s="22"/>
      <c r="OAA149" s="22"/>
      <c r="OAB149" s="22"/>
      <c r="OAC149" s="22"/>
      <c r="OAD149" s="22"/>
      <c r="OAE149" s="22"/>
      <c r="OAF149" s="22"/>
      <c r="OAG149" s="22"/>
      <c r="OAH149" s="22"/>
      <c r="OAI149" s="22"/>
      <c r="OAJ149" s="22"/>
      <c r="OAK149" s="22"/>
      <c r="OAL149" s="22"/>
      <c r="OAM149" s="22"/>
      <c r="OAN149" s="22"/>
      <c r="OAO149" s="22"/>
      <c r="OAP149" s="22"/>
      <c r="OAQ149" s="22"/>
      <c r="OAR149" s="22"/>
      <c r="OAS149" s="22"/>
      <c r="OAT149" s="22"/>
      <c r="OAU149" s="22"/>
      <c r="OAV149" s="22"/>
      <c r="OAW149" s="22"/>
      <c r="OAX149" s="22"/>
      <c r="OAY149" s="22"/>
      <c r="OAZ149" s="22"/>
      <c r="OBA149" s="22"/>
      <c r="OBB149" s="22"/>
      <c r="OBC149" s="22"/>
      <c r="OBD149" s="22"/>
      <c r="OBE149" s="22"/>
      <c r="OBF149" s="22"/>
      <c r="OBG149" s="22"/>
      <c r="OBH149" s="22"/>
      <c r="OBI149" s="22"/>
      <c r="OBJ149" s="22"/>
      <c r="OBK149" s="22"/>
      <c r="OBL149" s="22"/>
      <c r="OBM149" s="22"/>
      <c r="OBN149" s="22"/>
      <c r="OBO149" s="22"/>
      <c r="OBP149" s="22"/>
      <c r="OBQ149" s="22"/>
      <c r="OBR149" s="22"/>
      <c r="OBS149" s="22"/>
      <c r="OBT149" s="22"/>
      <c r="OBU149" s="22"/>
      <c r="OBV149" s="22"/>
      <c r="OBW149" s="22"/>
      <c r="OBX149" s="22"/>
      <c r="OBY149" s="22"/>
      <c r="OBZ149" s="22"/>
      <c r="OCA149" s="22"/>
      <c r="OCB149" s="22"/>
      <c r="OCC149" s="22"/>
      <c r="OCD149" s="22"/>
      <c r="OCE149" s="22"/>
      <c r="OCF149" s="22"/>
      <c r="OCG149" s="22"/>
      <c r="OCH149" s="22"/>
      <c r="OCI149" s="22"/>
      <c r="OCJ149" s="22"/>
      <c r="OCK149" s="22"/>
      <c r="OCL149" s="22"/>
      <c r="OCM149" s="22"/>
      <c r="OCN149" s="22"/>
      <c r="OCO149" s="22"/>
      <c r="OCP149" s="22"/>
      <c r="OCQ149" s="22"/>
      <c r="OCR149" s="22"/>
      <c r="OCS149" s="22"/>
      <c r="OCT149" s="22"/>
      <c r="OCU149" s="22"/>
      <c r="OCV149" s="22"/>
      <c r="OCW149" s="22"/>
      <c r="OCX149" s="22"/>
      <c r="OCY149" s="22"/>
      <c r="OCZ149" s="22"/>
      <c r="ODA149" s="22"/>
      <c r="ODB149" s="22"/>
      <c r="ODC149" s="22"/>
      <c r="ODD149" s="22"/>
      <c r="ODE149" s="22"/>
      <c r="ODF149" s="22"/>
      <c r="ODG149" s="22"/>
      <c r="ODH149" s="22"/>
      <c r="ODI149" s="22"/>
      <c r="ODJ149" s="22"/>
      <c r="ODK149" s="22"/>
      <c r="ODL149" s="22"/>
      <c r="ODM149" s="22"/>
      <c r="ODN149" s="22"/>
      <c r="ODO149" s="22"/>
      <c r="ODP149" s="22"/>
      <c r="ODQ149" s="22"/>
      <c r="ODR149" s="22"/>
      <c r="ODS149" s="22"/>
      <c r="ODT149" s="22"/>
      <c r="ODU149" s="22"/>
      <c r="ODV149" s="22"/>
      <c r="ODW149" s="22"/>
      <c r="ODX149" s="22"/>
      <c r="ODY149" s="22"/>
      <c r="ODZ149" s="22"/>
      <c r="OEA149" s="22"/>
      <c r="OEB149" s="22"/>
      <c r="OEC149" s="22"/>
      <c r="OED149" s="22"/>
      <c r="OEE149" s="22"/>
      <c r="OEF149" s="22"/>
      <c r="OEG149" s="22"/>
      <c r="OEH149" s="22"/>
      <c r="OEI149" s="22"/>
      <c r="OEJ149" s="22"/>
      <c r="OEK149" s="22"/>
      <c r="OEL149" s="22"/>
      <c r="OEM149" s="22"/>
      <c r="OEN149" s="22"/>
      <c r="OEO149" s="22"/>
      <c r="OEP149" s="22"/>
      <c r="OEQ149" s="22"/>
      <c r="OER149" s="22"/>
      <c r="OES149" s="22"/>
      <c r="OET149" s="22"/>
      <c r="OEU149" s="22"/>
      <c r="OEV149" s="22"/>
      <c r="OEW149" s="22"/>
      <c r="OEX149" s="22"/>
      <c r="OEY149" s="22"/>
      <c r="OEZ149" s="22"/>
      <c r="OFA149" s="22"/>
      <c r="OFB149" s="22"/>
      <c r="OFC149" s="22"/>
      <c r="OFD149" s="22"/>
      <c r="OFE149" s="22"/>
      <c r="OFF149" s="22"/>
      <c r="OFG149" s="22"/>
      <c r="OFH149" s="22"/>
      <c r="OFI149" s="22"/>
      <c r="OFJ149" s="22"/>
      <c r="OFK149" s="22"/>
      <c r="OFL149" s="22"/>
      <c r="OFM149" s="22"/>
      <c r="OFN149" s="22"/>
      <c r="OFO149" s="22"/>
      <c r="OFP149" s="22"/>
      <c r="OFQ149" s="22"/>
      <c r="OFR149" s="22"/>
      <c r="OFS149" s="22"/>
      <c r="OFT149" s="22"/>
      <c r="OFU149" s="22"/>
      <c r="OFV149" s="22"/>
      <c r="OFW149" s="22"/>
      <c r="OFX149" s="22"/>
      <c r="OFY149" s="22"/>
      <c r="OFZ149" s="22"/>
      <c r="OGA149" s="22"/>
      <c r="OGB149" s="22"/>
      <c r="OGC149" s="22"/>
      <c r="OGD149" s="22"/>
      <c r="OGE149" s="22"/>
      <c r="OGF149" s="22"/>
      <c r="OGG149" s="22"/>
      <c r="OGH149" s="22"/>
      <c r="OGI149" s="22"/>
      <c r="OGJ149" s="22"/>
      <c r="OGK149" s="22"/>
      <c r="OGL149" s="22"/>
      <c r="OGM149" s="22"/>
      <c r="OGN149" s="22"/>
      <c r="OGO149" s="22"/>
      <c r="OGP149" s="22"/>
      <c r="OGQ149" s="22"/>
      <c r="OGR149" s="22"/>
      <c r="OGS149" s="22"/>
      <c r="OGT149" s="22"/>
      <c r="OGU149" s="22"/>
      <c r="OGV149" s="22"/>
      <c r="OGW149" s="22"/>
      <c r="OGX149" s="22"/>
      <c r="OGY149" s="22"/>
      <c r="OGZ149" s="22"/>
      <c r="OHA149" s="22"/>
      <c r="OHB149" s="22"/>
      <c r="OHC149" s="22"/>
      <c r="OHD149" s="22"/>
      <c r="OHE149" s="22"/>
      <c r="OHF149" s="22"/>
      <c r="OHG149" s="22"/>
      <c r="OHH149" s="22"/>
      <c r="OHI149" s="22"/>
      <c r="OHJ149" s="22"/>
      <c r="OHK149" s="22"/>
      <c r="OHL149" s="22"/>
      <c r="OHM149" s="22"/>
      <c r="OHN149" s="22"/>
      <c r="OHO149" s="22"/>
      <c r="OHP149" s="22"/>
      <c r="OHQ149" s="22"/>
      <c r="OHR149" s="22"/>
      <c r="OHS149" s="22"/>
      <c r="OHT149" s="22"/>
      <c r="OHU149" s="22"/>
      <c r="OHV149" s="22"/>
      <c r="OHW149" s="22"/>
      <c r="OHX149" s="22"/>
      <c r="OHY149" s="22"/>
      <c r="OHZ149" s="22"/>
      <c r="OIA149" s="22"/>
      <c r="OIB149" s="22"/>
      <c r="OIC149" s="22"/>
      <c r="OID149" s="22"/>
      <c r="OIE149" s="22"/>
      <c r="OIF149" s="22"/>
      <c r="OIG149" s="22"/>
      <c r="OIH149" s="22"/>
      <c r="OII149" s="22"/>
      <c r="OIJ149" s="22"/>
      <c r="OIK149" s="22"/>
      <c r="OIL149" s="22"/>
      <c r="OIM149" s="22"/>
      <c r="OIN149" s="22"/>
      <c r="OIO149" s="22"/>
      <c r="OIP149" s="22"/>
      <c r="OIQ149" s="22"/>
      <c r="OIR149" s="22"/>
      <c r="OIS149" s="22"/>
      <c r="OIT149" s="22"/>
      <c r="OIU149" s="22"/>
      <c r="OIV149" s="22"/>
      <c r="OIW149" s="22"/>
      <c r="OIX149" s="22"/>
      <c r="OIY149" s="22"/>
      <c r="OIZ149" s="22"/>
      <c r="OJA149" s="22"/>
      <c r="OJB149" s="22"/>
      <c r="OJC149" s="22"/>
      <c r="OJD149" s="22"/>
      <c r="OJE149" s="22"/>
      <c r="OJF149" s="22"/>
      <c r="OJG149" s="22"/>
      <c r="OJH149" s="22"/>
      <c r="OJI149" s="22"/>
      <c r="OJJ149" s="22"/>
      <c r="OJK149" s="22"/>
      <c r="OJL149" s="22"/>
      <c r="OJM149" s="22"/>
      <c r="OJN149" s="22"/>
      <c r="OJO149" s="22"/>
      <c r="OJP149" s="22"/>
      <c r="OJQ149" s="22"/>
      <c r="OJR149" s="22"/>
      <c r="OJS149" s="22"/>
      <c r="OJT149" s="22"/>
      <c r="OJU149" s="22"/>
      <c r="OJV149" s="22"/>
      <c r="OJW149" s="22"/>
      <c r="OJX149" s="22"/>
      <c r="OJY149" s="22"/>
      <c r="OJZ149" s="22"/>
      <c r="OKA149" s="22"/>
      <c r="OKB149" s="22"/>
      <c r="OKC149" s="22"/>
      <c r="OKD149" s="22"/>
      <c r="OKE149" s="22"/>
      <c r="OKF149" s="22"/>
      <c r="OKG149" s="22"/>
      <c r="OKH149" s="22"/>
      <c r="OKI149" s="22"/>
      <c r="OKJ149" s="22"/>
      <c r="OKK149" s="22"/>
      <c r="OKL149" s="22"/>
      <c r="OKM149" s="22"/>
      <c r="OKN149" s="22"/>
      <c r="OKO149" s="22"/>
      <c r="OKP149" s="22"/>
      <c r="OKQ149" s="22"/>
      <c r="OKR149" s="22"/>
      <c r="OKS149" s="22"/>
      <c r="OKT149" s="22"/>
      <c r="OKU149" s="22"/>
      <c r="OKV149" s="22"/>
      <c r="OKW149" s="22"/>
      <c r="OKX149" s="22"/>
      <c r="OKY149" s="22"/>
      <c r="OKZ149" s="22"/>
      <c r="OLA149" s="22"/>
      <c r="OLB149" s="22"/>
      <c r="OLC149" s="22"/>
      <c r="OLD149" s="22"/>
      <c r="OLE149" s="22"/>
      <c r="OLF149" s="22"/>
      <c r="OLG149" s="22"/>
      <c r="OLH149" s="22"/>
      <c r="OLI149" s="22"/>
      <c r="OLJ149" s="22"/>
      <c r="OLK149" s="22"/>
      <c r="OLL149" s="22"/>
      <c r="OLM149" s="22"/>
      <c r="OLN149" s="22"/>
      <c r="OLO149" s="22"/>
      <c r="OLP149" s="22"/>
      <c r="OLQ149" s="22"/>
      <c r="OLR149" s="22"/>
      <c r="OLS149" s="22"/>
      <c r="OLT149" s="22"/>
      <c r="OLU149" s="22"/>
      <c r="OLV149" s="22"/>
      <c r="OLW149" s="22"/>
      <c r="OLX149" s="22"/>
      <c r="OLY149" s="22"/>
      <c r="OLZ149" s="22"/>
      <c r="OMA149" s="22"/>
      <c r="OMB149" s="22"/>
      <c r="OMC149" s="22"/>
      <c r="OMD149" s="22"/>
      <c r="OME149" s="22"/>
      <c r="OMF149" s="22"/>
      <c r="OMG149" s="22"/>
      <c r="OMH149" s="22"/>
      <c r="OMI149" s="22"/>
      <c r="OMJ149" s="22"/>
      <c r="OMK149" s="22"/>
      <c r="OML149" s="22"/>
      <c r="OMM149" s="22"/>
      <c r="OMN149" s="22"/>
      <c r="OMO149" s="22"/>
      <c r="OMP149" s="22"/>
      <c r="OMQ149" s="22"/>
      <c r="OMR149" s="22"/>
      <c r="OMS149" s="22"/>
      <c r="OMT149" s="22"/>
      <c r="OMU149" s="22"/>
      <c r="OMV149" s="22"/>
      <c r="OMW149" s="22"/>
      <c r="OMX149" s="22"/>
      <c r="OMY149" s="22"/>
      <c r="OMZ149" s="22"/>
      <c r="ONA149" s="22"/>
      <c r="ONB149" s="22"/>
      <c r="ONC149" s="22"/>
      <c r="OND149" s="22"/>
      <c r="ONE149" s="22"/>
      <c r="ONF149" s="22"/>
      <c r="ONG149" s="22"/>
      <c r="ONH149" s="22"/>
      <c r="ONI149" s="22"/>
      <c r="ONJ149" s="22"/>
      <c r="ONK149" s="22"/>
      <c r="ONL149" s="22"/>
      <c r="ONM149" s="22"/>
      <c r="ONN149" s="22"/>
      <c r="ONO149" s="22"/>
      <c r="ONP149" s="22"/>
      <c r="ONQ149" s="22"/>
      <c r="ONR149" s="22"/>
      <c r="ONS149" s="22"/>
      <c r="ONT149" s="22"/>
      <c r="ONU149" s="22"/>
      <c r="ONV149" s="22"/>
      <c r="ONW149" s="22"/>
      <c r="ONX149" s="22"/>
      <c r="ONY149" s="22"/>
      <c r="ONZ149" s="22"/>
      <c r="OOA149" s="22"/>
      <c r="OOB149" s="22"/>
      <c r="OOC149" s="22"/>
      <c r="OOD149" s="22"/>
      <c r="OOE149" s="22"/>
      <c r="OOF149" s="22"/>
      <c r="OOG149" s="22"/>
      <c r="OOH149" s="22"/>
      <c r="OOI149" s="22"/>
      <c r="OOJ149" s="22"/>
      <c r="OOK149" s="22"/>
      <c r="OOL149" s="22"/>
      <c r="OOM149" s="22"/>
      <c r="OON149" s="22"/>
      <c r="OOO149" s="22"/>
      <c r="OOP149" s="22"/>
      <c r="OOQ149" s="22"/>
      <c r="OOR149" s="22"/>
      <c r="OOS149" s="22"/>
      <c r="OOT149" s="22"/>
      <c r="OOU149" s="22"/>
      <c r="OOV149" s="22"/>
      <c r="OOW149" s="22"/>
      <c r="OOX149" s="22"/>
      <c r="OOY149" s="22"/>
      <c r="OOZ149" s="22"/>
      <c r="OPA149" s="22"/>
      <c r="OPB149" s="22"/>
      <c r="OPC149" s="22"/>
      <c r="OPD149" s="22"/>
      <c r="OPE149" s="22"/>
      <c r="OPF149" s="22"/>
      <c r="OPG149" s="22"/>
      <c r="OPH149" s="22"/>
      <c r="OPI149" s="22"/>
      <c r="OPJ149" s="22"/>
      <c r="OPK149" s="22"/>
      <c r="OPL149" s="22"/>
      <c r="OPM149" s="22"/>
      <c r="OPN149" s="22"/>
      <c r="OPO149" s="22"/>
      <c r="OPP149" s="22"/>
      <c r="OPQ149" s="22"/>
      <c r="OPR149" s="22"/>
      <c r="OPS149" s="22"/>
      <c r="OPT149" s="22"/>
      <c r="OPU149" s="22"/>
      <c r="OPV149" s="22"/>
      <c r="OPW149" s="22"/>
      <c r="OPX149" s="22"/>
      <c r="OPY149" s="22"/>
      <c r="OPZ149" s="22"/>
      <c r="OQA149" s="22"/>
      <c r="OQB149" s="22"/>
      <c r="OQC149" s="22"/>
      <c r="OQD149" s="22"/>
      <c r="OQE149" s="22"/>
      <c r="OQF149" s="22"/>
      <c r="OQG149" s="22"/>
      <c r="OQH149" s="22"/>
      <c r="OQI149" s="22"/>
      <c r="OQJ149" s="22"/>
      <c r="OQK149" s="22"/>
      <c r="OQL149" s="22"/>
      <c r="OQM149" s="22"/>
      <c r="OQN149" s="22"/>
      <c r="OQO149" s="22"/>
      <c r="OQP149" s="22"/>
      <c r="OQQ149" s="22"/>
      <c r="OQR149" s="22"/>
      <c r="OQS149" s="22"/>
      <c r="OQT149" s="22"/>
      <c r="OQU149" s="22"/>
      <c r="OQV149" s="22"/>
      <c r="OQW149" s="22"/>
      <c r="OQX149" s="22"/>
      <c r="OQY149" s="22"/>
      <c r="OQZ149" s="22"/>
      <c r="ORA149" s="22"/>
      <c r="ORB149" s="22"/>
      <c r="ORC149" s="22"/>
      <c r="ORD149" s="22"/>
      <c r="ORE149" s="22"/>
      <c r="ORF149" s="22"/>
      <c r="ORG149" s="22"/>
      <c r="ORH149" s="22"/>
      <c r="ORI149" s="22"/>
      <c r="ORJ149" s="22"/>
      <c r="ORK149" s="22"/>
      <c r="ORL149" s="22"/>
      <c r="ORM149" s="22"/>
      <c r="ORN149" s="22"/>
      <c r="ORO149" s="22"/>
      <c r="ORP149" s="22"/>
      <c r="ORQ149" s="22"/>
      <c r="ORR149" s="22"/>
      <c r="ORS149" s="22"/>
      <c r="ORT149" s="22"/>
      <c r="ORU149" s="22"/>
      <c r="ORV149" s="22"/>
      <c r="ORW149" s="22"/>
      <c r="ORX149" s="22"/>
      <c r="ORY149" s="22"/>
      <c r="ORZ149" s="22"/>
      <c r="OSA149" s="22"/>
      <c r="OSB149" s="22"/>
      <c r="OSC149" s="22"/>
      <c r="OSD149" s="22"/>
      <c r="OSE149" s="22"/>
      <c r="OSF149" s="22"/>
      <c r="OSG149" s="22"/>
      <c r="OSH149" s="22"/>
      <c r="OSI149" s="22"/>
      <c r="OSJ149" s="22"/>
      <c r="OSK149" s="22"/>
      <c r="OSL149" s="22"/>
      <c r="OSM149" s="22"/>
      <c r="OSN149" s="22"/>
      <c r="OSO149" s="22"/>
      <c r="OSP149" s="22"/>
      <c r="OSQ149" s="22"/>
      <c r="OSR149" s="22"/>
      <c r="OSS149" s="22"/>
      <c r="OST149" s="22"/>
      <c r="OSU149" s="22"/>
      <c r="OSV149" s="22"/>
      <c r="OSW149" s="22"/>
      <c r="OSX149" s="22"/>
      <c r="OSY149" s="22"/>
      <c r="OSZ149" s="22"/>
      <c r="OTA149" s="22"/>
      <c r="OTB149" s="22"/>
      <c r="OTC149" s="22"/>
      <c r="OTD149" s="22"/>
      <c r="OTE149" s="22"/>
      <c r="OTF149" s="22"/>
      <c r="OTG149" s="22"/>
      <c r="OTH149" s="22"/>
      <c r="OTI149" s="22"/>
      <c r="OTJ149" s="22"/>
      <c r="OTK149" s="22"/>
      <c r="OTL149" s="22"/>
      <c r="OTM149" s="22"/>
      <c r="OTN149" s="22"/>
      <c r="OTO149" s="22"/>
      <c r="OTP149" s="22"/>
      <c r="OTQ149" s="22"/>
      <c r="OTR149" s="22"/>
      <c r="OTS149" s="22"/>
      <c r="OTT149" s="22"/>
      <c r="OTU149" s="22"/>
      <c r="OTV149" s="22"/>
      <c r="OTW149" s="22"/>
      <c r="OTX149" s="22"/>
      <c r="OTY149" s="22"/>
      <c r="OTZ149" s="22"/>
      <c r="OUA149" s="22"/>
      <c r="OUB149" s="22"/>
      <c r="OUC149" s="22"/>
      <c r="OUD149" s="22"/>
      <c r="OUE149" s="22"/>
      <c r="OUF149" s="22"/>
      <c r="OUG149" s="22"/>
      <c r="OUH149" s="22"/>
      <c r="OUI149" s="22"/>
      <c r="OUJ149" s="22"/>
      <c r="OUK149" s="22"/>
      <c r="OUL149" s="22"/>
      <c r="OUM149" s="22"/>
      <c r="OUN149" s="22"/>
      <c r="OUO149" s="22"/>
      <c r="OUP149" s="22"/>
      <c r="OUQ149" s="22"/>
      <c r="OUR149" s="22"/>
      <c r="OUS149" s="22"/>
      <c r="OUT149" s="22"/>
      <c r="OUU149" s="22"/>
      <c r="OUV149" s="22"/>
      <c r="OUW149" s="22"/>
      <c r="OUX149" s="22"/>
      <c r="OUY149" s="22"/>
      <c r="OUZ149" s="22"/>
      <c r="OVA149" s="22"/>
      <c r="OVB149" s="22"/>
      <c r="OVC149" s="22"/>
      <c r="OVD149" s="22"/>
      <c r="OVE149" s="22"/>
      <c r="OVF149" s="22"/>
      <c r="OVG149" s="22"/>
      <c r="OVH149" s="22"/>
      <c r="OVI149" s="22"/>
      <c r="OVJ149" s="22"/>
      <c r="OVK149" s="22"/>
      <c r="OVL149" s="22"/>
      <c r="OVM149" s="22"/>
      <c r="OVN149" s="22"/>
      <c r="OVO149" s="22"/>
      <c r="OVP149" s="22"/>
      <c r="OVQ149" s="22"/>
      <c r="OVR149" s="22"/>
      <c r="OVS149" s="22"/>
      <c r="OVT149" s="22"/>
      <c r="OVU149" s="22"/>
      <c r="OVV149" s="22"/>
      <c r="OVW149" s="22"/>
      <c r="OVX149" s="22"/>
      <c r="OVY149" s="22"/>
      <c r="OVZ149" s="22"/>
      <c r="OWA149" s="22"/>
      <c r="OWB149" s="22"/>
      <c r="OWC149" s="22"/>
      <c r="OWD149" s="22"/>
      <c r="OWE149" s="22"/>
      <c r="OWF149" s="22"/>
      <c r="OWG149" s="22"/>
      <c r="OWH149" s="22"/>
      <c r="OWI149" s="22"/>
      <c r="OWJ149" s="22"/>
      <c r="OWK149" s="22"/>
      <c r="OWL149" s="22"/>
      <c r="OWM149" s="22"/>
      <c r="OWN149" s="22"/>
      <c r="OWO149" s="22"/>
      <c r="OWP149" s="22"/>
      <c r="OWQ149" s="22"/>
      <c r="OWR149" s="22"/>
      <c r="OWS149" s="22"/>
      <c r="OWT149" s="22"/>
      <c r="OWU149" s="22"/>
      <c r="OWV149" s="22"/>
      <c r="OWW149" s="22"/>
      <c r="OWX149" s="22"/>
      <c r="OWY149" s="22"/>
      <c r="OWZ149" s="22"/>
      <c r="OXA149" s="22"/>
      <c r="OXB149" s="22"/>
      <c r="OXC149" s="22"/>
      <c r="OXD149" s="22"/>
      <c r="OXE149" s="22"/>
      <c r="OXF149" s="22"/>
      <c r="OXG149" s="22"/>
      <c r="OXH149" s="22"/>
      <c r="OXI149" s="22"/>
      <c r="OXJ149" s="22"/>
      <c r="OXK149" s="22"/>
      <c r="OXL149" s="22"/>
      <c r="OXM149" s="22"/>
      <c r="OXN149" s="22"/>
      <c r="OXO149" s="22"/>
      <c r="OXP149" s="22"/>
      <c r="OXQ149" s="22"/>
      <c r="OXR149" s="22"/>
      <c r="OXS149" s="22"/>
      <c r="OXT149" s="22"/>
      <c r="OXU149" s="22"/>
      <c r="OXV149" s="22"/>
      <c r="OXW149" s="22"/>
      <c r="OXX149" s="22"/>
      <c r="OXY149" s="22"/>
      <c r="OXZ149" s="22"/>
      <c r="OYA149" s="22"/>
      <c r="OYB149" s="22"/>
      <c r="OYC149" s="22"/>
      <c r="OYD149" s="22"/>
      <c r="OYE149" s="22"/>
      <c r="OYF149" s="22"/>
      <c r="OYG149" s="22"/>
      <c r="OYH149" s="22"/>
      <c r="OYI149" s="22"/>
      <c r="OYJ149" s="22"/>
      <c r="OYK149" s="22"/>
      <c r="OYL149" s="22"/>
      <c r="OYM149" s="22"/>
      <c r="OYN149" s="22"/>
      <c r="OYO149" s="22"/>
      <c r="OYP149" s="22"/>
      <c r="OYQ149" s="22"/>
      <c r="OYR149" s="22"/>
      <c r="OYS149" s="22"/>
      <c r="OYT149" s="22"/>
      <c r="OYU149" s="22"/>
      <c r="OYV149" s="22"/>
      <c r="OYW149" s="22"/>
      <c r="OYX149" s="22"/>
      <c r="OYY149" s="22"/>
      <c r="OYZ149" s="22"/>
      <c r="OZA149" s="22"/>
      <c r="OZB149" s="22"/>
      <c r="OZC149" s="22"/>
      <c r="OZD149" s="22"/>
      <c r="OZE149" s="22"/>
      <c r="OZF149" s="22"/>
      <c r="OZG149" s="22"/>
      <c r="OZH149" s="22"/>
      <c r="OZI149" s="22"/>
      <c r="OZJ149" s="22"/>
      <c r="OZK149" s="22"/>
      <c r="OZL149" s="22"/>
      <c r="OZM149" s="22"/>
      <c r="OZN149" s="22"/>
      <c r="OZO149" s="22"/>
      <c r="OZP149" s="22"/>
      <c r="OZQ149" s="22"/>
      <c r="OZR149" s="22"/>
      <c r="OZS149" s="22"/>
      <c r="OZT149" s="22"/>
      <c r="OZU149" s="22"/>
      <c r="OZV149" s="22"/>
      <c r="OZW149" s="22"/>
      <c r="OZX149" s="22"/>
      <c r="OZY149" s="22"/>
      <c r="OZZ149" s="22"/>
      <c r="PAA149" s="22"/>
      <c r="PAB149" s="22"/>
      <c r="PAC149" s="22"/>
      <c r="PAD149" s="22"/>
      <c r="PAE149" s="22"/>
      <c r="PAF149" s="22"/>
      <c r="PAG149" s="22"/>
      <c r="PAH149" s="22"/>
      <c r="PAI149" s="22"/>
      <c r="PAJ149" s="22"/>
      <c r="PAK149" s="22"/>
      <c r="PAL149" s="22"/>
      <c r="PAM149" s="22"/>
      <c r="PAN149" s="22"/>
      <c r="PAO149" s="22"/>
      <c r="PAP149" s="22"/>
      <c r="PAQ149" s="22"/>
      <c r="PAR149" s="22"/>
      <c r="PAS149" s="22"/>
      <c r="PAT149" s="22"/>
      <c r="PAU149" s="22"/>
      <c r="PAV149" s="22"/>
      <c r="PAW149" s="22"/>
      <c r="PAX149" s="22"/>
      <c r="PAY149" s="22"/>
      <c r="PAZ149" s="22"/>
      <c r="PBA149" s="22"/>
      <c r="PBB149" s="22"/>
      <c r="PBC149" s="22"/>
      <c r="PBD149" s="22"/>
      <c r="PBE149" s="22"/>
      <c r="PBF149" s="22"/>
      <c r="PBG149" s="22"/>
      <c r="PBH149" s="22"/>
      <c r="PBI149" s="22"/>
      <c r="PBJ149" s="22"/>
      <c r="PBK149" s="22"/>
      <c r="PBL149" s="22"/>
      <c r="PBM149" s="22"/>
      <c r="PBN149" s="22"/>
      <c r="PBO149" s="22"/>
      <c r="PBP149" s="22"/>
      <c r="PBQ149" s="22"/>
      <c r="PBR149" s="22"/>
      <c r="PBS149" s="22"/>
      <c r="PBT149" s="22"/>
      <c r="PBU149" s="22"/>
      <c r="PBV149" s="22"/>
      <c r="PBW149" s="22"/>
      <c r="PBX149" s="22"/>
      <c r="PBY149" s="22"/>
      <c r="PBZ149" s="22"/>
      <c r="PCA149" s="22"/>
      <c r="PCB149" s="22"/>
      <c r="PCC149" s="22"/>
      <c r="PCD149" s="22"/>
      <c r="PCE149" s="22"/>
      <c r="PCF149" s="22"/>
      <c r="PCG149" s="22"/>
      <c r="PCH149" s="22"/>
      <c r="PCI149" s="22"/>
      <c r="PCJ149" s="22"/>
      <c r="PCK149" s="22"/>
      <c r="PCL149" s="22"/>
      <c r="PCM149" s="22"/>
      <c r="PCN149" s="22"/>
      <c r="PCO149" s="22"/>
      <c r="PCP149" s="22"/>
      <c r="PCQ149" s="22"/>
      <c r="PCR149" s="22"/>
      <c r="PCS149" s="22"/>
      <c r="PCT149" s="22"/>
      <c r="PCU149" s="22"/>
      <c r="PCV149" s="22"/>
      <c r="PCW149" s="22"/>
      <c r="PCX149" s="22"/>
      <c r="PCY149" s="22"/>
      <c r="PCZ149" s="22"/>
      <c r="PDA149" s="22"/>
      <c r="PDB149" s="22"/>
      <c r="PDC149" s="22"/>
      <c r="PDD149" s="22"/>
      <c r="PDE149" s="22"/>
      <c r="PDF149" s="22"/>
      <c r="PDG149" s="22"/>
      <c r="PDH149" s="22"/>
      <c r="PDI149" s="22"/>
      <c r="PDJ149" s="22"/>
      <c r="PDK149" s="22"/>
      <c r="PDL149" s="22"/>
      <c r="PDM149" s="22"/>
      <c r="PDN149" s="22"/>
      <c r="PDO149" s="22"/>
      <c r="PDP149" s="22"/>
      <c r="PDQ149" s="22"/>
      <c r="PDR149" s="22"/>
      <c r="PDS149" s="22"/>
      <c r="PDT149" s="22"/>
      <c r="PDU149" s="22"/>
      <c r="PDV149" s="22"/>
      <c r="PDW149" s="22"/>
      <c r="PDX149" s="22"/>
      <c r="PDY149" s="22"/>
      <c r="PDZ149" s="22"/>
      <c r="PEA149" s="22"/>
      <c r="PEB149" s="22"/>
      <c r="PEC149" s="22"/>
      <c r="PED149" s="22"/>
      <c r="PEE149" s="22"/>
      <c r="PEF149" s="22"/>
      <c r="PEG149" s="22"/>
      <c r="PEH149" s="22"/>
      <c r="PEI149" s="22"/>
      <c r="PEJ149" s="22"/>
      <c r="PEK149" s="22"/>
      <c r="PEL149" s="22"/>
      <c r="PEM149" s="22"/>
      <c r="PEN149" s="22"/>
      <c r="PEO149" s="22"/>
      <c r="PEP149" s="22"/>
      <c r="PEQ149" s="22"/>
      <c r="PER149" s="22"/>
      <c r="PES149" s="22"/>
      <c r="PET149" s="22"/>
      <c r="PEU149" s="22"/>
      <c r="PEV149" s="22"/>
      <c r="PEW149" s="22"/>
      <c r="PEX149" s="22"/>
      <c r="PEY149" s="22"/>
      <c r="PEZ149" s="22"/>
      <c r="PFA149" s="22"/>
      <c r="PFB149" s="22"/>
      <c r="PFC149" s="22"/>
      <c r="PFD149" s="22"/>
      <c r="PFE149" s="22"/>
      <c r="PFF149" s="22"/>
      <c r="PFG149" s="22"/>
      <c r="PFH149" s="22"/>
      <c r="PFI149" s="22"/>
      <c r="PFJ149" s="22"/>
      <c r="PFK149" s="22"/>
      <c r="PFL149" s="22"/>
      <c r="PFM149" s="22"/>
      <c r="PFN149" s="22"/>
      <c r="PFO149" s="22"/>
      <c r="PFP149" s="22"/>
      <c r="PFQ149" s="22"/>
      <c r="PFR149" s="22"/>
      <c r="PFS149" s="22"/>
      <c r="PFT149" s="22"/>
      <c r="PFU149" s="22"/>
      <c r="PFV149" s="22"/>
      <c r="PFW149" s="22"/>
      <c r="PFX149" s="22"/>
      <c r="PFY149" s="22"/>
      <c r="PFZ149" s="22"/>
      <c r="PGA149" s="22"/>
      <c r="PGB149" s="22"/>
      <c r="PGC149" s="22"/>
      <c r="PGD149" s="22"/>
      <c r="PGE149" s="22"/>
      <c r="PGF149" s="22"/>
      <c r="PGG149" s="22"/>
      <c r="PGH149" s="22"/>
      <c r="PGI149" s="22"/>
      <c r="PGJ149" s="22"/>
      <c r="PGK149" s="22"/>
      <c r="PGL149" s="22"/>
      <c r="PGM149" s="22"/>
      <c r="PGN149" s="22"/>
      <c r="PGO149" s="22"/>
      <c r="PGP149" s="22"/>
      <c r="PGQ149" s="22"/>
      <c r="PGR149" s="22"/>
      <c r="PGS149" s="22"/>
      <c r="PGT149" s="22"/>
      <c r="PGU149" s="22"/>
      <c r="PGV149" s="22"/>
      <c r="PGW149" s="22"/>
      <c r="PGX149" s="22"/>
      <c r="PGY149" s="22"/>
      <c r="PGZ149" s="22"/>
      <c r="PHA149" s="22"/>
      <c r="PHB149" s="22"/>
      <c r="PHC149" s="22"/>
      <c r="PHD149" s="22"/>
      <c r="PHE149" s="22"/>
      <c r="PHF149" s="22"/>
      <c r="PHG149" s="22"/>
      <c r="PHH149" s="22"/>
      <c r="PHI149" s="22"/>
      <c r="PHJ149" s="22"/>
      <c r="PHK149" s="22"/>
      <c r="PHL149" s="22"/>
      <c r="PHM149" s="22"/>
      <c r="PHN149" s="22"/>
      <c r="PHO149" s="22"/>
      <c r="PHP149" s="22"/>
      <c r="PHQ149" s="22"/>
      <c r="PHR149" s="22"/>
      <c r="PHS149" s="22"/>
      <c r="PHT149" s="22"/>
      <c r="PHU149" s="22"/>
      <c r="PHV149" s="22"/>
      <c r="PHW149" s="22"/>
      <c r="PHX149" s="22"/>
      <c r="PHY149" s="22"/>
      <c r="PHZ149" s="22"/>
      <c r="PIA149" s="22"/>
      <c r="PIB149" s="22"/>
      <c r="PIC149" s="22"/>
      <c r="PID149" s="22"/>
      <c r="PIE149" s="22"/>
      <c r="PIF149" s="22"/>
      <c r="PIG149" s="22"/>
      <c r="PIH149" s="22"/>
      <c r="PII149" s="22"/>
      <c r="PIJ149" s="22"/>
      <c r="PIK149" s="22"/>
      <c r="PIL149" s="22"/>
      <c r="PIM149" s="22"/>
      <c r="PIN149" s="22"/>
      <c r="PIO149" s="22"/>
      <c r="PIP149" s="22"/>
      <c r="PIQ149" s="22"/>
      <c r="PIR149" s="22"/>
      <c r="PIS149" s="22"/>
      <c r="PIT149" s="22"/>
      <c r="PIU149" s="22"/>
      <c r="PIV149" s="22"/>
      <c r="PIW149" s="22"/>
      <c r="PIX149" s="22"/>
      <c r="PIY149" s="22"/>
      <c r="PIZ149" s="22"/>
      <c r="PJA149" s="22"/>
      <c r="PJB149" s="22"/>
      <c r="PJC149" s="22"/>
      <c r="PJD149" s="22"/>
      <c r="PJE149" s="22"/>
      <c r="PJF149" s="22"/>
      <c r="PJG149" s="22"/>
      <c r="PJH149" s="22"/>
      <c r="PJI149" s="22"/>
      <c r="PJJ149" s="22"/>
      <c r="PJK149" s="22"/>
      <c r="PJL149" s="22"/>
      <c r="PJM149" s="22"/>
      <c r="PJN149" s="22"/>
      <c r="PJO149" s="22"/>
      <c r="PJP149" s="22"/>
      <c r="PJQ149" s="22"/>
      <c r="PJR149" s="22"/>
      <c r="PJS149" s="22"/>
      <c r="PJT149" s="22"/>
      <c r="PJU149" s="22"/>
      <c r="PJV149" s="22"/>
      <c r="PJW149" s="22"/>
      <c r="PJX149" s="22"/>
      <c r="PJY149" s="22"/>
      <c r="PJZ149" s="22"/>
      <c r="PKA149" s="22"/>
      <c r="PKB149" s="22"/>
      <c r="PKC149" s="22"/>
      <c r="PKD149" s="22"/>
      <c r="PKE149" s="22"/>
      <c r="PKF149" s="22"/>
      <c r="PKG149" s="22"/>
      <c r="PKH149" s="22"/>
      <c r="PKI149" s="22"/>
      <c r="PKJ149" s="22"/>
      <c r="PKK149" s="22"/>
      <c r="PKL149" s="22"/>
      <c r="PKM149" s="22"/>
      <c r="PKN149" s="22"/>
      <c r="PKO149" s="22"/>
      <c r="PKP149" s="22"/>
      <c r="PKQ149" s="22"/>
      <c r="PKR149" s="22"/>
      <c r="PKS149" s="22"/>
      <c r="PKT149" s="22"/>
      <c r="PKU149" s="22"/>
      <c r="PKV149" s="22"/>
      <c r="PKW149" s="22"/>
      <c r="PKX149" s="22"/>
      <c r="PKY149" s="22"/>
      <c r="PKZ149" s="22"/>
      <c r="PLA149" s="22"/>
      <c r="PLB149" s="22"/>
      <c r="PLC149" s="22"/>
      <c r="PLD149" s="22"/>
      <c r="PLE149" s="22"/>
      <c r="PLF149" s="22"/>
      <c r="PLG149" s="22"/>
      <c r="PLH149" s="22"/>
      <c r="PLI149" s="22"/>
      <c r="PLJ149" s="22"/>
      <c r="PLK149" s="22"/>
      <c r="PLL149" s="22"/>
      <c r="PLM149" s="22"/>
      <c r="PLN149" s="22"/>
      <c r="PLO149" s="22"/>
      <c r="PLP149" s="22"/>
      <c r="PLQ149" s="22"/>
      <c r="PLR149" s="22"/>
      <c r="PLS149" s="22"/>
      <c r="PLT149" s="22"/>
      <c r="PLU149" s="22"/>
      <c r="PLV149" s="22"/>
      <c r="PLW149" s="22"/>
      <c r="PLX149" s="22"/>
      <c r="PLY149" s="22"/>
      <c r="PLZ149" s="22"/>
      <c r="PMA149" s="22"/>
      <c r="PMB149" s="22"/>
      <c r="PMC149" s="22"/>
      <c r="PMD149" s="22"/>
      <c r="PME149" s="22"/>
      <c r="PMF149" s="22"/>
      <c r="PMG149" s="22"/>
      <c r="PMH149" s="22"/>
      <c r="PMI149" s="22"/>
      <c r="PMJ149" s="22"/>
      <c r="PMK149" s="22"/>
      <c r="PML149" s="22"/>
      <c r="PMM149" s="22"/>
      <c r="PMN149" s="22"/>
      <c r="PMO149" s="22"/>
      <c r="PMP149" s="22"/>
      <c r="PMQ149" s="22"/>
      <c r="PMR149" s="22"/>
      <c r="PMS149" s="22"/>
      <c r="PMT149" s="22"/>
      <c r="PMU149" s="22"/>
      <c r="PMV149" s="22"/>
      <c r="PMW149" s="22"/>
      <c r="PMX149" s="22"/>
      <c r="PMY149" s="22"/>
      <c r="PMZ149" s="22"/>
      <c r="PNA149" s="22"/>
      <c r="PNB149" s="22"/>
      <c r="PNC149" s="22"/>
      <c r="PND149" s="22"/>
      <c r="PNE149" s="22"/>
      <c r="PNF149" s="22"/>
      <c r="PNG149" s="22"/>
      <c r="PNH149" s="22"/>
      <c r="PNI149" s="22"/>
      <c r="PNJ149" s="22"/>
      <c r="PNK149" s="22"/>
      <c r="PNL149" s="22"/>
      <c r="PNM149" s="22"/>
      <c r="PNN149" s="22"/>
      <c r="PNO149" s="22"/>
      <c r="PNP149" s="22"/>
      <c r="PNQ149" s="22"/>
      <c r="PNR149" s="22"/>
      <c r="PNS149" s="22"/>
      <c r="PNT149" s="22"/>
      <c r="PNU149" s="22"/>
      <c r="PNV149" s="22"/>
      <c r="PNW149" s="22"/>
      <c r="PNX149" s="22"/>
      <c r="PNY149" s="22"/>
      <c r="PNZ149" s="22"/>
      <c r="POA149" s="22"/>
      <c r="POB149" s="22"/>
      <c r="POC149" s="22"/>
      <c r="POD149" s="22"/>
      <c r="POE149" s="22"/>
      <c r="POF149" s="22"/>
      <c r="POG149" s="22"/>
      <c r="POH149" s="22"/>
      <c r="POI149" s="22"/>
      <c r="POJ149" s="22"/>
      <c r="POK149" s="22"/>
      <c r="POL149" s="22"/>
      <c r="POM149" s="22"/>
      <c r="PON149" s="22"/>
      <c r="POO149" s="22"/>
      <c r="POP149" s="22"/>
      <c r="POQ149" s="22"/>
      <c r="POR149" s="22"/>
      <c r="POS149" s="22"/>
      <c r="POT149" s="22"/>
      <c r="POU149" s="22"/>
      <c r="POV149" s="22"/>
      <c r="POW149" s="22"/>
      <c r="POX149" s="22"/>
      <c r="POY149" s="22"/>
      <c r="POZ149" s="22"/>
      <c r="PPA149" s="22"/>
      <c r="PPB149" s="22"/>
      <c r="PPC149" s="22"/>
      <c r="PPD149" s="22"/>
      <c r="PPE149" s="22"/>
      <c r="PPF149" s="22"/>
      <c r="PPG149" s="22"/>
      <c r="PPH149" s="22"/>
      <c r="PPI149" s="22"/>
      <c r="PPJ149" s="22"/>
      <c r="PPK149" s="22"/>
      <c r="PPL149" s="22"/>
      <c r="PPM149" s="22"/>
      <c r="PPN149" s="22"/>
      <c r="PPO149" s="22"/>
      <c r="PPP149" s="22"/>
      <c r="PPQ149" s="22"/>
      <c r="PPR149" s="22"/>
      <c r="PPS149" s="22"/>
      <c r="PPT149" s="22"/>
      <c r="PPU149" s="22"/>
      <c r="PPV149" s="22"/>
      <c r="PPW149" s="22"/>
      <c r="PPX149" s="22"/>
      <c r="PPY149" s="22"/>
      <c r="PPZ149" s="22"/>
      <c r="PQA149" s="22"/>
      <c r="PQB149" s="22"/>
      <c r="PQC149" s="22"/>
      <c r="PQD149" s="22"/>
      <c r="PQE149" s="22"/>
      <c r="PQF149" s="22"/>
      <c r="PQG149" s="22"/>
      <c r="PQH149" s="22"/>
      <c r="PQI149" s="22"/>
      <c r="PQJ149" s="22"/>
      <c r="PQK149" s="22"/>
      <c r="PQL149" s="22"/>
      <c r="PQM149" s="22"/>
      <c r="PQN149" s="22"/>
      <c r="PQO149" s="22"/>
      <c r="PQP149" s="22"/>
      <c r="PQQ149" s="22"/>
      <c r="PQR149" s="22"/>
      <c r="PQS149" s="22"/>
      <c r="PQT149" s="22"/>
      <c r="PQU149" s="22"/>
      <c r="PQV149" s="22"/>
      <c r="PQW149" s="22"/>
      <c r="PQX149" s="22"/>
      <c r="PQY149" s="22"/>
      <c r="PQZ149" s="22"/>
      <c r="PRA149" s="22"/>
      <c r="PRB149" s="22"/>
      <c r="PRC149" s="22"/>
      <c r="PRD149" s="22"/>
      <c r="PRE149" s="22"/>
      <c r="PRF149" s="22"/>
      <c r="PRG149" s="22"/>
      <c r="PRH149" s="22"/>
      <c r="PRI149" s="22"/>
      <c r="PRJ149" s="22"/>
      <c r="PRK149" s="22"/>
      <c r="PRL149" s="22"/>
      <c r="PRM149" s="22"/>
      <c r="PRN149" s="22"/>
      <c r="PRO149" s="22"/>
      <c r="PRP149" s="22"/>
      <c r="PRQ149" s="22"/>
      <c r="PRR149" s="22"/>
      <c r="PRS149" s="22"/>
      <c r="PRT149" s="22"/>
      <c r="PRU149" s="22"/>
      <c r="PRV149" s="22"/>
      <c r="PRW149" s="22"/>
      <c r="PRX149" s="22"/>
      <c r="PRY149" s="22"/>
      <c r="PRZ149" s="22"/>
      <c r="PSA149" s="22"/>
      <c r="PSB149" s="22"/>
      <c r="PSC149" s="22"/>
      <c r="PSD149" s="22"/>
      <c r="PSE149" s="22"/>
      <c r="PSF149" s="22"/>
      <c r="PSG149" s="22"/>
      <c r="PSH149" s="22"/>
      <c r="PSI149" s="22"/>
      <c r="PSJ149" s="22"/>
      <c r="PSK149" s="22"/>
      <c r="PSL149" s="22"/>
      <c r="PSM149" s="22"/>
      <c r="PSN149" s="22"/>
      <c r="PSO149" s="22"/>
      <c r="PSP149" s="22"/>
      <c r="PSQ149" s="22"/>
      <c r="PSR149" s="22"/>
      <c r="PSS149" s="22"/>
      <c r="PST149" s="22"/>
      <c r="PSU149" s="22"/>
      <c r="PSV149" s="22"/>
      <c r="PSW149" s="22"/>
      <c r="PSX149" s="22"/>
      <c r="PSY149" s="22"/>
      <c r="PSZ149" s="22"/>
      <c r="PTA149" s="22"/>
      <c r="PTB149" s="22"/>
      <c r="PTC149" s="22"/>
      <c r="PTD149" s="22"/>
      <c r="PTE149" s="22"/>
      <c r="PTF149" s="22"/>
      <c r="PTG149" s="22"/>
      <c r="PTH149" s="22"/>
      <c r="PTI149" s="22"/>
      <c r="PTJ149" s="22"/>
      <c r="PTK149" s="22"/>
      <c r="PTL149" s="22"/>
      <c r="PTM149" s="22"/>
      <c r="PTN149" s="22"/>
      <c r="PTO149" s="22"/>
      <c r="PTP149" s="22"/>
      <c r="PTQ149" s="22"/>
      <c r="PTR149" s="22"/>
      <c r="PTS149" s="22"/>
      <c r="PTT149" s="22"/>
      <c r="PTU149" s="22"/>
      <c r="PTV149" s="22"/>
      <c r="PTW149" s="22"/>
      <c r="PTX149" s="22"/>
      <c r="PTY149" s="22"/>
      <c r="PTZ149" s="22"/>
      <c r="PUA149" s="22"/>
      <c r="PUB149" s="22"/>
      <c r="PUC149" s="22"/>
      <c r="PUD149" s="22"/>
      <c r="PUE149" s="22"/>
      <c r="PUF149" s="22"/>
      <c r="PUG149" s="22"/>
      <c r="PUH149" s="22"/>
      <c r="PUI149" s="22"/>
      <c r="PUJ149" s="22"/>
      <c r="PUK149" s="22"/>
      <c r="PUL149" s="22"/>
      <c r="PUM149" s="22"/>
      <c r="PUN149" s="22"/>
      <c r="PUO149" s="22"/>
      <c r="PUP149" s="22"/>
      <c r="PUQ149" s="22"/>
      <c r="PUR149" s="22"/>
      <c r="PUS149" s="22"/>
      <c r="PUT149" s="22"/>
      <c r="PUU149" s="22"/>
      <c r="PUV149" s="22"/>
      <c r="PUW149" s="22"/>
      <c r="PUX149" s="22"/>
      <c r="PUY149" s="22"/>
      <c r="PUZ149" s="22"/>
      <c r="PVA149" s="22"/>
      <c r="PVB149" s="22"/>
      <c r="PVC149" s="22"/>
      <c r="PVD149" s="22"/>
      <c r="PVE149" s="22"/>
      <c r="PVF149" s="22"/>
      <c r="PVG149" s="22"/>
      <c r="PVH149" s="22"/>
      <c r="PVI149" s="22"/>
      <c r="PVJ149" s="22"/>
      <c r="PVK149" s="22"/>
      <c r="PVL149" s="22"/>
      <c r="PVM149" s="22"/>
      <c r="PVN149" s="22"/>
      <c r="PVO149" s="22"/>
      <c r="PVP149" s="22"/>
      <c r="PVQ149" s="22"/>
      <c r="PVR149" s="22"/>
      <c r="PVS149" s="22"/>
      <c r="PVT149" s="22"/>
      <c r="PVU149" s="22"/>
      <c r="PVV149" s="22"/>
      <c r="PVW149" s="22"/>
      <c r="PVX149" s="22"/>
      <c r="PVY149" s="22"/>
      <c r="PVZ149" s="22"/>
      <c r="PWA149" s="22"/>
      <c r="PWB149" s="22"/>
      <c r="PWC149" s="22"/>
      <c r="PWD149" s="22"/>
      <c r="PWE149" s="22"/>
      <c r="PWF149" s="22"/>
      <c r="PWG149" s="22"/>
      <c r="PWH149" s="22"/>
      <c r="PWI149" s="22"/>
      <c r="PWJ149" s="22"/>
      <c r="PWK149" s="22"/>
      <c r="PWL149" s="22"/>
      <c r="PWM149" s="22"/>
      <c r="PWN149" s="22"/>
      <c r="PWO149" s="22"/>
      <c r="PWP149" s="22"/>
      <c r="PWQ149" s="22"/>
      <c r="PWR149" s="22"/>
      <c r="PWS149" s="22"/>
      <c r="PWT149" s="22"/>
      <c r="PWU149" s="22"/>
      <c r="PWV149" s="22"/>
      <c r="PWW149" s="22"/>
      <c r="PWX149" s="22"/>
      <c r="PWY149" s="22"/>
      <c r="PWZ149" s="22"/>
      <c r="PXA149" s="22"/>
      <c r="PXB149" s="22"/>
      <c r="PXC149" s="22"/>
      <c r="PXD149" s="22"/>
      <c r="PXE149" s="22"/>
      <c r="PXF149" s="22"/>
      <c r="PXG149" s="22"/>
      <c r="PXH149" s="22"/>
      <c r="PXI149" s="22"/>
      <c r="PXJ149" s="22"/>
      <c r="PXK149" s="22"/>
      <c r="PXL149" s="22"/>
      <c r="PXM149" s="22"/>
      <c r="PXN149" s="22"/>
      <c r="PXO149" s="22"/>
      <c r="PXP149" s="22"/>
      <c r="PXQ149" s="22"/>
      <c r="PXR149" s="22"/>
      <c r="PXS149" s="22"/>
      <c r="PXT149" s="22"/>
      <c r="PXU149" s="22"/>
      <c r="PXV149" s="22"/>
      <c r="PXW149" s="22"/>
      <c r="PXX149" s="22"/>
      <c r="PXY149" s="22"/>
      <c r="PXZ149" s="22"/>
      <c r="PYA149" s="22"/>
      <c r="PYB149" s="22"/>
      <c r="PYC149" s="22"/>
      <c r="PYD149" s="22"/>
      <c r="PYE149" s="22"/>
      <c r="PYF149" s="22"/>
      <c r="PYG149" s="22"/>
      <c r="PYH149" s="22"/>
      <c r="PYI149" s="22"/>
      <c r="PYJ149" s="22"/>
      <c r="PYK149" s="22"/>
      <c r="PYL149" s="22"/>
      <c r="PYM149" s="22"/>
      <c r="PYN149" s="22"/>
      <c r="PYO149" s="22"/>
      <c r="PYP149" s="22"/>
      <c r="PYQ149" s="22"/>
      <c r="PYR149" s="22"/>
      <c r="PYS149" s="22"/>
      <c r="PYT149" s="22"/>
      <c r="PYU149" s="22"/>
      <c r="PYV149" s="22"/>
      <c r="PYW149" s="22"/>
      <c r="PYX149" s="22"/>
      <c r="PYY149" s="22"/>
      <c r="PYZ149" s="22"/>
      <c r="PZA149" s="22"/>
      <c r="PZB149" s="22"/>
      <c r="PZC149" s="22"/>
      <c r="PZD149" s="22"/>
      <c r="PZE149" s="22"/>
      <c r="PZF149" s="22"/>
      <c r="PZG149" s="22"/>
      <c r="PZH149" s="22"/>
      <c r="PZI149" s="22"/>
      <c r="PZJ149" s="22"/>
      <c r="PZK149" s="22"/>
      <c r="PZL149" s="22"/>
      <c r="PZM149" s="22"/>
      <c r="PZN149" s="22"/>
      <c r="PZO149" s="22"/>
      <c r="PZP149" s="22"/>
      <c r="PZQ149" s="22"/>
      <c r="PZR149" s="22"/>
      <c r="PZS149" s="22"/>
      <c r="PZT149" s="22"/>
      <c r="PZU149" s="22"/>
      <c r="PZV149" s="22"/>
      <c r="PZW149" s="22"/>
      <c r="PZX149" s="22"/>
      <c r="PZY149" s="22"/>
      <c r="PZZ149" s="22"/>
      <c r="QAA149" s="22"/>
      <c r="QAB149" s="22"/>
      <c r="QAC149" s="22"/>
      <c r="QAD149" s="22"/>
      <c r="QAE149" s="22"/>
      <c r="QAF149" s="22"/>
      <c r="QAG149" s="22"/>
      <c r="QAH149" s="22"/>
      <c r="QAI149" s="22"/>
      <c r="QAJ149" s="22"/>
      <c r="QAK149" s="22"/>
      <c r="QAL149" s="22"/>
      <c r="QAM149" s="22"/>
      <c r="QAN149" s="22"/>
      <c r="QAO149" s="22"/>
      <c r="QAP149" s="22"/>
      <c r="QAQ149" s="22"/>
      <c r="QAR149" s="22"/>
      <c r="QAS149" s="22"/>
      <c r="QAT149" s="22"/>
      <c r="QAU149" s="22"/>
      <c r="QAV149" s="22"/>
      <c r="QAW149" s="22"/>
      <c r="QAX149" s="22"/>
      <c r="QAY149" s="22"/>
      <c r="QAZ149" s="22"/>
      <c r="QBA149" s="22"/>
      <c r="QBB149" s="22"/>
      <c r="QBC149" s="22"/>
      <c r="QBD149" s="22"/>
      <c r="QBE149" s="22"/>
      <c r="QBF149" s="22"/>
      <c r="QBG149" s="22"/>
      <c r="QBH149" s="22"/>
      <c r="QBI149" s="22"/>
      <c r="QBJ149" s="22"/>
      <c r="QBK149" s="22"/>
      <c r="QBL149" s="22"/>
      <c r="QBM149" s="22"/>
      <c r="QBN149" s="22"/>
      <c r="QBO149" s="22"/>
      <c r="QBP149" s="22"/>
      <c r="QBQ149" s="22"/>
      <c r="QBR149" s="22"/>
      <c r="QBS149" s="22"/>
      <c r="QBT149" s="22"/>
      <c r="QBU149" s="22"/>
      <c r="QBV149" s="22"/>
      <c r="QBW149" s="22"/>
      <c r="QBX149" s="22"/>
      <c r="QBY149" s="22"/>
      <c r="QBZ149" s="22"/>
      <c r="QCA149" s="22"/>
      <c r="QCB149" s="22"/>
      <c r="QCC149" s="22"/>
      <c r="QCD149" s="22"/>
      <c r="QCE149" s="22"/>
      <c r="QCF149" s="22"/>
      <c r="QCG149" s="22"/>
      <c r="QCH149" s="22"/>
      <c r="QCI149" s="22"/>
      <c r="QCJ149" s="22"/>
      <c r="QCK149" s="22"/>
      <c r="QCL149" s="22"/>
      <c r="QCM149" s="22"/>
      <c r="QCN149" s="22"/>
      <c r="QCO149" s="22"/>
      <c r="QCP149" s="22"/>
      <c r="QCQ149" s="22"/>
      <c r="QCR149" s="22"/>
      <c r="QCS149" s="22"/>
      <c r="QCT149" s="22"/>
      <c r="QCU149" s="22"/>
      <c r="QCV149" s="22"/>
      <c r="QCW149" s="22"/>
      <c r="QCX149" s="22"/>
      <c r="QCY149" s="22"/>
      <c r="QCZ149" s="22"/>
      <c r="QDA149" s="22"/>
      <c r="QDB149" s="22"/>
      <c r="QDC149" s="22"/>
      <c r="QDD149" s="22"/>
      <c r="QDE149" s="22"/>
      <c r="QDF149" s="22"/>
      <c r="QDG149" s="22"/>
      <c r="QDH149" s="22"/>
      <c r="QDI149" s="22"/>
      <c r="QDJ149" s="22"/>
      <c r="QDK149" s="22"/>
      <c r="QDL149" s="22"/>
      <c r="QDM149" s="22"/>
      <c r="QDN149" s="22"/>
      <c r="QDO149" s="22"/>
      <c r="QDP149" s="22"/>
      <c r="QDQ149" s="22"/>
      <c r="QDR149" s="22"/>
      <c r="QDS149" s="22"/>
      <c r="QDT149" s="22"/>
      <c r="QDU149" s="22"/>
      <c r="QDV149" s="22"/>
      <c r="QDW149" s="22"/>
      <c r="QDX149" s="22"/>
      <c r="QDY149" s="22"/>
      <c r="QDZ149" s="22"/>
      <c r="QEA149" s="22"/>
      <c r="QEB149" s="22"/>
      <c r="QEC149" s="22"/>
      <c r="QED149" s="22"/>
      <c r="QEE149" s="22"/>
      <c r="QEF149" s="22"/>
      <c r="QEG149" s="22"/>
      <c r="QEH149" s="22"/>
      <c r="QEI149" s="22"/>
      <c r="QEJ149" s="22"/>
      <c r="QEK149" s="22"/>
      <c r="QEL149" s="22"/>
      <c r="QEM149" s="22"/>
      <c r="QEN149" s="22"/>
      <c r="QEO149" s="22"/>
      <c r="QEP149" s="22"/>
      <c r="QEQ149" s="22"/>
      <c r="QER149" s="22"/>
      <c r="QES149" s="22"/>
      <c r="QET149" s="22"/>
      <c r="QEU149" s="22"/>
      <c r="QEV149" s="22"/>
      <c r="QEW149" s="22"/>
      <c r="QEX149" s="22"/>
      <c r="QEY149" s="22"/>
      <c r="QEZ149" s="22"/>
      <c r="QFA149" s="22"/>
      <c r="QFB149" s="22"/>
      <c r="QFC149" s="22"/>
      <c r="QFD149" s="22"/>
      <c r="QFE149" s="22"/>
      <c r="QFF149" s="22"/>
      <c r="QFG149" s="22"/>
      <c r="QFH149" s="22"/>
      <c r="QFI149" s="22"/>
      <c r="QFJ149" s="22"/>
      <c r="QFK149" s="22"/>
      <c r="QFL149" s="22"/>
      <c r="QFM149" s="22"/>
      <c r="QFN149" s="22"/>
      <c r="QFO149" s="22"/>
      <c r="QFP149" s="22"/>
      <c r="QFQ149" s="22"/>
      <c r="QFR149" s="22"/>
      <c r="QFS149" s="22"/>
      <c r="QFT149" s="22"/>
      <c r="QFU149" s="22"/>
      <c r="QFV149" s="22"/>
      <c r="QFW149" s="22"/>
      <c r="QFX149" s="22"/>
      <c r="QFY149" s="22"/>
      <c r="QFZ149" s="22"/>
      <c r="QGA149" s="22"/>
      <c r="QGB149" s="22"/>
      <c r="QGC149" s="22"/>
      <c r="QGD149" s="22"/>
      <c r="QGE149" s="22"/>
      <c r="QGF149" s="22"/>
      <c r="QGG149" s="22"/>
      <c r="QGH149" s="22"/>
      <c r="QGI149" s="22"/>
      <c r="QGJ149" s="22"/>
      <c r="QGK149" s="22"/>
      <c r="QGL149" s="22"/>
      <c r="QGM149" s="22"/>
      <c r="QGN149" s="22"/>
      <c r="QGO149" s="22"/>
      <c r="QGP149" s="22"/>
      <c r="QGQ149" s="22"/>
      <c r="QGR149" s="22"/>
      <c r="QGS149" s="22"/>
      <c r="QGT149" s="22"/>
      <c r="QGU149" s="22"/>
      <c r="QGV149" s="22"/>
      <c r="QGW149" s="22"/>
      <c r="QGX149" s="22"/>
      <c r="QGY149" s="22"/>
      <c r="QGZ149" s="22"/>
      <c r="QHA149" s="22"/>
      <c r="QHB149" s="22"/>
      <c r="QHC149" s="22"/>
      <c r="QHD149" s="22"/>
      <c r="QHE149" s="22"/>
      <c r="QHF149" s="22"/>
      <c r="QHG149" s="22"/>
      <c r="QHH149" s="22"/>
      <c r="QHI149" s="22"/>
      <c r="QHJ149" s="22"/>
      <c r="QHK149" s="22"/>
      <c r="QHL149" s="22"/>
      <c r="QHM149" s="22"/>
      <c r="QHN149" s="22"/>
      <c r="QHO149" s="22"/>
      <c r="QHP149" s="22"/>
      <c r="QHQ149" s="22"/>
      <c r="QHR149" s="22"/>
      <c r="QHS149" s="22"/>
      <c r="QHT149" s="22"/>
      <c r="QHU149" s="22"/>
      <c r="QHV149" s="22"/>
      <c r="QHW149" s="22"/>
      <c r="QHX149" s="22"/>
      <c r="QHY149" s="22"/>
      <c r="QHZ149" s="22"/>
      <c r="QIA149" s="22"/>
      <c r="QIB149" s="22"/>
      <c r="QIC149" s="22"/>
      <c r="QID149" s="22"/>
      <c r="QIE149" s="22"/>
      <c r="QIF149" s="22"/>
      <c r="QIG149" s="22"/>
      <c r="QIH149" s="22"/>
      <c r="QII149" s="22"/>
      <c r="QIJ149" s="22"/>
      <c r="QIK149" s="22"/>
      <c r="QIL149" s="22"/>
      <c r="QIM149" s="22"/>
      <c r="QIN149" s="22"/>
      <c r="QIO149" s="22"/>
      <c r="QIP149" s="22"/>
      <c r="QIQ149" s="22"/>
      <c r="QIR149" s="22"/>
      <c r="QIS149" s="22"/>
      <c r="QIT149" s="22"/>
      <c r="QIU149" s="22"/>
      <c r="QIV149" s="22"/>
      <c r="QIW149" s="22"/>
      <c r="QIX149" s="22"/>
      <c r="QIY149" s="22"/>
      <c r="QIZ149" s="22"/>
      <c r="QJA149" s="22"/>
      <c r="QJB149" s="22"/>
      <c r="QJC149" s="22"/>
      <c r="QJD149" s="22"/>
      <c r="QJE149" s="22"/>
      <c r="QJF149" s="22"/>
      <c r="QJG149" s="22"/>
      <c r="QJH149" s="22"/>
      <c r="QJI149" s="22"/>
      <c r="QJJ149" s="22"/>
      <c r="QJK149" s="22"/>
      <c r="QJL149" s="22"/>
      <c r="QJM149" s="22"/>
      <c r="QJN149" s="22"/>
      <c r="QJO149" s="22"/>
      <c r="QJP149" s="22"/>
      <c r="QJQ149" s="22"/>
      <c r="QJR149" s="22"/>
      <c r="QJS149" s="22"/>
      <c r="QJT149" s="22"/>
      <c r="QJU149" s="22"/>
      <c r="QJV149" s="22"/>
      <c r="QJW149" s="22"/>
      <c r="QJX149" s="22"/>
      <c r="QJY149" s="22"/>
      <c r="QJZ149" s="22"/>
      <c r="QKA149" s="22"/>
      <c r="QKB149" s="22"/>
      <c r="QKC149" s="22"/>
      <c r="QKD149" s="22"/>
      <c r="QKE149" s="22"/>
      <c r="QKF149" s="22"/>
      <c r="QKG149" s="22"/>
      <c r="QKH149" s="22"/>
      <c r="QKI149" s="22"/>
      <c r="QKJ149" s="22"/>
      <c r="QKK149" s="22"/>
      <c r="QKL149" s="22"/>
      <c r="QKM149" s="22"/>
      <c r="QKN149" s="22"/>
      <c r="QKO149" s="22"/>
      <c r="QKP149" s="22"/>
      <c r="QKQ149" s="22"/>
      <c r="QKR149" s="22"/>
      <c r="QKS149" s="22"/>
      <c r="QKT149" s="22"/>
      <c r="QKU149" s="22"/>
      <c r="QKV149" s="22"/>
      <c r="QKW149" s="22"/>
      <c r="QKX149" s="22"/>
      <c r="QKY149" s="22"/>
      <c r="QKZ149" s="22"/>
      <c r="QLA149" s="22"/>
      <c r="QLB149" s="22"/>
      <c r="QLC149" s="22"/>
      <c r="QLD149" s="22"/>
      <c r="QLE149" s="22"/>
      <c r="QLF149" s="22"/>
      <c r="QLG149" s="22"/>
      <c r="QLH149" s="22"/>
      <c r="QLI149" s="22"/>
      <c r="QLJ149" s="22"/>
      <c r="QLK149" s="22"/>
      <c r="QLL149" s="22"/>
      <c r="QLM149" s="22"/>
      <c r="QLN149" s="22"/>
      <c r="QLO149" s="22"/>
      <c r="QLP149" s="22"/>
      <c r="QLQ149" s="22"/>
      <c r="QLR149" s="22"/>
      <c r="QLS149" s="22"/>
      <c r="QLT149" s="22"/>
      <c r="QLU149" s="22"/>
      <c r="QLV149" s="22"/>
      <c r="QLW149" s="22"/>
      <c r="QLX149" s="22"/>
      <c r="QLY149" s="22"/>
      <c r="QLZ149" s="22"/>
      <c r="QMA149" s="22"/>
      <c r="QMB149" s="22"/>
      <c r="QMC149" s="22"/>
      <c r="QMD149" s="22"/>
      <c r="QME149" s="22"/>
      <c r="QMF149" s="22"/>
      <c r="QMG149" s="22"/>
      <c r="QMH149" s="22"/>
      <c r="QMI149" s="22"/>
      <c r="QMJ149" s="22"/>
      <c r="QMK149" s="22"/>
      <c r="QML149" s="22"/>
      <c r="QMM149" s="22"/>
      <c r="QMN149" s="22"/>
      <c r="QMO149" s="22"/>
      <c r="QMP149" s="22"/>
      <c r="QMQ149" s="22"/>
      <c r="QMR149" s="22"/>
      <c r="QMS149" s="22"/>
      <c r="QMT149" s="22"/>
      <c r="QMU149" s="22"/>
      <c r="QMV149" s="22"/>
      <c r="QMW149" s="22"/>
      <c r="QMX149" s="22"/>
      <c r="QMY149" s="22"/>
      <c r="QMZ149" s="22"/>
      <c r="QNA149" s="22"/>
      <c r="QNB149" s="22"/>
      <c r="QNC149" s="22"/>
      <c r="QND149" s="22"/>
      <c r="QNE149" s="22"/>
      <c r="QNF149" s="22"/>
      <c r="QNG149" s="22"/>
      <c r="QNH149" s="22"/>
      <c r="QNI149" s="22"/>
      <c r="QNJ149" s="22"/>
      <c r="QNK149" s="22"/>
      <c r="QNL149" s="22"/>
      <c r="QNM149" s="22"/>
      <c r="QNN149" s="22"/>
      <c r="QNO149" s="22"/>
      <c r="QNP149" s="22"/>
      <c r="QNQ149" s="22"/>
      <c r="QNR149" s="22"/>
      <c r="QNS149" s="22"/>
      <c r="QNT149" s="22"/>
      <c r="QNU149" s="22"/>
      <c r="QNV149" s="22"/>
      <c r="QNW149" s="22"/>
      <c r="QNX149" s="22"/>
      <c r="QNY149" s="22"/>
      <c r="QNZ149" s="22"/>
      <c r="QOA149" s="22"/>
      <c r="QOB149" s="22"/>
      <c r="QOC149" s="22"/>
      <c r="QOD149" s="22"/>
      <c r="QOE149" s="22"/>
      <c r="QOF149" s="22"/>
      <c r="QOG149" s="22"/>
      <c r="QOH149" s="22"/>
      <c r="QOI149" s="22"/>
      <c r="QOJ149" s="22"/>
      <c r="QOK149" s="22"/>
      <c r="QOL149" s="22"/>
      <c r="QOM149" s="22"/>
      <c r="QON149" s="22"/>
      <c r="QOO149" s="22"/>
      <c r="QOP149" s="22"/>
      <c r="QOQ149" s="22"/>
      <c r="QOR149" s="22"/>
      <c r="QOS149" s="22"/>
      <c r="QOT149" s="22"/>
      <c r="QOU149" s="22"/>
      <c r="QOV149" s="22"/>
      <c r="QOW149" s="22"/>
      <c r="QOX149" s="22"/>
      <c r="QOY149" s="22"/>
      <c r="QOZ149" s="22"/>
      <c r="QPA149" s="22"/>
      <c r="QPB149" s="22"/>
      <c r="QPC149" s="22"/>
      <c r="QPD149" s="22"/>
      <c r="QPE149" s="22"/>
      <c r="QPF149" s="22"/>
      <c r="QPG149" s="22"/>
      <c r="QPH149" s="22"/>
      <c r="QPI149" s="22"/>
      <c r="QPJ149" s="22"/>
      <c r="QPK149" s="22"/>
      <c r="QPL149" s="22"/>
      <c r="QPM149" s="22"/>
      <c r="QPN149" s="22"/>
      <c r="QPO149" s="22"/>
      <c r="QPP149" s="22"/>
      <c r="QPQ149" s="22"/>
      <c r="QPR149" s="22"/>
      <c r="QPS149" s="22"/>
      <c r="QPT149" s="22"/>
      <c r="QPU149" s="22"/>
      <c r="QPV149" s="22"/>
      <c r="QPW149" s="22"/>
      <c r="QPX149" s="22"/>
      <c r="QPY149" s="22"/>
      <c r="QPZ149" s="22"/>
      <c r="QQA149" s="22"/>
      <c r="QQB149" s="22"/>
      <c r="QQC149" s="22"/>
      <c r="QQD149" s="22"/>
      <c r="QQE149" s="22"/>
      <c r="QQF149" s="22"/>
      <c r="QQG149" s="22"/>
      <c r="QQH149" s="22"/>
      <c r="QQI149" s="22"/>
      <c r="QQJ149" s="22"/>
      <c r="QQK149" s="22"/>
      <c r="QQL149" s="22"/>
      <c r="QQM149" s="22"/>
      <c r="QQN149" s="22"/>
      <c r="QQO149" s="22"/>
      <c r="QQP149" s="22"/>
      <c r="QQQ149" s="22"/>
      <c r="QQR149" s="22"/>
      <c r="QQS149" s="22"/>
      <c r="QQT149" s="22"/>
      <c r="QQU149" s="22"/>
      <c r="QQV149" s="22"/>
      <c r="QQW149" s="22"/>
      <c r="QQX149" s="22"/>
      <c r="QQY149" s="22"/>
      <c r="QQZ149" s="22"/>
      <c r="QRA149" s="22"/>
      <c r="QRB149" s="22"/>
      <c r="QRC149" s="22"/>
      <c r="QRD149" s="22"/>
      <c r="QRE149" s="22"/>
      <c r="QRF149" s="22"/>
      <c r="QRG149" s="22"/>
      <c r="QRH149" s="22"/>
      <c r="QRI149" s="22"/>
      <c r="QRJ149" s="22"/>
      <c r="QRK149" s="22"/>
      <c r="QRL149" s="22"/>
      <c r="QRM149" s="22"/>
      <c r="QRN149" s="22"/>
      <c r="QRO149" s="22"/>
      <c r="QRP149" s="22"/>
      <c r="QRQ149" s="22"/>
      <c r="QRR149" s="22"/>
      <c r="QRS149" s="22"/>
      <c r="QRT149" s="22"/>
      <c r="QRU149" s="22"/>
      <c r="QRV149" s="22"/>
      <c r="QRW149" s="22"/>
      <c r="QRX149" s="22"/>
      <c r="QRY149" s="22"/>
      <c r="QRZ149" s="22"/>
      <c r="QSA149" s="22"/>
      <c r="QSB149" s="22"/>
      <c r="QSC149" s="22"/>
      <c r="QSD149" s="22"/>
      <c r="QSE149" s="22"/>
      <c r="QSF149" s="22"/>
      <c r="QSG149" s="22"/>
      <c r="QSH149" s="22"/>
      <c r="QSI149" s="22"/>
      <c r="QSJ149" s="22"/>
      <c r="QSK149" s="22"/>
      <c r="QSL149" s="22"/>
      <c r="QSM149" s="22"/>
      <c r="QSN149" s="22"/>
      <c r="QSO149" s="22"/>
      <c r="QSP149" s="22"/>
      <c r="QSQ149" s="22"/>
      <c r="QSR149" s="22"/>
      <c r="QSS149" s="22"/>
      <c r="QST149" s="22"/>
      <c r="QSU149" s="22"/>
      <c r="QSV149" s="22"/>
      <c r="QSW149" s="22"/>
      <c r="QSX149" s="22"/>
      <c r="QSY149" s="22"/>
      <c r="QSZ149" s="22"/>
      <c r="QTA149" s="22"/>
      <c r="QTB149" s="22"/>
      <c r="QTC149" s="22"/>
      <c r="QTD149" s="22"/>
      <c r="QTE149" s="22"/>
      <c r="QTF149" s="22"/>
      <c r="QTG149" s="22"/>
      <c r="QTH149" s="22"/>
      <c r="QTI149" s="22"/>
      <c r="QTJ149" s="22"/>
      <c r="QTK149" s="22"/>
      <c r="QTL149" s="22"/>
      <c r="QTM149" s="22"/>
      <c r="QTN149" s="22"/>
      <c r="QTO149" s="22"/>
      <c r="QTP149" s="22"/>
      <c r="QTQ149" s="22"/>
      <c r="QTR149" s="22"/>
      <c r="QTS149" s="22"/>
      <c r="QTT149" s="22"/>
      <c r="QTU149" s="22"/>
      <c r="QTV149" s="22"/>
      <c r="QTW149" s="22"/>
      <c r="QTX149" s="22"/>
      <c r="QTY149" s="22"/>
      <c r="QTZ149" s="22"/>
      <c r="QUA149" s="22"/>
      <c r="QUB149" s="22"/>
      <c r="QUC149" s="22"/>
      <c r="QUD149" s="22"/>
      <c r="QUE149" s="22"/>
      <c r="QUF149" s="22"/>
      <c r="QUG149" s="22"/>
      <c r="QUH149" s="22"/>
      <c r="QUI149" s="22"/>
      <c r="QUJ149" s="22"/>
      <c r="QUK149" s="22"/>
      <c r="QUL149" s="22"/>
      <c r="QUM149" s="22"/>
      <c r="QUN149" s="22"/>
      <c r="QUO149" s="22"/>
      <c r="QUP149" s="22"/>
      <c r="QUQ149" s="22"/>
      <c r="QUR149" s="22"/>
      <c r="QUS149" s="22"/>
      <c r="QUT149" s="22"/>
      <c r="QUU149" s="22"/>
      <c r="QUV149" s="22"/>
      <c r="QUW149" s="22"/>
      <c r="QUX149" s="22"/>
      <c r="QUY149" s="22"/>
      <c r="QUZ149" s="22"/>
      <c r="QVA149" s="22"/>
      <c r="QVB149" s="22"/>
      <c r="QVC149" s="22"/>
      <c r="QVD149" s="22"/>
      <c r="QVE149" s="22"/>
      <c r="QVF149" s="22"/>
      <c r="QVG149" s="22"/>
      <c r="QVH149" s="22"/>
      <c r="QVI149" s="22"/>
      <c r="QVJ149" s="22"/>
      <c r="QVK149" s="22"/>
      <c r="QVL149" s="22"/>
      <c r="QVM149" s="22"/>
      <c r="QVN149" s="22"/>
      <c r="QVO149" s="22"/>
      <c r="QVP149" s="22"/>
      <c r="QVQ149" s="22"/>
      <c r="QVR149" s="22"/>
      <c r="QVS149" s="22"/>
      <c r="QVT149" s="22"/>
      <c r="QVU149" s="22"/>
      <c r="QVV149" s="22"/>
      <c r="QVW149" s="22"/>
      <c r="QVX149" s="22"/>
      <c r="QVY149" s="22"/>
      <c r="QVZ149" s="22"/>
      <c r="QWA149" s="22"/>
      <c r="QWB149" s="22"/>
      <c r="QWC149" s="22"/>
      <c r="QWD149" s="22"/>
      <c r="QWE149" s="22"/>
      <c r="QWF149" s="22"/>
      <c r="QWG149" s="22"/>
      <c r="QWH149" s="22"/>
      <c r="QWI149" s="22"/>
      <c r="QWJ149" s="22"/>
      <c r="QWK149" s="22"/>
      <c r="QWL149" s="22"/>
      <c r="QWM149" s="22"/>
      <c r="QWN149" s="22"/>
      <c r="QWO149" s="22"/>
      <c r="QWP149" s="22"/>
      <c r="QWQ149" s="22"/>
      <c r="QWR149" s="22"/>
      <c r="QWS149" s="22"/>
      <c r="QWT149" s="22"/>
      <c r="QWU149" s="22"/>
      <c r="QWV149" s="22"/>
      <c r="QWW149" s="22"/>
      <c r="QWX149" s="22"/>
      <c r="QWY149" s="22"/>
      <c r="QWZ149" s="22"/>
      <c r="QXA149" s="22"/>
      <c r="QXB149" s="22"/>
      <c r="QXC149" s="22"/>
      <c r="QXD149" s="22"/>
      <c r="QXE149" s="22"/>
      <c r="QXF149" s="22"/>
      <c r="QXG149" s="22"/>
      <c r="QXH149" s="22"/>
      <c r="QXI149" s="22"/>
      <c r="QXJ149" s="22"/>
      <c r="QXK149" s="22"/>
      <c r="QXL149" s="22"/>
      <c r="QXM149" s="22"/>
      <c r="QXN149" s="22"/>
      <c r="QXO149" s="22"/>
      <c r="QXP149" s="22"/>
      <c r="QXQ149" s="22"/>
      <c r="QXR149" s="22"/>
      <c r="QXS149" s="22"/>
      <c r="QXT149" s="22"/>
      <c r="QXU149" s="22"/>
      <c r="QXV149" s="22"/>
      <c r="QXW149" s="22"/>
      <c r="QXX149" s="22"/>
      <c r="QXY149" s="22"/>
      <c r="QXZ149" s="22"/>
      <c r="QYA149" s="22"/>
      <c r="QYB149" s="22"/>
      <c r="QYC149" s="22"/>
      <c r="QYD149" s="22"/>
      <c r="QYE149" s="22"/>
      <c r="QYF149" s="22"/>
      <c r="QYG149" s="22"/>
      <c r="QYH149" s="22"/>
      <c r="QYI149" s="22"/>
      <c r="QYJ149" s="22"/>
      <c r="QYK149" s="22"/>
      <c r="QYL149" s="22"/>
      <c r="QYM149" s="22"/>
      <c r="QYN149" s="22"/>
      <c r="QYO149" s="22"/>
      <c r="QYP149" s="22"/>
      <c r="QYQ149" s="22"/>
      <c r="QYR149" s="22"/>
      <c r="QYS149" s="22"/>
      <c r="QYT149" s="22"/>
      <c r="QYU149" s="22"/>
      <c r="QYV149" s="22"/>
      <c r="QYW149" s="22"/>
      <c r="QYX149" s="22"/>
      <c r="QYY149" s="22"/>
      <c r="QYZ149" s="22"/>
      <c r="QZA149" s="22"/>
      <c r="QZB149" s="22"/>
      <c r="QZC149" s="22"/>
      <c r="QZD149" s="22"/>
      <c r="QZE149" s="22"/>
      <c r="QZF149" s="22"/>
      <c r="QZG149" s="22"/>
      <c r="QZH149" s="22"/>
      <c r="QZI149" s="22"/>
      <c r="QZJ149" s="22"/>
      <c r="QZK149" s="22"/>
      <c r="QZL149" s="22"/>
      <c r="QZM149" s="22"/>
      <c r="QZN149" s="22"/>
      <c r="QZO149" s="22"/>
      <c r="QZP149" s="22"/>
      <c r="QZQ149" s="22"/>
      <c r="QZR149" s="22"/>
      <c r="QZS149" s="22"/>
      <c r="QZT149" s="22"/>
      <c r="QZU149" s="22"/>
      <c r="QZV149" s="22"/>
      <c r="QZW149" s="22"/>
      <c r="QZX149" s="22"/>
      <c r="QZY149" s="22"/>
      <c r="QZZ149" s="22"/>
      <c r="RAA149" s="22"/>
      <c r="RAB149" s="22"/>
      <c r="RAC149" s="22"/>
      <c r="RAD149" s="22"/>
      <c r="RAE149" s="22"/>
      <c r="RAF149" s="22"/>
      <c r="RAG149" s="22"/>
      <c r="RAH149" s="22"/>
      <c r="RAI149" s="22"/>
      <c r="RAJ149" s="22"/>
      <c r="RAK149" s="22"/>
      <c r="RAL149" s="22"/>
      <c r="RAM149" s="22"/>
      <c r="RAN149" s="22"/>
      <c r="RAO149" s="22"/>
      <c r="RAP149" s="22"/>
      <c r="RAQ149" s="22"/>
      <c r="RAR149" s="22"/>
      <c r="RAS149" s="22"/>
      <c r="RAT149" s="22"/>
      <c r="RAU149" s="22"/>
      <c r="RAV149" s="22"/>
      <c r="RAW149" s="22"/>
      <c r="RAX149" s="22"/>
      <c r="RAY149" s="22"/>
      <c r="RAZ149" s="22"/>
      <c r="RBA149" s="22"/>
      <c r="RBB149" s="22"/>
      <c r="RBC149" s="22"/>
      <c r="RBD149" s="22"/>
      <c r="RBE149" s="22"/>
      <c r="RBF149" s="22"/>
      <c r="RBG149" s="22"/>
      <c r="RBH149" s="22"/>
      <c r="RBI149" s="22"/>
      <c r="RBJ149" s="22"/>
      <c r="RBK149" s="22"/>
      <c r="RBL149" s="22"/>
      <c r="RBM149" s="22"/>
      <c r="RBN149" s="22"/>
      <c r="RBO149" s="22"/>
      <c r="RBP149" s="22"/>
      <c r="RBQ149" s="22"/>
      <c r="RBR149" s="22"/>
      <c r="RBS149" s="22"/>
      <c r="RBT149" s="22"/>
      <c r="RBU149" s="22"/>
      <c r="RBV149" s="22"/>
      <c r="RBW149" s="22"/>
      <c r="RBX149" s="22"/>
      <c r="RBY149" s="22"/>
      <c r="RBZ149" s="22"/>
      <c r="RCA149" s="22"/>
      <c r="RCB149" s="22"/>
      <c r="RCC149" s="22"/>
      <c r="RCD149" s="22"/>
      <c r="RCE149" s="22"/>
      <c r="RCF149" s="22"/>
      <c r="RCG149" s="22"/>
      <c r="RCH149" s="22"/>
      <c r="RCI149" s="22"/>
      <c r="RCJ149" s="22"/>
      <c r="RCK149" s="22"/>
      <c r="RCL149" s="22"/>
      <c r="RCM149" s="22"/>
      <c r="RCN149" s="22"/>
      <c r="RCO149" s="22"/>
      <c r="RCP149" s="22"/>
      <c r="RCQ149" s="22"/>
      <c r="RCR149" s="22"/>
      <c r="RCS149" s="22"/>
      <c r="RCT149" s="22"/>
      <c r="RCU149" s="22"/>
      <c r="RCV149" s="22"/>
      <c r="RCW149" s="22"/>
      <c r="RCX149" s="22"/>
      <c r="RCY149" s="22"/>
      <c r="RCZ149" s="22"/>
      <c r="RDA149" s="22"/>
      <c r="RDB149" s="22"/>
      <c r="RDC149" s="22"/>
      <c r="RDD149" s="22"/>
      <c r="RDE149" s="22"/>
      <c r="RDF149" s="22"/>
      <c r="RDG149" s="22"/>
      <c r="RDH149" s="22"/>
      <c r="RDI149" s="22"/>
      <c r="RDJ149" s="22"/>
      <c r="RDK149" s="22"/>
      <c r="RDL149" s="22"/>
      <c r="RDM149" s="22"/>
      <c r="RDN149" s="22"/>
      <c r="RDO149" s="22"/>
      <c r="RDP149" s="22"/>
      <c r="RDQ149" s="22"/>
      <c r="RDR149" s="22"/>
      <c r="RDS149" s="22"/>
      <c r="RDT149" s="22"/>
      <c r="RDU149" s="22"/>
      <c r="RDV149" s="22"/>
      <c r="RDW149" s="22"/>
      <c r="RDX149" s="22"/>
      <c r="RDY149" s="22"/>
      <c r="RDZ149" s="22"/>
      <c r="REA149" s="22"/>
      <c r="REB149" s="22"/>
      <c r="REC149" s="22"/>
      <c r="RED149" s="22"/>
      <c r="REE149" s="22"/>
      <c r="REF149" s="22"/>
      <c r="REG149" s="22"/>
      <c r="REH149" s="22"/>
      <c r="REI149" s="22"/>
      <c r="REJ149" s="22"/>
      <c r="REK149" s="22"/>
      <c r="REL149" s="22"/>
      <c r="REM149" s="22"/>
      <c r="REN149" s="22"/>
      <c r="REO149" s="22"/>
      <c r="REP149" s="22"/>
      <c r="REQ149" s="22"/>
      <c r="RER149" s="22"/>
      <c r="RES149" s="22"/>
      <c r="RET149" s="22"/>
      <c r="REU149" s="22"/>
      <c r="REV149" s="22"/>
      <c r="REW149" s="22"/>
      <c r="REX149" s="22"/>
      <c r="REY149" s="22"/>
      <c r="REZ149" s="22"/>
      <c r="RFA149" s="22"/>
      <c r="RFB149" s="22"/>
      <c r="RFC149" s="22"/>
      <c r="RFD149" s="22"/>
      <c r="RFE149" s="22"/>
      <c r="RFF149" s="22"/>
      <c r="RFG149" s="22"/>
      <c r="RFH149" s="22"/>
      <c r="RFI149" s="22"/>
      <c r="RFJ149" s="22"/>
      <c r="RFK149" s="22"/>
      <c r="RFL149" s="22"/>
      <c r="RFM149" s="22"/>
      <c r="RFN149" s="22"/>
      <c r="RFO149" s="22"/>
      <c r="RFP149" s="22"/>
      <c r="RFQ149" s="22"/>
      <c r="RFR149" s="22"/>
      <c r="RFS149" s="22"/>
      <c r="RFT149" s="22"/>
      <c r="RFU149" s="22"/>
      <c r="RFV149" s="22"/>
      <c r="RFW149" s="22"/>
      <c r="RFX149" s="22"/>
      <c r="RFY149" s="22"/>
      <c r="RFZ149" s="22"/>
      <c r="RGA149" s="22"/>
      <c r="RGB149" s="22"/>
      <c r="RGC149" s="22"/>
      <c r="RGD149" s="22"/>
      <c r="RGE149" s="22"/>
      <c r="RGF149" s="22"/>
      <c r="RGG149" s="22"/>
      <c r="RGH149" s="22"/>
      <c r="RGI149" s="22"/>
      <c r="RGJ149" s="22"/>
      <c r="RGK149" s="22"/>
      <c r="RGL149" s="22"/>
      <c r="RGM149" s="22"/>
      <c r="RGN149" s="22"/>
      <c r="RGO149" s="22"/>
      <c r="RGP149" s="22"/>
      <c r="RGQ149" s="22"/>
      <c r="RGR149" s="22"/>
      <c r="RGS149" s="22"/>
      <c r="RGT149" s="22"/>
      <c r="RGU149" s="22"/>
      <c r="RGV149" s="22"/>
      <c r="RGW149" s="22"/>
      <c r="RGX149" s="22"/>
      <c r="RGY149" s="22"/>
      <c r="RGZ149" s="22"/>
      <c r="RHA149" s="22"/>
      <c r="RHB149" s="22"/>
      <c r="RHC149" s="22"/>
      <c r="RHD149" s="22"/>
      <c r="RHE149" s="22"/>
      <c r="RHF149" s="22"/>
      <c r="RHG149" s="22"/>
      <c r="RHH149" s="22"/>
      <c r="RHI149" s="22"/>
      <c r="RHJ149" s="22"/>
      <c r="RHK149" s="22"/>
      <c r="RHL149" s="22"/>
      <c r="RHM149" s="22"/>
      <c r="RHN149" s="22"/>
      <c r="RHO149" s="22"/>
      <c r="RHP149" s="22"/>
      <c r="RHQ149" s="22"/>
      <c r="RHR149" s="22"/>
      <c r="RHS149" s="22"/>
      <c r="RHT149" s="22"/>
      <c r="RHU149" s="22"/>
      <c r="RHV149" s="22"/>
      <c r="RHW149" s="22"/>
      <c r="RHX149" s="22"/>
      <c r="RHY149" s="22"/>
      <c r="RHZ149" s="22"/>
      <c r="RIA149" s="22"/>
      <c r="RIB149" s="22"/>
      <c r="RIC149" s="22"/>
      <c r="RID149" s="22"/>
      <c r="RIE149" s="22"/>
      <c r="RIF149" s="22"/>
      <c r="RIG149" s="22"/>
      <c r="RIH149" s="22"/>
      <c r="RII149" s="22"/>
      <c r="RIJ149" s="22"/>
      <c r="RIK149" s="22"/>
      <c r="RIL149" s="22"/>
      <c r="RIM149" s="22"/>
      <c r="RIN149" s="22"/>
      <c r="RIO149" s="22"/>
      <c r="RIP149" s="22"/>
      <c r="RIQ149" s="22"/>
      <c r="RIR149" s="22"/>
      <c r="RIS149" s="22"/>
      <c r="RIT149" s="22"/>
      <c r="RIU149" s="22"/>
      <c r="RIV149" s="22"/>
      <c r="RIW149" s="22"/>
      <c r="RIX149" s="22"/>
      <c r="RIY149" s="22"/>
      <c r="RIZ149" s="22"/>
      <c r="RJA149" s="22"/>
      <c r="RJB149" s="22"/>
      <c r="RJC149" s="22"/>
      <c r="RJD149" s="22"/>
      <c r="RJE149" s="22"/>
      <c r="RJF149" s="22"/>
      <c r="RJG149" s="22"/>
      <c r="RJH149" s="22"/>
      <c r="RJI149" s="22"/>
      <c r="RJJ149" s="22"/>
      <c r="RJK149" s="22"/>
      <c r="RJL149" s="22"/>
      <c r="RJM149" s="22"/>
      <c r="RJN149" s="22"/>
      <c r="RJO149" s="22"/>
      <c r="RJP149" s="22"/>
      <c r="RJQ149" s="22"/>
      <c r="RJR149" s="22"/>
      <c r="RJS149" s="22"/>
      <c r="RJT149" s="22"/>
      <c r="RJU149" s="22"/>
      <c r="RJV149" s="22"/>
      <c r="RJW149" s="22"/>
      <c r="RJX149" s="22"/>
      <c r="RJY149" s="22"/>
      <c r="RJZ149" s="22"/>
      <c r="RKA149" s="22"/>
      <c r="RKB149" s="22"/>
      <c r="RKC149" s="22"/>
      <c r="RKD149" s="22"/>
      <c r="RKE149" s="22"/>
      <c r="RKF149" s="22"/>
      <c r="RKG149" s="22"/>
      <c r="RKH149" s="22"/>
      <c r="RKI149" s="22"/>
      <c r="RKJ149" s="22"/>
      <c r="RKK149" s="22"/>
      <c r="RKL149" s="22"/>
      <c r="RKM149" s="22"/>
      <c r="RKN149" s="22"/>
      <c r="RKO149" s="22"/>
      <c r="RKP149" s="22"/>
      <c r="RKQ149" s="22"/>
      <c r="RKR149" s="22"/>
      <c r="RKS149" s="22"/>
      <c r="RKT149" s="22"/>
      <c r="RKU149" s="22"/>
      <c r="RKV149" s="22"/>
      <c r="RKW149" s="22"/>
      <c r="RKX149" s="22"/>
      <c r="RKY149" s="22"/>
      <c r="RKZ149" s="22"/>
      <c r="RLA149" s="22"/>
      <c r="RLB149" s="22"/>
      <c r="RLC149" s="22"/>
      <c r="RLD149" s="22"/>
      <c r="RLE149" s="22"/>
      <c r="RLF149" s="22"/>
      <c r="RLG149" s="22"/>
      <c r="RLH149" s="22"/>
      <c r="RLI149" s="22"/>
      <c r="RLJ149" s="22"/>
      <c r="RLK149" s="22"/>
      <c r="RLL149" s="22"/>
      <c r="RLM149" s="22"/>
      <c r="RLN149" s="22"/>
      <c r="RLO149" s="22"/>
      <c r="RLP149" s="22"/>
      <c r="RLQ149" s="22"/>
      <c r="RLR149" s="22"/>
      <c r="RLS149" s="22"/>
      <c r="RLT149" s="22"/>
      <c r="RLU149" s="22"/>
      <c r="RLV149" s="22"/>
      <c r="RLW149" s="22"/>
      <c r="RLX149" s="22"/>
      <c r="RLY149" s="22"/>
      <c r="RLZ149" s="22"/>
      <c r="RMA149" s="22"/>
      <c r="RMB149" s="22"/>
      <c r="RMC149" s="22"/>
      <c r="RMD149" s="22"/>
      <c r="RME149" s="22"/>
      <c r="RMF149" s="22"/>
      <c r="RMG149" s="22"/>
      <c r="RMH149" s="22"/>
      <c r="RMI149" s="22"/>
      <c r="RMJ149" s="22"/>
      <c r="RMK149" s="22"/>
      <c r="RML149" s="22"/>
      <c r="RMM149" s="22"/>
      <c r="RMN149" s="22"/>
      <c r="RMO149" s="22"/>
      <c r="RMP149" s="22"/>
      <c r="RMQ149" s="22"/>
      <c r="RMR149" s="22"/>
      <c r="RMS149" s="22"/>
      <c r="RMT149" s="22"/>
      <c r="RMU149" s="22"/>
      <c r="RMV149" s="22"/>
      <c r="RMW149" s="22"/>
      <c r="RMX149" s="22"/>
      <c r="RMY149" s="22"/>
      <c r="RMZ149" s="22"/>
      <c r="RNA149" s="22"/>
      <c r="RNB149" s="22"/>
      <c r="RNC149" s="22"/>
      <c r="RND149" s="22"/>
      <c r="RNE149" s="22"/>
      <c r="RNF149" s="22"/>
      <c r="RNG149" s="22"/>
      <c r="RNH149" s="22"/>
      <c r="RNI149" s="22"/>
      <c r="RNJ149" s="22"/>
      <c r="RNK149" s="22"/>
      <c r="RNL149" s="22"/>
      <c r="RNM149" s="22"/>
      <c r="RNN149" s="22"/>
      <c r="RNO149" s="22"/>
      <c r="RNP149" s="22"/>
      <c r="RNQ149" s="22"/>
      <c r="RNR149" s="22"/>
      <c r="RNS149" s="22"/>
      <c r="RNT149" s="22"/>
      <c r="RNU149" s="22"/>
      <c r="RNV149" s="22"/>
      <c r="RNW149" s="22"/>
      <c r="RNX149" s="22"/>
      <c r="RNY149" s="22"/>
      <c r="RNZ149" s="22"/>
      <c r="ROA149" s="22"/>
      <c r="ROB149" s="22"/>
      <c r="ROC149" s="22"/>
      <c r="ROD149" s="22"/>
      <c r="ROE149" s="22"/>
      <c r="ROF149" s="22"/>
      <c r="ROG149" s="22"/>
      <c r="ROH149" s="22"/>
      <c r="ROI149" s="22"/>
      <c r="ROJ149" s="22"/>
      <c r="ROK149" s="22"/>
      <c r="ROL149" s="22"/>
      <c r="ROM149" s="22"/>
      <c r="RON149" s="22"/>
      <c r="ROO149" s="22"/>
      <c r="ROP149" s="22"/>
      <c r="ROQ149" s="22"/>
      <c r="ROR149" s="22"/>
      <c r="ROS149" s="22"/>
      <c r="ROT149" s="22"/>
      <c r="ROU149" s="22"/>
      <c r="ROV149" s="22"/>
      <c r="ROW149" s="22"/>
      <c r="ROX149" s="22"/>
      <c r="ROY149" s="22"/>
      <c r="ROZ149" s="22"/>
      <c r="RPA149" s="22"/>
      <c r="RPB149" s="22"/>
      <c r="RPC149" s="22"/>
      <c r="RPD149" s="22"/>
      <c r="RPE149" s="22"/>
      <c r="RPF149" s="22"/>
      <c r="RPG149" s="22"/>
      <c r="RPH149" s="22"/>
      <c r="RPI149" s="22"/>
      <c r="RPJ149" s="22"/>
      <c r="RPK149" s="22"/>
      <c r="RPL149" s="22"/>
      <c r="RPM149" s="22"/>
      <c r="RPN149" s="22"/>
      <c r="RPO149" s="22"/>
      <c r="RPP149" s="22"/>
      <c r="RPQ149" s="22"/>
      <c r="RPR149" s="22"/>
      <c r="RPS149" s="22"/>
      <c r="RPT149" s="22"/>
      <c r="RPU149" s="22"/>
      <c r="RPV149" s="22"/>
      <c r="RPW149" s="22"/>
      <c r="RPX149" s="22"/>
      <c r="RPY149" s="22"/>
      <c r="RPZ149" s="22"/>
      <c r="RQA149" s="22"/>
      <c r="RQB149" s="22"/>
      <c r="RQC149" s="22"/>
      <c r="RQD149" s="22"/>
      <c r="RQE149" s="22"/>
      <c r="RQF149" s="22"/>
      <c r="RQG149" s="22"/>
      <c r="RQH149" s="22"/>
      <c r="RQI149" s="22"/>
      <c r="RQJ149" s="22"/>
      <c r="RQK149" s="22"/>
      <c r="RQL149" s="22"/>
      <c r="RQM149" s="22"/>
      <c r="RQN149" s="22"/>
      <c r="RQO149" s="22"/>
      <c r="RQP149" s="22"/>
      <c r="RQQ149" s="22"/>
      <c r="RQR149" s="22"/>
      <c r="RQS149" s="22"/>
      <c r="RQT149" s="22"/>
      <c r="RQU149" s="22"/>
      <c r="RQV149" s="22"/>
      <c r="RQW149" s="22"/>
      <c r="RQX149" s="22"/>
      <c r="RQY149" s="22"/>
      <c r="RQZ149" s="22"/>
      <c r="RRA149" s="22"/>
      <c r="RRB149" s="22"/>
      <c r="RRC149" s="22"/>
      <c r="RRD149" s="22"/>
      <c r="RRE149" s="22"/>
      <c r="RRF149" s="22"/>
      <c r="RRG149" s="22"/>
      <c r="RRH149" s="22"/>
      <c r="RRI149" s="22"/>
      <c r="RRJ149" s="22"/>
      <c r="RRK149" s="22"/>
      <c r="RRL149" s="22"/>
      <c r="RRM149" s="22"/>
      <c r="RRN149" s="22"/>
      <c r="RRO149" s="22"/>
      <c r="RRP149" s="22"/>
      <c r="RRQ149" s="22"/>
      <c r="RRR149" s="22"/>
      <c r="RRS149" s="22"/>
      <c r="RRT149" s="22"/>
      <c r="RRU149" s="22"/>
      <c r="RRV149" s="22"/>
      <c r="RRW149" s="22"/>
      <c r="RRX149" s="22"/>
      <c r="RRY149" s="22"/>
      <c r="RRZ149" s="22"/>
      <c r="RSA149" s="22"/>
      <c r="RSB149" s="22"/>
      <c r="RSC149" s="22"/>
      <c r="RSD149" s="22"/>
      <c r="RSE149" s="22"/>
      <c r="RSF149" s="22"/>
      <c r="RSG149" s="22"/>
      <c r="RSH149" s="22"/>
      <c r="RSI149" s="22"/>
      <c r="RSJ149" s="22"/>
      <c r="RSK149" s="22"/>
      <c r="RSL149" s="22"/>
      <c r="RSM149" s="22"/>
      <c r="RSN149" s="22"/>
      <c r="RSO149" s="22"/>
      <c r="RSP149" s="22"/>
      <c r="RSQ149" s="22"/>
      <c r="RSR149" s="22"/>
      <c r="RSS149" s="22"/>
      <c r="RST149" s="22"/>
      <c r="RSU149" s="22"/>
      <c r="RSV149" s="22"/>
      <c r="RSW149" s="22"/>
      <c r="RSX149" s="22"/>
      <c r="RSY149" s="22"/>
      <c r="RSZ149" s="22"/>
      <c r="RTA149" s="22"/>
      <c r="RTB149" s="22"/>
      <c r="RTC149" s="22"/>
      <c r="RTD149" s="22"/>
      <c r="RTE149" s="22"/>
      <c r="RTF149" s="22"/>
      <c r="RTG149" s="22"/>
      <c r="RTH149" s="22"/>
      <c r="RTI149" s="22"/>
      <c r="RTJ149" s="22"/>
      <c r="RTK149" s="22"/>
      <c r="RTL149" s="22"/>
      <c r="RTM149" s="22"/>
      <c r="RTN149" s="22"/>
      <c r="RTO149" s="22"/>
      <c r="RTP149" s="22"/>
      <c r="RTQ149" s="22"/>
      <c r="RTR149" s="22"/>
      <c r="RTS149" s="22"/>
      <c r="RTT149" s="22"/>
      <c r="RTU149" s="22"/>
      <c r="RTV149" s="22"/>
      <c r="RTW149" s="22"/>
      <c r="RTX149" s="22"/>
      <c r="RTY149" s="22"/>
      <c r="RTZ149" s="22"/>
      <c r="RUA149" s="22"/>
      <c r="RUB149" s="22"/>
      <c r="RUC149" s="22"/>
      <c r="RUD149" s="22"/>
      <c r="RUE149" s="22"/>
      <c r="RUF149" s="22"/>
      <c r="RUG149" s="22"/>
      <c r="RUH149" s="22"/>
      <c r="RUI149" s="22"/>
      <c r="RUJ149" s="22"/>
      <c r="RUK149" s="22"/>
      <c r="RUL149" s="22"/>
      <c r="RUM149" s="22"/>
      <c r="RUN149" s="22"/>
      <c r="RUO149" s="22"/>
      <c r="RUP149" s="22"/>
      <c r="RUQ149" s="22"/>
      <c r="RUR149" s="22"/>
      <c r="RUS149" s="22"/>
      <c r="RUT149" s="22"/>
      <c r="RUU149" s="22"/>
      <c r="RUV149" s="22"/>
      <c r="RUW149" s="22"/>
      <c r="RUX149" s="22"/>
      <c r="RUY149" s="22"/>
      <c r="RUZ149" s="22"/>
      <c r="RVA149" s="22"/>
      <c r="RVB149" s="22"/>
      <c r="RVC149" s="22"/>
      <c r="RVD149" s="22"/>
      <c r="RVE149" s="22"/>
      <c r="RVF149" s="22"/>
      <c r="RVG149" s="22"/>
      <c r="RVH149" s="22"/>
      <c r="RVI149" s="22"/>
      <c r="RVJ149" s="22"/>
      <c r="RVK149" s="22"/>
      <c r="RVL149" s="22"/>
      <c r="RVM149" s="22"/>
      <c r="RVN149" s="22"/>
      <c r="RVO149" s="22"/>
      <c r="RVP149" s="22"/>
      <c r="RVQ149" s="22"/>
      <c r="RVR149" s="22"/>
      <c r="RVS149" s="22"/>
      <c r="RVT149" s="22"/>
      <c r="RVU149" s="22"/>
      <c r="RVV149" s="22"/>
      <c r="RVW149" s="22"/>
      <c r="RVX149" s="22"/>
      <c r="RVY149" s="22"/>
      <c r="RVZ149" s="22"/>
      <c r="RWA149" s="22"/>
      <c r="RWB149" s="22"/>
      <c r="RWC149" s="22"/>
      <c r="RWD149" s="22"/>
      <c r="RWE149" s="22"/>
      <c r="RWF149" s="22"/>
      <c r="RWG149" s="22"/>
      <c r="RWH149" s="22"/>
      <c r="RWI149" s="22"/>
      <c r="RWJ149" s="22"/>
      <c r="RWK149" s="22"/>
      <c r="RWL149" s="22"/>
      <c r="RWM149" s="22"/>
      <c r="RWN149" s="22"/>
      <c r="RWO149" s="22"/>
      <c r="RWP149" s="22"/>
      <c r="RWQ149" s="22"/>
      <c r="RWR149" s="22"/>
      <c r="RWS149" s="22"/>
      <c r="RWT149" s="22"/>
      <c r="RWU149" s="22"/>
      <c r="RWV149" s="22"/>
      <c r="RWW149" s="22"/>
      <c r="RWX149" s="22"/>
      <c r="RWY149" s="22"/>
      <c r="RWZ149" s="22"/>
      <c r="RXA149" s="22"/>
      <c r="RXB149" s="22"/>
      <c r="RXC149" s="22"/>
      <c r="RXD149" s="22"/>
      <c r="RXE149" s="22"/>
      <c r="RXF149" s="22"/>
      <c r="RXG149" s="22"/>
      <c r="RXH149" s="22"/>
      <c r="RXI149" s="22"/>
      <c r="RXJ149" s="22"/>
      <c r="RXK149" s="22"/>
      <c r="RXL149" s="22"/>
      <c r="RXM149" s="22"/>
      <c r="RXN149" s="22"/>
      <c r="RXO149" s="22"/>
      <c r="RXP149" s="22"/>
      <c r="RXQ149" s="22"/>
      <c r="RXR149" s="22"/>
      <c r="RXS149" s="22"/>
      <c r="RXT149" s="22"/>
      <c r="RXU149" s="22"/>
      <c r="RXV149" s="22"/>
      <c r="RXW149" s="22"/>
      <c r="RXX149" s="22"/>
      <c r="RXY149" s="22"/>
      <c r="RXZ149" s="22"/>
      <c r="RYA149" s="22"/>
      <c r="RYB149" s="22"/>
      <c r="RYC149" s="22"/>
      <c r="RYD149" s="22"/>
      <c r="RYE149" s="22"/>
      <c r="RYF149" s="22"/>
      <c r="RYG149" s="22"/>
      <c r="RYH149" s="22"/>
      <c r="RYI149" s="22"/>
      <c r="RYJ149" s="22"/>
      <c r="RYK149" s="22"/>
      <c r="RYL149" s="22"/>
      <c r="RYM149" s="22"/>
      <c r="RYN149" s="22"/>
      <c r="RYO149" s="22"/>
      <c r="RYP149" s="22"/>
      <c r="RYQ149" s="22"/>
      <c r="RYR149" s="22"/>
      <c r="RYS149" s="22"/>
      <c r="RYT149" s="22"/>
      <c r="RYU149" s="22"/>
      <c r="RYV149" s="22"/>
      <c r="RYW149" s="22"/>
      <c r="RYX149" s="22"/>
      <c r="RYY149" s="22"/>
      <c r="RYZ149" s="22"/>
      <c r="RZA149" s="22"/>
      <c r="RZB149" s="22"/>
      <c r="RZC149" s="22"/>
      <c r="RZD149" s="22"/>
      <c r="RZE149" s="22"/>
      <c r="RZF149" s="22"/>
      <c r="RZG149" s="22"/>
      <c r="RZH149" s="22"/>
      <c r="RZI149" s="22"/>
      <c r="RZJ149" s="22"/>
      <c r="RZK149" s="22"/>
      <c r="RZL149" s="22"/>
      <c r="RZM149" s="22"/>
      <c r="RZN149" s="22"/>
      <c r="RZO149" s="22"/>
      <c r="RZP149" s="22"/>
      <c r="RZQ149" s="22"/>
      <c r="RZR149" s="22"/>
      <c r="RZS149" s="22"/>
      <c r="RZT149" s="22"/>
      <c r="RZU149" s="22"/>
      <c r="RZV149" s="22"/>
      <c r="RZW149" s="22"/>
      <c r="RZX149" s="22"/>
      <c r="RZY149" s="22"/>
      <c r="RZZ149" s="22"/>
      <c r="SAA149" s="22"/>
      <c r="SAB149" s="22"/>
      <c r="SAC149" s="22"/>
      <c r="SAD149" s="22"/>
      <c r="SAE149" s="22"/>
      <c r="SAF149" s="22"/>
      <c r="SAG149" s="22"/>
      <c r="SAH149" s="22"/>
      <c r="SAI149" s="22"/>
      <c r="SAJ149" s="22"/>
      <c r="SAK149" s="22"/>
      <c r="SAL149" s="22"/>
      <c r="SAM149" s="22"/>
      <c r="SAN149" s="22"/>
      <c r="SAO149" s="22"/>
      <c r="SAP149" s="22"/>
      <c r="SAQ149" s="22"/>
      <c r="SAR149" s="22"/>
      <c r="SAS149" s="22"/>
      <c r="SAT149" s="22"/>
      <c r="SAU149" s="22"/>
      <c r="SAV149" s="22"/>
      <c r="SAW149" s="22"/>
      <c r="SAX149" s="22"/>
      <c r="SAY149" s="22"/>
      <c r="SAZ149" s="22"/>
      <c r="SBA149" s="22"/>
      <c r="SBB149" s="22"/>
      <c r="SBC149" s="22"/>
      <c r="SBD149" s="22"/>
      <c r="SBE149" s="22"/>
      <c r="SBF149" s="22"/>
      <c r="SBG149" s="22"/>
      <c r="SBH149" s="22"/>
      <c r="SBI149" s="22"/>
      <c r="SBJ149" s="22"/>
      <c r="SBK149" s="22"/>
      <c r="SBL149" s="22"/>
      <c r="SBM149" s="22"/>
      <c r="SBN149" s="22"/>
      <c r="SBO149" s="22"/>
      <c r="SBP149" s="22"/>
      <c r="SBQ149" s="22"/>
      <c r="SBR149" s="22"/>
      <c r="SBS149" s="22"/>
      <c r="SBT149" s="22"/>
      <c r="SBU149" s="22"/>
      <c r="SBV149" s="22"/>
      <c r="SBW149" s="22"/>
      <c r="SBX149" s="22"/>
      <c r="SBY149" s="22"/>
      <c r="SBZ149" s="22"/>
      <c r="SCA149" s="22"/>
      <c r="SCB149" s="22"/>
      <c r="SCC149" s="22"/>
      <c r="SCD149" s="22"/>
      <c r="SCE149" s="22"/>
      <c r="SCF149" s="22"/>
      <c r="SCG149" s="22"/>
      <c r="SCH149" s="22"/>
      <c r="SCI149" s="22"/>
      <c r="SCJ149" s="22"/>
      <c r="SCK149" s="22"/>
      <c r="SCL149" s="22"/>
      <c r="SCM149" s="22"/>
      <c r="SCN149" s="22"/>
      <c r="SCO149" s="22"/>
      <c r="SCP149" s="22"/>
      <c r="SCQ149" s="22"/>
      <c r="SCR149" s="22"/>
      <c r="SCS149" s="22"/>
      <c r="SCT149" s="22"/>
      <c r="SCU149" s="22"/>
      <c r="SCV149" s="22"/>
      <c r="SCW149" s="22"/>
      <c r="SCX149" s="22"/>
      <c r="SCY149" s="22"/>
      <c r="SCZ149" s="22"/>
      <c r="SDA149" s="22"/>
      <c r="SDB149" s="22"/>
      <c r="SDC149" s="22"/>
      <c r="SDD149" s="22"/>
      <c r="SDE149" s="22"/>
      <c r="SDF149" s="22"/>
      <c r="SDG149" s="22"/>
      <c r="SDH149" s="22"/>
      <c r="SDI149" s="22"/>
      <c r="SDJ149" s="22"/>
      <c r="SDK149" s="22"/>
      <c r="SDL149" s="22"/>
      <c r="SDM149" s="22"/>
      <c r="SDN149" s="22"/>
      <c r="SDO149" s="22"/>
      <c r="SDP149" s="22"/>
      <c r="SDQ149" s="22"/>
      <c r="SDR149" s="22"/>
      <c r="SDS149" s="22"/>
      <c r="SDT149" s="22"/>
      <c r="SDU149" s="22"/>
      <c r="SDV149" s="22"/>
      <c r="SDW149" s="22"/>
      <c r="SDX149" s="22"/>
      <c r="SDY149" s="22"/>
      <c r="SDZ149" s="22"/>
      <c r="SEA149" s="22"/>
      <c r="SEB149" s="22"/>
      <c r="SEC149" s="22"/>
      <c r="SED149" s="22"/>
      <c r="SEE149" s="22"/>
      <c r="SEF149" s="22"/>
      <c r="SEG149" s="22"/>
      <c r="SEH149" s="22"/>
      <c r="SEI149" s="22"/>
      <c r="SEJ149" s="22"/>
      <c r="SEK149" s="22"/>
      <c r="SEL149" s="22"/>
      <c r="SEM149" s="22"/>
      <c r="SEN149" s="22"/>
      <c r="SEO149" s="22"/>
      <c r="SEP149" s="22"/>
      <c r="SEQ149" s="22"/>
      <c r="SER149" s="22"/>
      <c r="SES149" s="22"/>
      <c r="SET149" s="22"/>
      <c r="SEU149" s="22"/>
      <c r="SEV149" s="22"/>
      <c r="SEW149" s="22"/>
      <c r="SEX149" s="22"/>
      <c r="SEY149" s="22"/>
      <c r="SEZ149" s="22"/>
      <c r="SFA149" s="22"/>
      <c r="SFB149" s="22"/>
      <c r="SFC149" s="22"/>
      <c r="SFD149" s="22"/>
      <c r="SFE149" s="22"/>
      <c r="SFF149" s="22"/>
      <c r="SFG149" s="22"/>
      <c r="SFH149" s="22"/>
      <c r="SFI149" s="22"/>
      <c r="SFJ149" s="22"/>
      <c r="SFK149" s="22"/>
      <c r="SFL149" s="22"/>
      <c r="SFM149" s="22"/>
      <c r="SFN149" s="22"/>
      <c r="SFO149" s="22"/>
      <c r="SFP149" s="22"/>
      <c r="SFQ149" s="22"/>
      <c r="SFR149" s="22"/>
      <c r="SFS149" s="22"/>
      <c r="SFT149" s="22"/>
      <c r="SFU149" s="22"/>
      <c r="SFV149" s="22"/>
      <c r="SFW149" s="22"/>
      <c r="SFX149" s="22"/>
      <c r="SFY149" s="22"/>
      <c r="SFZ149" s="22"/>
      <c r="SGA149" s="22"/>
      <c r="SGB149" s="22"/>
      <c r="SGC149" s="22"/>
      <c r="SGD149" s="22"/>
      <c r="SGE149" s="22"/>
      <c r="SGF149" s="22"/>
      <c r="SGG149" s="22"/>
      <c r="SGH149" s="22"/>
      <c r="SGI149" s="22"/>
      <c r="SGJ149" s="22"/>
      <c r="SGK149" s="22"/>
      <c r="SGL149" s="22"/>
      <c r="SGM149" s="22"/>
      <c r="SGN149" s="22"/>
      <c r="SGO149" s="22"/>
      <c r="SGP149" s="22"/>
      <c r="SGQ149" s="22"/>
      <c r="SGR149" s="22"/>
      <c r="SGS149" s="22"/>
      <c r="SGT149" s="22"/>
      <c r="SGU149" s="22"/>
      <c r="SGV149" s="22"/>
      <c r="SGW149" s="22"/>
      <c r="SGX149" s="22"/>
      <c r="SGY149" s="22"/>
      <c r="SGZ149" s="22"/>
      <c r="SHA149" s="22"/>
      <c r="SHB149" s="22"/>
      <c r="SHC149" s="22"/>
      <c r="SHD149" s="22"/>
      <c r="SHE149" s="22"/>
      <c r="SHF149" s="22"/>
      <c r="SHG149" s="22"/>
      <c r="SHH149" s="22"/>
      <c r="SHI149" s="22"/>
      <c r="SHJ149" s="22"/>
      <c r="SHK149" s="22"/>
      <c r="SHL149" s="22"/>
      <c r="SHM149" s="22"/>
      <c r="SHN149" s="22"/>
      <c r="SHO149" s="22"/>
      <c r="SHP149" s="22"/>
      <c r="SHQ149" s="22"/>
      <c r="SHR149" s="22"/>
      <c r="SHS149" s="22"/>
      <c r="SHT149" s="22"/>
      <c r="SHU149" s="22"/>
      <c r="SHV149" s="22"/>
      <c r="SHW149" s="22"/>
      <c r="SHX149" s="22"/>
      <c r="SHY149" s="22"/>
      <c r="SHZ149" s="22"/>
      <c r="SIA149" s="22"/>
      <c r="SIB149" s="22"/>
      <c r="SIC149" s="22"/>
      <c r="SID149" s="22"/>
      <c r="SIE149" s="22"/>
      <c r="SIF149" s="22"/>
      <c r="SIG149" s="22"/>
      <c r="SIH149" s="22"/>
      <c r="SII149" s="22"/>
      <c r="SIJ149" s="22"/>
      <c r="SIK149" s="22"/>
      <c r="SIL149" s="22"/>
      <c r="SIM149" s="22"/>
      <c r="SIN149" s="22"/>
      <c r="SIO149" s="22"/>
      <c r="SIP149" s="22"/>
      <c r="SIQ149" s="22"/>
      <c r="SIR149" s="22"/>
      <c r="SIS149" s="22"/>
      <c r="SIT149" s="22"/>
      <c r="SIU149" s="22"/>
      <c r="SIV149" s="22"/>
      <c r="SIW149" s="22"/>
      <c r="SIX149" s="22"/>
      <c r="SIY149" s="22"/>
      <c r="SIZ149" s="22"/>
      <c r="SJA149" s="22"/>
      <c r="SJB149" s="22"/>
      <c r="SJC149" s="22"/>
      <c r="SJD149" s="22"/>
      <c r="SJE149" s="22"/>
      <c r="SJF149" s="22"/>
      <c r="SJG149" s="22"/>
      <c r="SJH149" s="22"/>
      <c r="SJI149" s="22"/>
      <c r="SJJ149" s="22"/>
      <c r="SJK149" s="22"/>
      <c r="SJL149" s="22"/>
      <c r="SJM149" s="22"/>
      <c r="SJN149" s="22"/>
      <c r="SJO149" s="22"/>
      <c r="SJP149" s="22"/>
      <c r="SJQ149" s="22"/>
      <c r="SJR149" s="22"/>
      <c r="SJS149" s="22"/>
      <c r="SJT149" s="22"/>
      <c r="SJU149" s="22"/>
      <c r="SJV149" s="22"/>
      <c r="SJW149" s="22"/>
      <c r="SJX149" s="22"/>
      <c r="SJY149" s="22"/>
      <c r="SJZ149" s="22"/>
      <c r="SKA149" s="22"/>
      <c r="SKB149" s="22"/>
      <c r="SKC149" s="22"/>
      <c r="SKD149" s="22"/>
      <c r="SKE149" s="22"/>
      <c r="SKF149" s="22"/>
      <c r="SKG149" s="22"/>
      <c r="SKH149" s="22"/>
      <c r="SKI149" s="22"/>
      <c r="SKJ149" s="22"/>
      <c r="SKK149" s="22"/>
      <c r="SKL149" s="22"/>
      <c r="SKM149" s="22"/>
      <c r="SKN149" s="22"/>
      <c r="SKO149" s="22"/>
      <c r="SKP149" s="22"/>
      <c r="SKQ149" s="22"/>
      <c r="SKR149" s="22"/>
      <c r="SKS149" s="22"/>
      <c r="SKT149" s="22"/>
      <c r="SKU149" s="22"/>
      <c r="SKV149" s="22"/>
      <c r="SKW149" s="22"/>
      <c r="SKX149" s="22"/>
      <c r="SKY149" s="22"/>
      <c r="SKZ149" s="22"/>
      <c r="SLA149" s="22"/>
      <c r="SLB149" s="22"/>
      <c r="SLC149" s="22"/>
      <c r="SLD149" s="22"/>
      <c r="SLE149" s="22"/>
      <c r="SLF149" s="22"/>
      <c r="SLG149" s="22"/>
      <c r="SLH149" s="22"/>
      <c r="SLI149" s="22"/>
      <c r="SLJ149" s="22"/>
      <c r="SLK149" s="22"/>
      <c r="SLL149" s="22"/>
      <c r="SLM149" s="22"/>
      <c r="SLN149" s="22"/>
      <c r="SLO149" s="22"/>
      <c r="SLP149" s="22"/>
      <c r="SLQ149" s="22"/>
      <c r="SLR149" s="22"/>
      <c r="SLS149" s="22"/>
      <c r="SLT149" s="22"/>
      <c r="SLU149" s="22"/>
      <c r="SLV149" s="22"/>
      <c r="SLW149" s="22"/>
      <c r="SLX149" s="22"/>
      <c r="SLY149" s="22"/>
      <c r="SLZ149" s="22"/>
      <c r="SMA149" s="22"/>
      <c r="SMB149" s="22"/>
      <c r="SMC149" s="22"/>
      <c r="SMD149" s="22"/>
      <c r="SME149" s="22"/>
      <c r="SMF149" s="22"/>
      <c r="SMG149" s="22"/>
      <c r="SMH149" s="22"/>
      <c r="SMI149" s="22"/>
      <c r="SMJ149" s="22"/>
      <c r="SMK149" s="22"/>
      <c r="SML149" s="22"/>
      <c r="SMM149" s="22"/>
      <c r="SMN149" s="22"/>
      <c r="SMO149" s="22"/>
      <c r="SMP149" s="22"/>
      <c r="SMQ149" s="22"/>
      <c r="SMR149" s="22"/>
      <c r="SMS149" s="22"/>
      <c r="SMT149" s="22"/>
      <c r="SMU149" s="22"/>
      <c r="SMV149" s="22"/>
      <c r="SMW149" s="22"/>
      <c r="SMX149" s="22"/>
      <c r="SMY149" s="22"/>
      <c r="SMZ149" s="22"/>
      <c r="SNA149" s="22"/>
      <c r="SNB149" s="22"/>
      <c r="SNC149" s="22"/>
      <c r="SND149" s="22"/>
      <c r="SNE149" s="22"/>
      <c r="SNF149" s="22"/>
      <c r="SNG149" s="22"/>
      <c r="SNH149" s="22"/>
      <c r="SNI149" s="22"/>
      <c r="SNJ149" s="22"/>
      <c r="SNK149" s="22"/>
      <c r="SNL149" s="22"/>
      <c r="SNM149" s="22"/>
      <c r="SNN149" s="22"/>
      <c r="SNO149" s="22"/>
      <c r="SNP149" s="22"/>
      <c r="SNQ149" s="22"/>
      <c r="SNR149" s="22"/>
      <c r="SNS149" s="22"/>
      <c r="SNT149" s="22"/>
      <c r="SNU149" s="22"/>
      <c r="SNV149" s="22"/>
      <c r="SNW149" s="22"/>
      <c r="SNX149" s="22"/>
      <c r="SNY149" s="22"/>
      <c r="SNZ149" s="22"/>
      <c r="SOA149" s="22"/>
      <c r="SOB149" s="22"/>
      <c r="SOC149" s="22"/>
      <c r="SOD149" s="22"/>
      <c r="SOE149" s="22"/>
      <c r="SOF149" s="22"/>
      <c r="SOG149" s="22"/>
      <c r="SOH149" s="22"/>
      <c r="SOI149" s="22"/>
      <c r="SOJ149" s="22"/>
      <c r="SOK149" s="22"/>
      <c r="SOL149" s="22"/>
      <c r="SOM149" s="22"/>
      <c r="SON149" s="22"/>
      <c r="SOO149" s="22"/>
      <c r="SOP149" s="22"/>
      <c r="SOQ149" s="22"/>
      <c r="SOR149" s="22"/>
      <c r="SOS149" s="22"/>
      <c r="SOT149" s="22"/>
      <c r="SOU149" s="22"/>
      <c r="SOV149" s="22"/>
      <c r="SOW149" s="22"/>
      <c r="SOX149" s="22"/>
      <c r="SOY149" s="22"/>
      <c r="SOZ149" s="22"/>
      <c r="SPA149" s="22"/>
      <c r="SPB149" s="22"/>
      <c r="SPC149" s="22"/>
      <c r="SPD149" s="22"/>
      <c r="SPE149" s="22"/>
      <c r="SPF149" s="22"/>
      <c r="SPG149" s="22"/>
      <c r="SPH149" s="22"/>
      <c r="SPI149" s="22"/>
      <c r="SPJ149" s="22"/>
      <c r="SPK149" s="22"/>
      <c r="SPL149" s="22"/>
      <c r="SPM149" s="22"/>
      <c r="SPN149" s="22"/>
      <c r="SPO149" s="22"/>
      <c r="SPP149" s="22"/>
      <c r="SPQ149" s="22"/>
      <c r="SPR149" s="22"/>
      <c r="SPS149" s="22"/>
      <c r="SPT149" s="22"/>
      <c r="SPU149" s="22"/>
      <c r="SPV149" s="22"/>
      <c r="SPW149" s="22"/>
      <c r="SPX149" s="22"/>
      <c r="SPY149" s="22"/>
      <c r="SPZ149" s="22"/>
      <c r="SQA149" s="22"/>
      <c r="SQB149" s="22"/>
      <c r="SQC149" s="22"/>
      <c r="SQD149" s="22"/>
      <c r="SQE149" s="22"/>
      <c r="SQF149" s="22"/>
      <c r="SQG149" s="22"/>
      <c r="SQH149" s="22"/>
      <c r="SQI149" s="22"/>
      <c r="SQJ149" s="22"/>
      <c r="SQK149" s="22"/>
      <c r="SQL149" s="22"/>
      <c r="SQM149" s="22"/>
      <c r="SQN149" s="22"/>
      <c r="SQO149" s="22"/>
      <c r="SQP149" s="22"/>
      <c r="SQQ149" s="22"/>
      <c r="SQR149" s="22"/>
      <c r="SQS149" s="22"/>
      <c r="SQT149" s="22"/>
      <c r="SQU149" s="22"/>
      <c r="SQV149" s="22"/>
      <c r="SQW149" s="22"/>
      <c r="SQX149" s="22"/>
      <c r="SQY149" s="22"/>
      <c r="SQZ149" s="22"/>
      <c r="SRA149" s="22"/>
      <c r="SRB149" s="22"/>
      <c r="SRC149" s="22"/>
      <c r="SRD149" s="22"/>
      <c r="SRE149" s="22"/>
      <c r="SRF149" s="22"/>
      <c r="SRG149" s="22"/>
      <c r="SRH149" s="22"/>
      <c r="SRI149" s="22"/>
      <c r="SRJ149" s="22"/>
      <c r="SRK149" s="22"/>
      <c r="SRL149" s="22"/>
      <c r="SRM149" s="22"/>
      <c r="SRN149" s="22"/>
      <c r="SRO149" s="22"/>
      <c r="SRP149" s="22"/>
      <c r="SRQ149" s="22"/>
      <c r="SRR149" s="22"/>
      <c r="SRS149" s="22"/>
      <c r="SRT149" s="22"/>
      <c r="SRU149" s="22"/>
      <c r="SRV149" s="22"/>
      <c r="SRW149" s="22"/>
      <c r="SRX149" s="22"/>
      <c r="SRY149" s="22"/>
      <c r="SRZ149" s="22"/>
      <c r="SSA149" s="22"/>
      <c r="SSB149" s="22"/>
      <c r="SSC149" s="22"/>
      <c r="SSD149" s="22"/>
      <c r="SSE149" s="22"/>
      <c r="SSF149" s="22"/>
      <c r="SSG149" s="22"/>
      <c r="SSH149" s="22"/>
      <c r="SSI149" s="22"/>
      <c r="SSJ149" s="22"/>
      <c r="SSK149" s="22"/>
      <c r="SSL149" s="22"/>
      <c r="SSM149" s="22"/>
      <c r="SSN149" s="22"/>
      <c r="SSO149" s="22"/>
      <c r="SSP149" s="22"/>
      <c r="SSQ149" s="22"/>
      <c r="SSR149" s="22"/>
      <c r="SSS149" s="22"/>
      <c r="SST149" s="22"/>
      <c r="SSU149" s="22"/>
      <c r="SSV149" s="22"/>
      <c r="SSW149" s="22"/>
      <c r="SSX149" s="22"/>
      <c r="SSY149" s="22"/>
      <c r="SSZ149" s="22"/>
      <c r="STA149" s="22"/>
      <c r="STB149" s="22"/>
      <c r="STC149" s="22"/>
      <c r="STD149" s="22"/>
      <c r="STE149" s="22"/>
      <c r="STF149" s="22"/>
      <c r="STG149" s="22"/>
      <c r="STH149" s="22"/>
      <c r="STI149" s="22"/>
      <c r="STJ149" s="22"/>
      <c r="STK149" s="22"/>
      <c r="STL149" s="22"/>
      <c r="STM149" s="22"/>
      <c r="STN149" s="22"/>
      <c r="STO149" s="22"/>
      <c r="STP149" s="22"/>
      <c r="STQ149" s="22"/>
      <c r="STR149" s="22"/>
      <c r="STS149" s="22"/>
      <c r="STT149" s="22"/>
      <c r="STU149" s="22"/>
      <c r="STV149" s="22"/>
      <c r="STW149" s="22"/>
      <c r="STX149" s="22"/>
      <c r="STY149" s="22"/>
      <c r="STZ149" s="22"/>
      <c r="SUA149" s="22"/>
      <c r="SUB149" s="22"/>
      <c r="SUC149" s="22"/>
      <c r="SUD149" s="22"/>
      <c r="SUE149" s="22"/>
      <c r="SUF149" s="22"/>
      <c r="SUG149" s="22"/>
      <c r="SUH149" s="22"/>
      <c r="SUI149" s="22"/>
      <c r="SUJ149" s="22"/>
      <c r="SUK149" s="22"/>
      <c r="SUL149" s="22"/>
      <c r="SUM149" s="22"/>
      <c r="SUN149" s="22"/>
      <c r="SUO149" s="22"/>
      <c r="SUP149" s="22"/>
      <c r="SUQ149" s="22"/>
      <c r="SUR149" s="22"/>
      <c r="SUS149" s="22"/>
      <c r="SUT149" s="22"/>
      <c r="SUU149" s="22"/>
      <c r="SUV149" s="22"/>
      <c r="SUW149" s="22"/>
      <c r="SUX149" s="22"/>
      <c r="SUY149" s="22"/>
      <c r="SUZ149" s="22"/>
      <c r="SVA149" s="22"/>
      <c r="SVB149" s="22"/>
      <c r="SVC149" s="22"/>
      <c r="SVD149" s="22"/>
      <c r="SVE149" s="22"/>
      <c r="SVF149" s="22"/>
      <c r="SVG149" s="22"/>
      <c r="SVH149" s="22"/>
      <c r="SVI149" s="22"/>
      <c r="SVJ149" s="22"/>
      <c r="SVK149" s="22"/>
      <c r="SVL149" s="22"/>
      <c r="SVM149" s="22"/>
      <c r="SVN149" s="22"/>
      <c r="SVO149" s="22"/>
      <c r="SVP149" s="22"/>
      <c r="SVQ149" s="22"/>
      <c r="SVR149" s="22"/>
      <c r="SVS149" s="22"/>
      <c r="SVT149" s="22"/>
      <c r="SVU149" s="22"/>
      <c r="SVV149" s="22"/>
      <c r="SVW149" s="22"/>
      <c r="SVX149" s="22"/>
      <c r="SVY149" s="22"/>
      <c r="SVZ149" s="22"/>
      <c r="SWA149" s="22"/>
      <c r="SWB149" s="22"/>
      <c r="SWC149" s="22"/>
      <c r="SWD149" s="22"/>
      <c r="SWE149" s="22"/>
      <c r="SWF149" s="22"/>
      <c r="SWG149" s="22"/>
      <c r="SWH149" s="22"/>
      <c r="SWI149" s="22"/>
      <c r="SWJ149" s="22"/>
      <c r="SWK149" s="22"/>
      <c r="SWL149" s="22"/>
      <c r="SWM149" s="22"/>
      <c r="SWN149" s="22"/>
      <c r="SWO149" s="22"/>
      <c r="SWP149" s="22"/>
      <c r="SWQ149" s="22"/>
      <c r="SWR149" s="22"/>
      <c r="SWS149" s="22"/>
      <c r="SWT149" s="22"/>
      <c r="SWU149" s="22"/>
      <c r="SWV149" s="22"/>
      <c r="SWW149" s="22"/>
      <c r="SWX149" s="22"/>
      <c r="SWY149" s="22"/>
      <c r="SWZ149" s="22"/>
      <c r="SXA149" s="22"/>
      <c r="SXB149" s="22"/>
      <c r="SXC149" s="22"/>
      <c r="SXD149" s="22"/>
      <c r="SXE149" s="22"/>
      <c r="SXF149" s="22"/>
      <c r="SXG149" s="22"/>
      <c r="SXH149" s="22"/>
      <c r="SXI149" s="22"/>
      <c r="SXJ149" s="22"/>
      <c r="SXK149" s="22"/>
      <c r="SXL149" s="22"/>
      <c r="SXM149" s="22"/>
      <c r="SXN149" s="22"/>
      <c r="SXO149" s="22"/>
      <c r="SXP149" s="22"/>
      <c r="SXQ149" s="22"/>
      <c r="SXR149" s="22"/>
      <c r="SXS149" s="22"/>
      <c r="SXT149" s="22"/>
      <c r="SXU149" s="22"/>
      <c r="SXV149" s="22"/>
      <c r="SXW149" s="22"/>
      <c r="SXX149" s="22"/>
      <c r="SXY149" s="22"/>
      <c r="SXZ149" s="22"/>
      <c r="SYA149" s="22"/>
      <c r="SYB149" s="22"/>
      <c r="SYC149" s="22"/>
      <c r="SYD149" s="22"/>
      <c r="SYE149" s="22"/>
      <c r="SYF149" s="22"/>
      <c r="SYG149" s="22"/>
      <c r="SYH149" s="22"/>
      <c r="SYI149" s="22"/>
      <c r="SYJ149" s="22"/>
      <c r="SYK149" s="22"/>
      <c r="SYL149" s="22"/>
      <c r="SYM149" s="22"/>
      <c r="SYN149" s="22"/>
      <c r="SYO149" s="22"/>
      <c r="SYP149" s="22"/>
      <c r="SYQ149" s="22"/>
      <c r="SYR149" s="22"/>
      <c r="SYS149" s="22"/>
      <c r="SYT149" s="22"/>
      <c r="SYU149" s="22"/>
      <c r="SYV149" s="22"/>
      <c r="SYW149" s="22"/>
      <c r="SYX149" s="22"/>
      <c r="SYY149" s="22"/>
      <c r="SYZ149" s="22"/>
      <c r="SZA149" s="22"/>
      <c r="SZB149" s="22"/>
      <c r="SZC149" s="22"/>
      <c r="SZD149" s="22"/>
      <c r="SZE149" s="22"/>
      <c r="SZF149" s="22"/>
      <c r="SZG149" s="22"/>
      <c r="SZH149" s="22"/>
      <c r="SZI149" s="22"/>
      <c r="SZJ149" s="22"/>
      <c r="SZK149" s="22"/>
      <c r="SZL149" s="22"/>
      <c r="SZM149" s="22"/>
      <c r="SZN149" s="22"/>
      <c r="SZO149" s="22"/>
      <c r="SZP149" s="22"/>
      <c r="SZQ149" s="22"/>
      <c r="SZR149" s="22"/>
      <c r="SZS149" s="22"/>
      <c r="SZT149" s="22"/>
      <c r="SZU149" s="22"/>
      <c r="SZV149" s="22"/>
      <c r="SZW149" s="22"/>
      <c r="SZX149" s="22"/>
      <c r="SZY149" s="22"/>
      <c r="SZZ149" s="22"/>
      <c r="TAA149" s="22"/>
      <c r="TAB149" s="22"/>
      <c r="TAC149" s="22"/>
      <c r="TAD149" s="22"/>
      <c r="TAE149" s="22"/>
      <c r="TAF149" s="22"/>
      <c r="TAG149" s="22"/>
      <c r="TAH149" s="22"/>
      <c r="TAI149" s="22"/>
      <c r="TAJ149" s="22"/>
      <c r="TAK149" s="22"/>
      <c r="TAL149" s="22"/>
      <c r="TAM149" s="22"/>
      <c r="TAN149" s="22"/>
      <c r="TAO149" s="22"/>
      <c r="TAP149" s="22"/>
      <c r="TAQ149" s="22"/>
      <c r="TAR149" s="22"/>
      <c r="TAS149" s="22"/>
      <c r="TAT149" s="22"/>
      <c r="TAU149" s="22"/>
      <c r="TAV149" s="22"/>
      <c r="TAW149" s="22"/>
      <c r="TAX149" s="22"/>
      <c r="TAY149" s="22"/>
      <c r="TAZ149" s="22"/>
      <c r="TBA149" s="22"/>
      <c r="TBB149" s="22"/>
      <c r="TBC149" s="22"/>
      <c r="TBD149" s="22"/>
      <c r="TBE149" s="22"/>
      <c r="TBF149" s="22"/>
      <c r="TBG149" s="22"/>
      <c r="TBH149" s="22"/>
      <c r="TBI149" s="22"/>
      <c r="TBJ149" s="22"/>
      <c r="TBK149" s="22"/>
      <c r="TBL149" s="22"/>
      <c r="TBM149" s="22"/>
      <c r="TBN149" s="22"/>
      <c r="TBO149" s="22"/>
      <c r="TBP149" s="22"/>
      <c r="TBQ149" s="22"/>
      <c r="TBR149" s="22"/>
      <c r="TBS149" s="22"/>
      <c r="TBT149" s="22"/>
      <c r="TBU149" s="22"/>
      <c r="TBV149" s="22"/>
      <c r="TBW149" s="22"/>
      <c r="TBX149" s="22"/>
      <c r="TBY149" s="22"/>
      <c r="TBZ149" s="22"/>
      <c r="TCA149" s="22"/>
      <c r="TCB149" s="22"/>
      <c r="TCC149" s="22"/>
      <c r="TCD149" s="22"/>
      <c r="TCE149" s="22"/>
      <c r="TCF149" s="22"/>
      <c r="TCG149" s="22"/>
      <c r="TCH149" s="22"/>
      <c r="TCI149" s="22"/>
      <c r="TCJ149" s="22"/>
      <c r="TCK149" s="22"/>
      <c r="TCL149" s="22"/>
      <c r="TCM149" s="22"/>
      <c r="TCN149" s="22"/>
      <c r="TCO149" s="22"/>
      <c r="TCP149" s="22"/>
      <c r="TCQ149" s="22"/>
      <c r="TCR149" s="22"/>
      <c r="TCS149" s="22"/>
      <c r="TCT149" s="22"/>
      <c r="TCU149" s="22"/>
      <c r="TCV149" s="22"/>
      <c r="TCW149" s="22"/>
      <c r="TCX149" s="22"/>
      <c r="TCY149" s="22"/>
      <c r="TCZ149" s="22"/>
      <c r="TDA149" s="22"/>
      <c r="TDB149" s="22"/>
      <c r="TDC149" s="22"/>
      <c r="TDD149" s="22"/>
      <c r="TDE149" s="22"/>
      <c r="TDF149" s="22"/>
      <c r="TDG149" s="22"/>
      <c r="TDH149" s="22"/>
      <c r="TDI149" s="22"/>
      <c r="TDJ149" s="22"/>
      <c r="TDK149" s="22"/>
      <c r="TDL149" s="22"/>
      <c r="TDM149" s="22"/>
      <c r="TDN149" s="22"/>
      <c r="TDO149" s="22"/>
      <c r="TDP149" s="22"/>
      <c r="TDQ149" s="22"/>
      <c r="TDR149" s="22"/>
      <c r="TDS149" s="22"/>
      <c r="TDT149" s="22"/>
      <c r="TDU149" s="22"/>
      <c r="TDV149" s="22"/>
      <c r="TDW149" s="22"/>
      <c r="TDX149" s="22"/>
      <c r="TDY149" s="22"/>
      <c r="TDZ149" s="22"/>
      <c r="TEA149" s="22"/>
      <c r="TEB149" s="22"/>
      <c r="TEC149" s="22"/>
      <c r="TED149" s="22"/>
      <c r="TEE149" s="22"/>
      <c r="TEF149" s="22"/>
      <c r="TEG149" s="22"/>
      <c r="TEH149" s="22"/>
      <c r="TEI149" s="22"/>
      <c r="TEJ149" s="22"/>
      <c r="TEK149" s="22"/>
      <c r="TEL149" s="22"/>
      <c r="TEM149" s="22"/>
      <c r="TEN149" s="22"/>
      <c r="TEO149" s="22"/>
      <c r="TEP149" s="22"/>
      <c r="TEQ149" s="22"/>
      <c r="TER149" s="22"/>
      <c r="TES149" s="22"/>
      <c r="TET149" s="22"/>
      <c r="TEU149" s="22"/>
      <c r="TEV149" s="22"/>
      <c r="TEW149" s="22"/>
      <c r="TEX149" s="22"/>
      <c r="TEY149" s="22"/>
      <c r="TEZ149" s="22"/>
      <c r="TFA149" s="22"/>
      <c r="TFB149" s="22"/>
      <c r="TFC149" s="22"/>
      <c r="TFD149" s="22"/>
      <c r="TFE149" s="22"/>
      <c r="TFF149" s="22"/>
      <c r="TFG149" s="22"/>
      <c r="TFH149" s="22"/>
      <c r="TFI149" s="22"/>
      <c r="TFJ149" s="22"/>
      <c r="TFK149" s="22"/>
      <c r="TFL149" s="22"/>
      <c r="TFM149" s="22"/>
      <c r="TFN149" s="22"/>
      <c r="TFO149" s="22"/>
      <c r="TFP149" s="22"/>
      <c r="TFQ149" s="22"/>
      <c r="TFR149" s="22"/>
      <c r="TFS149" s="22"/>
      <c r="TFT149" s="22"/>
      <c r="TFU149" s="22"/>
      <c r="TFV149" s="22"/>
      <c r="TFW149" s="22"/>
      <c r="TFX149" s="22"/>
      <c r="TFY149" s="22"/>
      <c r="TFZ149" s="22"/>
      <c r="TGA149" s="22"/>
      <c r="TGB149" s="22"/>
      <c r="TGC149" s="22"/>
      <c r="TGD149" s="22"/>
      <c r="TGE149" s="22"/>
      <c r="TGF149" s="22"/>
      <c r="TGG149" s="22"/>
      <c r="TGH149" s="22"/>
      <c r="TGI149" s="22"/>
      <c r="TGJ149" s="22"/>
      <c r="TGK149" s="22"/>
      <c r="TGL149" s="22"/>
      <c r="TGM149" s="22"/>
      <c r="TGN149" s="22"/>
      <c r="TGO149" s="22"/>
      <c r="TGP149" s="22"/>
      <c r="TGQ149" s="22"/>
      <c r="TGR149" s="22"/>
      <c r="TGS149" s="22"/>
      <c r="TGT149" s="22"/>
      <c r="TGU149" s="22"/>
      <c r="TGV149" s="22"/>
      <c r="TGW149" s="22"/>
      <c r="TGX149" s="22"/>
      <c r="TGY149" s="22"/>
      <c r="TGZ149" s="22"/>
      <c r="THA149" s="22"/>
      <c r="THB149" s="22"/>
      <c r="THC149" s="22"/>
      <c r="THD149" s="22"/>
      <c r="THE149" s="22"/>
      <c r="THF149" s="22"/>
      <c r="THG149" s="22"/>
      <c r="THH149" s="22"/>
      <c r="THI149" s="22"/>
      <c r="THJ149" s="22"/>
      <c r="THK149" s="22"/>
      <c r="THL149" s="22"/>
      <c r="THM149" s="22"/>
      <c r="THN149" s="22"/>
      <c r="THO149" s="22"/>
      <c r="THP149" s="22"/>
      <c r="THQ149" s="22"/>
      <c r="THR149" s="22"/>
      <c r="THS149" s="22"/>
      <c r="THT149" s="22"/>
      <c r="THU149" s="22"/>
      <c r="THV149" s="22"/>
      <c r="THW149" s="22"/>
      <c r="THX149" s="22"/>
      <c r="THY149" s="22"/>
      <c r="THZ149" s="22"/>
      <c r="TIA149" s="22"/>
      <c r="TIB149" s="22"/>
      <c r="TIC149" s="22"/>
      <c r="TID149" s="22"/>
      <c r="TIE149" s="22"/>
      <c r="TIF149" s="22"/>
      <c r="TIG149" s="22"/>
      <c r="TIH149" s="22"/>
      <c r="TII149" s="22"/>
      <c r="TIJ149" s="22"/>
      <c r="TIK149" s="22"/>
      <c r="TIL149" s="22"/>
      <c r="TIM149" s="22"/>
      <c r="TIN149" s="22"/>
      <c r="TIO149" s="22"/>
      <c r="TIP149" s="22"/>
      <c r="TIQ149" s="22"/>
      <c r="TIR149" s="22"/>
      <c r="TIS149" s="22"/>
      <c r="TIT149" s="22"/>
      <c r="TIU149" s="22"/>
      <c r="TIV149" s="22"/>
      <c r="TIW149" s="22"/>
      <c r="TIX149" s="22"/>
      <c r="TIY149" s="22"/>
      <c r="TIZ149" s="22"/>
      <c r="TJA149" s="22"/>
      <c r="TJB149" s="22"/>
      <c r="TJC149" s="22"/>
      <c r="TJD149" s="22"/>
      <c r="TJE149" s="22"/>
      <c r="TJF149" s="22"/>
      <c r="TJG149" s="22"/>
      <c r="TJH149" s="22"/>
      <c r="TJI149" s="22"/>
      <c r="TJJ149" s="22"/>
      <c r="TJK149" s="22"/>
      <c r="TJL149" s="22"/>
      <c r="TJM149" s="22"/>
      <c r="TJN149" s="22"/>
      <c r="TJO149" s="22"/>
      <c r="TJP149" s="22"/>
      <c r="TJQ149" s="22"/>
      <c r="TJR149" s="22"/>
      <c r="TJS149" s="22"/>
      <c r="TJT149" s="22"/>
      <c r="TJU149" s="22"/>
      <c r="TJV149" s="22"/>
      <c r="TJW149" s="22"/>
      <c r="TJX149" s="22"/>
      <c r="TJY149" s="22"/>
      <c r="TJZ149" s="22"/>
      <c r="TKA149" s="22"/>
      <c r="TKB149" s="22"/>
      <c r="TKC149" s="22"/>
      <c r="TKD149" s="22"/>
      <c r="TKE149" s="22"/>
      <c r="TKF149" s="22"/>
      <c r="TKG149" s="22"/>
      <c r="TKH149" s="22"/>
      <c r="TKI149" s="22"/>
      <c r="TKJ149" s="22"/>
      <c r="TKK149" s="22"/>
      <c r="TKL149" s="22"/>
      <c r="TKM149" s="22"/>
      <c r="TKN149" s="22"/>
      <c r="TKO149" s="22"/>
      <c r="TKP149" s="22"/>
      <c r="TKQ149" s="22"/>
      <c r="TKR149" s="22"/>
      <c r="TKS149" s="22"/>
      <c r="TKT149" s="22"/>
      <c r="TKU149" s="22"/>
      <c r="TKV149" s="22"/>
      <c r="TKW149" s="22"/>
      <c r="TKX149" s="22"/>
      <c r="TKY149" s="22"/>
      <c r="TKZ149" s="22"/>
      <c r="TLA149" s="22"/>
      <c r="TLB149" s="22"/>
      <c r="TLC149" s="22"/>
      <c r="TLD149" s="22"/>
      <c r="TLE149" s="22"/>
      <c r="TLF149" s="22"/>
      <c r="TLG149" s="22"/>
      <c r="TLH149" s="22"/>
      <c r="TLI149" s="22"/>
      <c r="TLJ149" s="22"/>
      <c r="TLK149" s="22"/>
      <c r="TLL149" s="22"/>
      <c r="TLM149" s="22"/>
      <c r="TLN149" s="22"/>
      <c r="TLO149" s="22"/>
      <c r="TLP149" s="22"/>
      <c r="TLQ149" s="22"/>
      <c r="TLR149" s="22"/>
      <c r="TLS149" s="22"/>
      <c r="TLT149" s="22"/>
      <c r="TLU149" s="22"/>
      <c r="TLV149" s="22"/>
      <c r="TLW149" s="22"/>
      <c r="TLX149" s="22"/>
      <c r="TLY149" s="22"/>
      <c r="TLZ149" s="22"/>
      <c r="TMA149" s="22"/>
      <c r="TMB149" s="22"/>
      <c r="TMC149" s="22"/>
      <c r="TMD149" s="22"/>
      <c r="TME149" s="22"/>
      <c r="TMF149" s="22"/>
      <c r="TMG149" s="22"/>
      <c r="TMH149" s="22"/>
      <c r="TMI149" s="22"/>
      <c r="TMJ149" s="22"/>
      <c r="TMK149" s="22"/>
      <c r="TML149" s="22"/>
      <c r="TMM149" s="22"/>
      <c r="TMN149" s="22"/>
      <c r="TMO149" s="22"/>
      <c r="TMP149" s="22"/>
      <c r="TMQ149" s="22"/>
      <c r="TMR149" s="22"/>
      <c r="TMS149" s="22"/>
      <c r="TMT149" s="22"/>
      <c r="TMU149" s="22"/>
      <c r="TMV149" s="22"/>
      <c r="TMW149" s="22"/>
      <c r="TMX149" s="22"/>
      <c r="TMY149" s="22"/>
      <c r="TMZ149" s="22"/>
      <c r="TNA149" s="22"/>
      <c r="TNB149" s="22"/>
      <c r="TNC149" s="22"/>
      <c r="TND149" s="22"/>
      <c r="TNE149" s="22"/>
      <c r="TNF149" s="22"/>
      <c r="TNG149" s="22"/>
      <c r="TNH149" s="22"/>
      <c r="TNI149" s="22"/>
      <c r="TNJ149" s="22"/>
      <c r="TNK149" s="22"/>
      <c r="TNL149" s="22"/>
      <c r="TNM149" s="22"/>
      <c r="TNN149" s="22"/>
      <c r="TNO149" s="22"/>
      <c r="TNP149" s="22"/>
      <c r="TNQ149" s="22"/>
      <c r="TNR149" s="22"/>
      <c r="TNS149" s="22"/>
      <c r="TNT149" s="22"/>
      <c r="TNU149" s="22"/>
      <c r="TNV149" s="22"/>
      <c r="TNW149" s="22"/>
      <c r="TNX149" s="22"/>
      <c r="TNY149" s="22"/>
      <c r="TNZ149" s="22"/>
      <c r="TOA149" s="22"/>
      <c r="TOB149" s="22"/>
      <c r="TOC149" s="22"/>
      <c r="TOD149" s="22"/>
      <c r="TOE149" s="22"/>
      <c r="TOF149" s="22"/>
      <c r="TOG149" s="22"/>
      <c r="TOH149" s="22"/>
      <c r="TOI149" s="22"/>
      <c r="TOJ149" s="22"/>
      <c r="TOK149" s="22"/>
      <c r="TOL149" s="22"/>
      <c r="TOM149" s="22"/>
      <c r="TON149" s="22"/>
      <c r="TOO149" s="22"/>
      <c r="TOP149" s="22"/>
      <c r="TOQ149" s="22"/>
      <c r="TOR149" s="22"/>
      <c r="TOS149" s="22"/>
      <c r="TOT149" s="22"/>
      <c r="TOU149" s="22"/>
      <c r="TOV149" s="22"/>
      <c r="TOW149" s="22"/>
      <c r="TOX149" s="22"/>
      <c r="TOY149" s="22"/>
      <c r="TOZ149" s="22"/>
      <c r="TPA149" s="22"/>
      <c r="TPB149" s="22"/>
      <c r="TPC149" s="22"/>
      <c r="TPD149" s="22"/>
      <c r="TPE149" s="22"/>
      <c r="TPF149" s="22"/>
      <c r="TPG149" s="22"/>
      <c r="TPH149" s="22"/>
      <c r="TPI149" s="22"/>
      <c r="TPJ149" s="22"/>
      <c r="TPK149" s="22"/>
      <c r="TPL149" s="22"/>
      <c r="TPM149" s="22"/>
      <c r="TPN149" s="22"/>
      <c r="TPO149" s="22"/>
      <c r="TPP149" s="22"/>
      <c r="TPQ149" s="22"/>
      <c r="TPR149" s="22"/>
      <c r="TPS149" s="22"/>
      <c r="TPT149" s="22"/>
      <c r="TPU149" s="22"/>
      <c r="TPV149" s="22"/>
      <c r="TPW149" s="22"/>
      <c r="TPX149" s="22"/>
      <c r="TPY149" s="22"/>
      <c r="TPZ149" s="22"/>
      <c r="TQA149" s="22"/>
      <c r="TQB149" s="22"/>
      <c r="TQC149" s="22"/>
      <c r="TQD149" s="22"/>
      <c r="TQE149" s="22"/>
      <c r="TQF149" s="22"/>
      <c r="TQG149" s="22"/>
      <c r="TQH149" s="22"/>
      <c r="TQI149" s="22"/>
      <c r="TQJ149" s="22"/>
      <c r="TQK149" s="22"/>
      <c r="TQL149" s="22"/>
      <c r="TQM149" s="22"/>
      <c r="TQN149" s="22"/>
      <c r="TQO149" s="22"/>
      <c r="TQP149" s="22"/>
      <c r="TQQ149" s="22"/>
      <c r="TQR149" s="22"/>
      <c r="TQS149" s="22"/>
      <c r="TQT149" s="22"/>
      <c r="TQU149" s="22"/>
      <c r="TQV149" s="22"/>
      <c r="TQW149" s="22"/>
      <c r="TQX149" s="22"/>
      <c r="TQY149" s="22"/>
      <c r="TQZ149" s="22"/>
      <c r="TRA149" s="22"/>
      <c r="TRB149" s="22"/>
      <c r="TRC149" s="22"/>
      <c r="TRD149" s="22"/>
      <c r="TRE149" s="22"/>
      <c r="TRF149" s="22"/>
      <c r="TRG149" s="22"/>
      <c r="TRH149" s="22"/>
      <c r="TRI149" s="22"/>
      <c r="TRJ149" s="22"/>
      <c r="TRK149" s="22"/>
      <c r="TRL149" s="22"/>
      <c r="TRM149" s="22"/>
      <c r="TRN149" s="22"/>
      <c r="TRO149" s="22"/>
      <c r="TRP149" s="22"/>
      <c r="TRQ149" s="22"/>
      <c r="TRR149" s="22"/>
      <c r="TRS149" s="22"/>
      <c r="TRT149" s="22"/>
      <c r="TRU149" s="22"/>
      <c r="TRV149" s="22"/>
      <c r="TRW149" s="22"/>
      <c r="TRX149" s="22"/>
      <c r="TRY149" s="22"/>
      <c r="TRZ149" s="22"/>
      <c r="TSA149" s="22"/>
      <c r="TSB149" s="22"/>
      <c r="TSC149" s="22"/>
      <c r="TSD149" s="22"/>
      <c r="TSE149" s="22"/>
      <c r="TSF149" s="22"/>
      <c r="TSG149" s="22"/>
      <c r="TSH149" s="22"/>
      <c r="TSI149" s="22"/>
      <c r="TSJ149" s="22"/>
      <c r="TSK149" s="22"/>
      <c r="TSL149" s="22"/>
      <c r="TSM149" s="22"/>
      <c r="TSN149" s="22"/>
      <c r="TSO149" s="22"/>
      <c r="TSP149" s="22"/>
      <c r="TSQ149" s="22"/>
      <c r="TSR149" s="22"/>
      <c r="TSS149" s="22"/>
      <c r="TST149" s="22"/>
      <c r="TSU149" s="22"/>
      <c r="TSV149" s="22"/>
      <c r="TSW149" s="22"/>
      <c r="TSX149" s="22"/>
      <c r="TSY149" s="22"/>
      <c r="TSZ149" s="22"/>
      <c r="TTA149" s="22"/>
      <c r="TTB149" s="22"/>
      <c r="TTC149" s="22"/>
      <c r="TTD149" s="22"/>
      <c r="TTE149" s="22"/>
      <c r="TTF149" s="22"/>
      <c r="TTG149" s="22"/>
      <c r="TTH149" s="22"/>
      <c r="TTI149" s="22"/>
      <c r="TTJ149" s="22"/>
      <c r="TTK149" s="22"/>
      <c r="TTL149" s="22"/>
      <c r="TTM149" s="22"/>
      <c r="TTN149" s="22"/>
      <c r="TTO149" s="22"/>
      <c r="TTP149" s="22"/>
      <c r="TTQ149" s="22"/>
      <c r="TTR149" s="22"/>
      <c r="TTS149" s="22"/>
      <c r="TTT149" s="22"/>
      <c r="TTU149" s="22"/>
      <c r="TTV149" s="22"/>
      <c r="TTW149" s="22"/>
      <c r="TTX149" s="22"/>
      <c r="TTY149" s="22"/>
      <c r="TTZ149" s="22"/>
      <c r="TUA149" s="22"/>
      <c r="TUB149" s="22"/>
      <c r="TUC149" s="22"/>
      <c r="TUD149" s="22"/>
      <c r="TUE149" s="22"/>
      <c r="TUF149" s="22"/>
      <c r="TUG149" s="22"/>
      <c r="TUH149" s="22"/>
      <c r="TUI149" s="22"/>
      <c r="TUJ149" s="22"/>
      <c r="TUK149" s="22"/>
      <c r="TUL149" s="22"/>
      <c r="TUM149" s="22"/>
      <c r="TUN149" s="22"/>
      <c r="TUO149" s="22"/>
      <c r="TUP149" s="22"/>
      <c r="TUQ149" s="22"/>
      <c r="TUR149" s="22"/>
      <c r="TUS149" s="22"/>
      <c r="TUT149" s="22"/>
      <c r="TUU149" s="22"/>
      <c r="TUV149" s="22"/>
      <c r="TUW149" s="22"/>
      <c r="TUX149" s="22"/>
      <c r="TUY149" s="22"/>
      <c r="TUZ149" s="22"/>
      <c r="TVA149" s="22"/>
      <c r="TVB149" s="22"/>
      <c r="TVC149" s="22"/>
      <c r="TVD149" s="22"/>
      <c r="TVE149" s="22"/>
      <c r="TVF149" s="22"/>
      <c r="TVG149" s="22"/>
      <c r="TVH149" s="22"/>
      <c r="TVI149" s="22"/>
      <c r="TVJ149" s="22"/>
      <c r="TVK149" s="22"/>
      <c r="TVL149" s="22"/>
      <c r="TVM149" s="22"/>
      <c r="TVN149" s="22"/>
      <c r="TVO149" s="22"/>
      <c r="TVP149" s="22"/>
      <c r="TVQ149" s="22"/>
      <c r="TVR149" s="22"/>
      <c r="TVS149" s="22"/>
      <c r="TVT149" s="22"/>
      <c r="TVU149" s="22"/>
      <c r="TVV149" s="22"/>
      <c r="TVW149" s="22"/>
      <c r="TVX149" s="22"/>
      <c r="TVY149" s="22"/>
      <c r="TVZ149" s="22"/>
      <c r="TWA149" s="22"/>
      <c r="TWB149" s="22"/>
      <c r="TWC149" s="22"/>
      <c r="TWD149" s="22"/>
      <c r="TWE149" s="22"/>
      <c r="TWF149" s="22"/>
      <c r="TWG149" s="22"/>
      <c r="TWH149" s="22"/>
      <c r="TWI149" s="22"/>
      <c r="TWJ149" s="22"/>
      <c r="TWK149" s="22"/>
      <c r="TWL149" s="22"/>
      <c r="TWM149" s="22"/>
      <c r="TWN149" s="22"/>
      <c r="TWO149" s="22"/>
      <c r="TWP149" s="22"/>
      <c r="TWQ149" s="22"/>
      <c r="TWR149" s="22"/>
      <c r="TWS149" s="22"/>
      <c r="TWT149" s="22"/>
      <c r="TWU149" s="22"/>
      <c r="TWV149" s="22"/>
      <c r="TWW149" s="22"/>
      <c r="TWX149" s="22"/>
      <c r="TWY149" s="22"/>
      <c r="TWZ149" s="22"/>
      <c r="TXA149" s="22"/>
      <c r="TXB149" s="22"/>
      <c r="TXC149" s="22"/>
      <c r="TXD149" s="22"/>
      <c r="TXE149" s="22"/>
      <c r="TXF149" s="22"/>
      <c r="TXG149" s="22"/>
      <c r="TXH149" s="22"/>
      <c r="TXI149" s="22"/>
      <c r="TXJ149" s="22"/>
      <c r="TXK149" s="22"/>
      <c r="TXL149" s="22"/>
      <c r="TXM149" s="22"/>
      <c r="TXN149" s="22"/>
      <c r="TXO149" s="22"/>
      <c r="TXP149" s="22"/>
      <c r="TXQ149" s="22"/>
      <c r="TXR149" s="22"/>
      <c r="TXS149" s="22"/>
      <c r="TXT149" s="22"/>
      <c r="TXU149" s="22"/>
      <c r="TXV149" s="22"/>
      <c r="TXW149" s="22"/>
      <c r="TXX149" s="22"/>
      <c r="TXY149" s="22"/>
      <c r="TXZ149" s="22"/>
      <c r="TYA149" s="22"/>
      <c r="TYB149" s="22"/>
      <c r="TYC149" s="22"/>
      <c r="TYD149" s="22"/>
      <c r="TYE149" s="22"/>
      <c r="TYF149" s="22"/>
      <c r="TYG149" s="22"/>
      <c r="TYH149" s="22"/>
      <c r="TYI149" s="22"/>
      <c r="TYJ149" s="22"/>
      <c r="TYK149" s="22"/>
      <c r="TYL149" s="22"/>
      <c r="TYM149" s="22"/>
      <c r="TYN149" s="22"/>
      <c r="TYO149" s="22"/>
      <c r="TYP149" s="22"/>
      <c r="TYQ149" s="22"/>
      <c r="TYR149" s="22"/>
      <c r="TYS149" s="22"/>
      <c r="TYT149" s="22"/>
      <c r="TYU149" s="22"/>
      <c r="TYV149" s="22"/>
      <c r="TYW149" s="22"/>
      <c r="TYX149" s="22"/>
      <c r="TYY149" s="22"/>
      <c r="TYZ149" s="22"/>
      <c r="TZA149" s="22"/>
      <c r="TZB149" s="22"/>
      <c r="TZC149" s="22"/>
      <c r="TZD149" s="22"/>
      <c r="TZE149" s="22"/>
      <c r="TZF149" s="22"/>
      <c r="TZG149" s="22"/>
      <c r="TZH149" s="22"/>
      <c r="TZI149" s="22"/>
      <c r="TZJ149" s="22"/>
      <c r="TZK149" s="22"/>
      <c r="TZL149" s="22"/>
      <c r="TZM149" s="22"/>
      <c r="TZN149" s="22"/>
      <c r="TZO149" s="22"/>
      <c r="TZP149" s="22"/>
      <c r="TZQ149" s="22"/>
      <c r="TZR149" s="22"/>
      <c r="TZS149" s="22"/>
      <c r="TZT149" s="22"/>
      <c r="TZU149" s="22"/>
      <c r="TZV149" s="22"/>
      <c r="TZW149" s="22"/>
      <c r="TZX149" s="22"/>
      <c r="TZY149" s="22"/>
      <c r="TZZ149" s="22"/>
      <c r="UAA149" s="22"/>
      <c r="UAB149" s="22"/>
      <c r="UAC149" s="22"/>
      <c r="UAD149" s="22"/>
      <c r="UAE149" s="22"/>
      <c r="UAF149" s="22"/>
      <c r="UAG149" s="22"/>
      <c r="UAH149" s="22"/>
      <c r="UAI149" s="22"/>
      <c r="UAJ149" s="22"/>
      <c r="UAK149" s="22"/>
      <c r="UAL149" s="22"/>
      <c r="UAM149" s="22"/>
      <c r="UAN149" s="22"/>
      <c r="UAO149" s="22"/>
      <c r="UAP149" s="22"/>
      <c r="UAQ149" s="22"/>
      <c r="UAR149" s="22"/>
      <c r="UAS149" s="22"/>
      <c r="UAT149" s="22"/>
      <c r="UAU149" s="22"/>
      <c r="UAV149" s="22"/>
      <c r="UAW149" s="22"/>
      <c r="UAX149" s="22"/>
      <c r="UAY149" s="22"/>
      <c r="UAZ149" s="22"/>
      <c r="UBA149" s="22"/>
      <c r="UBB149" s="22"/>
      <c r="UBC149" s="22"/>
      <c r="UBD149" s="22"/>
      <c r="UBE149" s="22"/>
      <c r="UBF149" s="22"/>
      <c r="UBG149" s="22"/>
      <c r="UBH149" s="22"/>
      <c r="UBI149" s="22"/>
      <c r="UBJ149" s="22"/>
      <c r="UBK149" s="22"/>
      <c r="UBL149" s="22"/>
      <c r="UBM149" s="22"/>
      <c r="UBN149" s="22"/>
      <c r="UBO149" s="22"/>
      <c r="UBP149" s="22"/>
      <c r="UBQ149" s="22"/>
      <c r="UBR149" s="22"/>
      <c r="UBS149" s="22"/>
      <c r="UBT149" s="22"/>
      <c r="UBU149" s="22"/>
      <c r="UBV149" s="22"/>
      <c r="UBW149" s="22"/>
      <c r="UBX149" s="22"/>
      <c r="UBY149" s="22"/>
      <c r="UBZ149" s="22"/>
      <c r="UCA149" s="22"/>
      <c r="UCB149" s="22"/>
      <c r="UCC149" s="22"/>
      <c r="UCD149" s="22"/>
      <c r="UCE149" s="22"/>
      <c r="UCF149" s="22"/>
      <c r="UCG149" s="22"/>
      <c r="UCH149" s="22"/>
      <c r="UCI149" s="22"/>
      <c r="UCJ149" s="22"/>
      <c r="UCK149" s="22"/>
      <c r="UCL149" s="22"/>
      <c r="UCM149" s="22"/>
      <c r="UCN149" s="22"/>
      <c r="UCO149" s="22"/>
      <c r="UCP149" s="22"/>
      <c r="UCQ149" s="22"/>
      <c r="UCR149" s="22"/>
      <c r="UCS149" s="22"/>
      <c r="UCT149" s="22"/>
      <c r="UCU149" s="22"/>
      <c r="UCV149" s="22"/>
      <c r="UCW149" s="22"/>
      <c r="UCX149" s="22"/>
      <c r="UCY149" s="22"/>
      <c r="UCZ149" s="22"/>
      <c r="UDA149" s="22"/>
      <c r="UDB149" s="22"/>
      <c r="UDC149" s="22"/>
      <c r="UDD149" s="22"/>
      <c r="UDE149" s="22"/>
      <c r="UDF149" s="22"/>
      <c r="UDG149" s="22"/>
      <c r="UDH149" s="22"/>
      <c r="UDI149" s="22"/>
      <c r="UDJ149" s="22"/>
      <c r="UDK149" s="22"/>
      <c r="UDL149" s="22"/>
      <c r="UDM149" s="22"/>
      <c r="UDN149" s="22"/>
      <c r="UDO149" s="22"/>
      <c r="UDP149" s="22"/>
      <c r="UDQ149" s="22"/>
      <c r="UDR149" s="22"/>
      <c r="UDS149" s="22"/>
      <c r="UDT149" s="22"/>
      <c r="UDU149" s="22"/>
      <c r="UDV149" s="22"/>
      <c r="UDW149" s="22"/>
      <c r="UDX149" s="22"/>
      <c r="UDY149" s="22"/>
      <c r="UDZ149" s="22"/>
      <c r="UEA149" s="22"/>
      <c r="UEB149" s="22"/>
      <c r="UEC149" s="22"/>
      <c r="UED149" s="22"/>
      <c r="UEE149" s="22"/>
      <c r="UEF149" s="22"/>
      <c r="UEG149" s="22"/>
      <c r="UEH149" s="22"/>
      <c r="UEI149" s="22"/>
      <c r="UEJ149" s="22"/>
      <c r="UEK149" s="22"/>
      <c r="UEL149" s="22"/>
      <c r="UEM149" s="22"/>
      <c r="UEN149" s="22"/>
      <c r="UEO149" s="22"/>
      <c r="UEP149" s="22"/>
      <c r="UEQ149" s="22"/>
      <c r="UER149" s="22"/>
      <c r="UES149" s="22"/>
      <c r="UET149" s="22"/>
      <c r="UEU149" s="22"/>
      <c r="UEV149" s="22"/>
      <c r="UEW149" s="22"/>
      <c r="UEX149" s="22"/>
      <c r="UEY149" s="22"/>
      <c r="UEZ149" s="22"/>
      <c r="UFA149" s="22"/>
      <c r="UFB149" s="22"/>
      <c r="UFC149" s="22"/>
      <c r="UFD149" s="22"/>
      <c r="UFE149" s="22"/>
      <c r="UFF149" s="22"/>
      <c r="UFG149" s="22"/>
      <c r="UFH149" s="22"/>
      <c r="UFI149" s="22"/>
      <c r="UFJ149" s="22"/>
      <c r="UFK149" s="22"/>
      <c r="UFL149" s="22"/>
      <c r="UFM149" s="22"/>
      <c r="UFN149" s="22"/>
      <c r="UFO149" s="22"/>
      <c r="UFP149" s="22"/>
      <c r="UFQ149" s="22"/>
      <c r="UFR149" s="22"/>
      <c r="UFS149" s="22"/>
      <c r="UFT149" s="22"/>
      <c r="UFU149" s="22"/>
      <c r="UFV149" s="22"/>
      <c r="UFW149" s="22"/>
      <c r="UFX149" s="22"/>
      <c r="UFY149" s="22"/>
      <c r="UFZ149" s="22"/>
      <c r="UGA149" s="22"/>
      <c r="UGB149" s="22"/>
      <c r="UGC149" s="22"/>
      <c r="UGD149" s="22"/>
      <c r="UGE149" s="22"/>
      <c r="UGF149" s="22"/>
      <c r="UGG149" s="22"/>
      <c r="UGH149" s="22"/>
      <c r="UGI149" s="22"/>
      <c r="UGJ149" s="22"/>
      <c r="UGK149" s="22"/>
      <c r="UGL149" s="22"/>
      <c r="UGM149" s="22"/>
      <c r="UGN149" s="22"/>
      <c r="UGO149" s="22"/>
      <c r="UGP149" s="22"/>
      <c r="UGQ149" s="22"/>
      <c r="UGR149" s="22"/>
      <c r="UGS149" s="22"/>
      <c r="UGT149" s="22"/>
      <c r="UGU149" s="22"/>
      <c r="UGV149" s="22"/>
      <c r="UGW149" s="22"/>
      <c r="UGX149" s="22"/>
      <c r="UGY149" s="22"/>
      <c r="UGZ149" s="22"/>
      <c r="UHA149" s="22"/>
      <c r="UHB149" s="22"/>
      <c r="UHC149" s="22"/>
      <c r="UHD149" s="22"/>
      <c r="UHE149" s="22"/>
      <c r="UHF149" s="22"/>
      <c r="UHG149" s="22"/>
      <c r="UHH149" s="22"/>
      <c r="UHI149" s="22"/>
      <c r="UHJ149" s="22"/>
      <c r="UHK149" s="22"/>
      <c r="UHL149" s="22"/>
      <c r="UHM149" s="22"/>
      <c r="UHN149" s="22"/>
      <c r="UHO149" s="22"/>
      <c r="UHP149" s="22"/>
      <c r="UHQ149" s="22"/>
      <c r="UHR149" s="22"/>
      <c r="UHS149" s="22"/>
      <c r="UHT149" s="22"/>
      <c r="UHU149" s="22"/>
      <c r="UHV149" s="22"/>
      <c r="UHW149" s="22"/>
      <c r="UHX149" s="22"/>
      <c r="UHY149" s="22"/>
      <c r="UHZ149" s="22"/>
      <c r="UIA149" s="22"/>
      <c r="UIB149" s="22"/>
      <c r="UIC149" s="22"/>
      <c r="UID149" s="22"/>
      <c r="UIE149" s="22"/>
      <c r="UIF149" s="22"/>
      <c r="UIG149" s="22"/>
      <c r="UIH149" s="22"/>
      <c r="UII149" s="22"/>
      <c r="UIJ149" s="22"/>
      <c r="UIK149" s="22"/>
      <c r="UIL149" s="22"/>
      <c r="UIM149" s="22"/>
      <c r="UIN149" s="22"/>
      <c r="UIO149" s="22"/>
      <c r="UIP149" s="22"/>
      <c r="UIQ149" s="22"/>
      <c r="UIR149" s="22"/>
      <c r="UIS149" s="22"/>
      <c r="UIT149" s="22"/>
      <c r="UIU149" s="22"/>
      <c r="UIV149" s="22"/>
      <c r="UIW149" s="22"/>
      <c r="UIX149" s="22"/>
      <c r="UIY149" s="22"/>
      <c r="UIZ149" s="22"/>
      <c r="UJA149" s="22"/>
      <c r="UJB149" s="22"/>
      <c r="UJC149" s="22"/>
      <c r="UJD149" s="22"/>
      <c r="UJE149" s="22"/>
      <c r="UJF149" s="22"/>
      <c r="UJG149" s="22"/>
      <c r="UJH149" s="22"/>
      <c r="UJI149" s="22"/>
      <c r="UJJ149" s="22"/>
      <c r="UJK149" s="22"/>
      <c r="UJL149" s="22"/>
      <c r="UJM149" s="22"/>
      <c r="UJN149" s="22"/>
      <c r="UJO149" s="22"/>
      <c r="UJP149" s="22"/>
      <c r="UJQ149" s="22"/>
      <c r="UJR149" s="22"/>
      <c r="UJS149" s="22"/>
      <c r="UJT149" s="22"/>
      <c r="UJU149" s="22"/>
      <c r="UJV149" s="22"/>
      <c r="UJW149" s="22"/>
      <c r="UJX149" s="22"/>
      <c r="UJY149" s="22"/>
      <c r="UJZ149" s="22"/>
      <c r="UKA149" s="22"/>
      <c r="UKB149" s="22"/>
      <c r="UKC149" s="22"/>
      <c r="UKD149" s="22"/>
      <c r="UKE149" s="22"/>
      <c r="UKF149" s="22"/>
      <c r="UKG149" s="22"/>
      <c r="UKH149" s="22"/>
      <c r="UKI149" s="22"/>
      <c r="UKJ149" s="22"/>
      <c r="UKK149" s="22"/>
      <c r="UKL149" s="22"/>
      <c r="UKM149" s="22"/>
      <c r="UKN149" s="22"/>
      <c r="UKO149" s="22"/>
      <c r="UKP149" s="22"/>
      <c r="UKQ149" s="22"/>
      <c r="UKR149" s="22"/>
      <c r="UKS149" s="22"/>
      <c r="UKT149" s="22"/>
      <c r="UKU149" s="22"/>
      <c r="UKV149" s="22"/>
      <c r="UKW149" s="22"/>
      <c r="UKX149" s="22"/>
      <c r="UKY149" s="22"/>
      <c r="UKZ149" s="22"/>
      <c r="ULA149" s="22"/>
      <c r="ULB149" s="22"/>
      <c r="ULC149" s="22"/>
      <c r="ULD149" s="22"/>
      <c r="ULE149" s="22"/>
      <c r="ULF149" s="22"/>
      <c r="ULG149" s="22"/>
      <c r="ULH149" s="22"/>
      <c r="ULI149" s="22"/>
      <c r="ULJ149" s="22"/>
      <c r="ULK149" s="22"/>
      <c r="ULL149" s="22"/>
      <c r="ULM149" s="22"/>
      <c r="ULN149" s="22"/>
      <c r="ULO149" s="22"/>
      <c r="ULP149" s="22"/>
      <c r="ULQ149" s="22"/>
      <c r="ULR149" s="22"/>
      <c r="ULS149" s="22"/>
      <c r="ULT149" s="22"/>
      <c r="ULU149" s="22"/>
      <c r="ULV149" s="22"/>
      <c r="ULW149" s="22"/>
      <c r="ULX149" s="22"/>
      <c r="ULY149" s="22"/>
      <c r="ULZ149" s="22"/>
      <c r="UMA149" s="22"/>
      <c r="UMB149" s="22"/>
      <c r="UMC149" s="22"/>
      <c r="UMD149" s="22"/>
      <c r="UME149" s="22"/>
      <c r="UMF149" s="22"/>
      <c r="UMG149" s="22"/>
      <c r="UMH149" s="22"/>
      <c r="UMI149" s="22"/>
      <c r="UMJ149" s="22"/>
      <c r="UMK149" s="22"/>
      <c r="UML149" s="22"/>
      <c r="UMM149" s="22"/>
      <c r="UMN149" s="22"/>
      <c r="UMO149" s="22"/>
      <c r="UMP149" s="22"/>
      <c r="UMQ149" s="22"/>
      <c r="UMR149" s="22"/>
      <c r="UMS149" s="22"/>
      <c r="UMT149" s="22"/>
      <c r="UMU149" s="22"/>
      <c r="UMV149" s="22"/>
      <c r="UMW149" s="22"/>
      <c r="UMX149" s="22"/>
      <c r="UMY149" s="22"/>
      <c r="UMZ149" s="22"/>
      <c r="UNA149" s="22"/>
      <c r="UNB149" s="22"/>
      <c r="UNC149" s="22"/>
      <c r="UND149" s="22"/>
      <c r="UNE149" s="22"/>
      <c r="UNF149" s="22"/>
      <c r="UNG149" s="22"/>
      <c r="UNH149" s="22"/>
      <c r="UNI149" s="22"/>
      <c r="UNJ149" s="22"/>
      <c r="UNK149" s="22"/>
      <c r="UNL149" s="22"/>
      <c r="UNM149" s="22"/>
      <c r="UNN149" s="22"/>
      <c r="UNO149" s="22"/>
      <c r="UNP149" s="22"/>
      <c r="UNQ149" s="22"/>
      <c r="UNR149" s="22"/>
      <c r="UNS149" s="22"/>
      <c r="UNT149" s="22"/>
      <c r="UNU149" s="22"/>
      <c r="UNV149" s="22"/>
      <c r="UNW149" s="22"/>
      <c r="UNX149" s="22"/>
      <c r="UNY149" s="22"/>
      <c r="UNZ149" s="22"/>
      <c r="UOA149" s="22"/>
      <c r="UOB149" s="22"/>
      <c r="UOC149" s="22"/>
      <c r="UOD149" s="22"/>
      <c r="UOE149" s="22"/>
      <c r="UOF149" s="22"/>
      <c r="UOG149" s="22"/>
      <c r="UOH149" s="22"/>
      <c r="UOI149" s="22"/>
      <c r="UOJ149" s="22"/>
      <c r="UOK149" s="22"/>
      <c r="UOL149" s="22"/>
      <c r="UOM149" s="22"/>
      <c r="UON149" s="22"/>
      <c r="UOO149" s="22"/>
      <c r="UOP149" s="22"/>
      <c r="UOQ149" s="22"/>
      <c r="UOR149" s="22"/>
      <c r="UOS149" s="22"/>
      <c r="UOT149" s="22"/>
      <c r="UOU149" s="22"/>
      <c r="UOV149" s="22"/>
      <c r="UOW149" s="22"/>
      <c r="UOX149" s="22"/>
      <c r="UOY149" s="22"/>
      <c r="UOZ149" s="22"/>
      <c r="UPA149" s="22"/>
      <c r="UPB149" s="22"/>
      <c r="UPC149" s="22"/>
      <c r="UPD149" s="22"/>
      <c r="UPE149" s="22"/>
      <c r="UPF149" s="22"/>
      <c r="UPG149" s="22"/>
      <c r="UPH149" s="22"/>
      <c r="UPI149" s="22"/>
      <c r="UPJ149" s="22"/>
      <c r="UPK149" s="22"/>
      <c r="UPL149" s="22"/>
      <c r="UPM149" s="22"/>
      <c r="UPN149" s="22"/>
      <c r="UPO149" s="22"/>
      <c r="UPP149" s="22"/>
      <c r="UPQ149" s="22"/>
      <c r="UPR149" s="22"/>
      <c r="UPS149" s="22"/>
      <c r="UPT149" s="22"/>
      <c r="UPU149" s="22"/>
      <c r="UPV149" s="22"/>
      <c r="UPW149" s="22"/>
      <c r="UPX149" s="22"/>
      <c r="UPY149" s="22"/>
      <c r="UPZ149" s="22"/>
      <c r="UQA149" s="22"/>
      <c r="UQB149" s="22"/>
      <c r="UQC149" s="22"/>
      <c r="UQD149" s="22"/>
      <c r="UQE149" s="22"/>
      <c r="UQF149" s="22"/>
      <c r="UQG149" s="22"/>
      <c r="UQH149" s="22"/>
      <c r="UQI149" s="22"/>
      <c r="UQJ149" s="22"/>
      <c r="UQK149" s="22"/>
      <c r="UQL149" s="22"/>
      <c r="UQM149" s="22"/>
      <c r="UQN149" s="22"/>
      <c r="UQO149" s="22"/>
      <c r="UQP149" s="22"/>
      <c r="UQQ149" s="22"/>
      <c r="UQR149" s="22"/>
      <c r="UQS149" s="22"/>
      <c r="UQT149" s="22"/>
      <c r="UQU149" s="22"/>
      <c r="UQV149" s="22"/>
      <c r="UQW149" s="22"/>
      <c r="UQX149" s="22"/>
      <c r="UQY149" s="22"/>
      <c r="UQZ149" s="22"/>
      <c r="URA149" s="22"/>
      <c r="URB149" s="22"/>
      <c r="URC149" s="22"/>
      <c r="URD149" s="22"/>
      <c r="URE149" s="22"/>
      <c r="URF149" s="22"/>
      <c r="URG149" s="22"/>
      <c r="URH149" s="22"/>
      <c r="URI149" s="22"/>
      <c r="URJ149" s="22"/>
      <c r="URK149" s="22"/>
      <c r="URL149" s="22"/>
      <c r="URM149" s="22"/>
      <c r="URN149" s="22"/>
      <c r="URO149" s="22"/>
      <c r="URP149" s="22"/>
      <c r="URQ149" s="22"/>
      <c r="URR149" s="22"/>
      <c r="URS149" s="22"/>
      <c r="URT149" s="22"/>
      <c r="URU149" s="22"/>
      <c r="URV149" s="22"/>
      <c r="URW149" s="22"/>
      <c r="URX149" s="22"/>
      <c r="URY149" s="22"/>
      <c r="URZ149" s="22"/>
      <c r="USA149" s="22"/>
      <c r="USB149" s="22"/>
      <c r="USC149" s="22"/>
      <c r="USD149" s="22"/>
      <c r="USE149" s="22"/>
      <c r="USF149" s="22"/>
      <c r="USG149" s="22"/>
      <c r="USH149" s="22"/>
      <c r="USI149" s="22"/>
      <c r="USJ149" s="22"/>
      <c r="USK149" s="22"/>
      <c r="USL149" s="22"/>
      <c r="USM149" s="22"/>
      <c r="USN149" s="22"/>
      <c r="USO149" s="22"/>
      <c r="USP149" s="22"/>
      <c r="USQ149" s="22"/>
      <c r="USR149" s="22"/>
      <c r="USS149" s="22"/>
      <c r="UST149" s="22"/>
      <c r="USU149" s="22"/>
      <c r="USV149" s="22"/>
      <c r="USW149" s="22"/>
      <c r="USX149" s="22"/>
      <c r="USY149" s="22"/>
      <c r="USZ149" s="22"/>
      <c r="UTA149" s="22"/>
      <c r="UTB149" s="22"/>
      <c r="UTC149" s="22"/>
      <c r="UTD149" s="22"/>
      <c r="UTE149" s="22"/>
      <c r="UTF149" s="22"/>
      <c r="UTG149" s="22"/>
      <c r="UTH149" s="22"/>
      <c r="UTI149" s="22"/>
      <c r="UTJ149" s="22"/>
      <c r="UTK149" s="22"/>
      <c r="UTL149" s="22"/>
      <c r="UTM149" s="22"/>
      <c r="UTN149" s="22"/>
      <c r="UTO149" s="22"/>
      <c r="UTP149" s="22"/>
      <c r="UTQ149" s="22"/>
      <c r="UTR149" s="22"/>
      <c r="UTS149" s="22"/>
      <c r="UTT149" s="22"/>
      <c r="UTU149" s="22"/>
      <c r="UTV149" s="22"/>
      <c r="UTW149" s="22"/>
      <c r="UTX149" s="22"/>
      <c r="UTY149" s="22"/>
      <c r="UTZ149" s="22"/>
      <c r="UUA149" s="22"/>
      <c r="UUB149" s="22"/>
      <c r="UUC149" s="22"/>
      <c r="UUD149" s="22"/>
      <c r="UUE149" s="22"/>
      <c r="UUF149" s="22"/>
      <c r="UUG149" s="22"/>
      <c r="UUH149" s="22"/>
      <c r="UUI149" s="22"/>
      <c r="UUJ149" s="22"/>
      <c r="UUK149" s="22"/>
      <c r="UUL149" s="22"/>
      <c r="UUM149" s="22"/>
      <c r="UUN149" s="22"/>
      <c r="UUO149" s="22"/>
      <c r="UUP149" s="22"/>
      <c r="UUQ149" s="22"/>
      <c r="UUR149" s="22"/>
      <c r="UUS149" s="22"/>
      <c r="UUT149" s="22"/>
      <c r="UUU149" s="22"/>
      <c r="UUV149" s="22"/>
      <c r="UUW149" s="22"/>
      <c r="UUX149" s="22"/>
      <c r="UUY149" s="22"/>
      <c r="UUZ149" s="22"/>
      <c r="UVA149" s="22"/>
      <c r="UVB149" s="22"/>
      <c r="UVC149" s="22"/>
      <c r="UVD149" s="22"/>
      <c r="UVE149" s="22"/>
      <c r="UVF149" s="22"/>
      <c r="UVG149" s="22"/>
      <c r="UVH149" s="22"/>
      <c r="UVI149" s="22"/>
      <c r="UVJ149" s="22"/>
      <c r="UVK149" s="22"/>
      <c r="UVL149" s="22"/>
      <c r="UVM149" s="22"/>
      <c r="UVN149" s="22"/>
      <c r="UVO149" s="22"/>
      <c r="UVP149" s="22"/>
      <c r="UVQ149" s="22"/>
      <c r="UVR149" s="22"/>
      <c r="UVS149" s="22"/>
      <c r="UVT149" s="22"/>
      <c r="UVU149" s="22"/>
      <c r="UVV149" s="22"/>
      <c r="UVW149" s="22"/>
      <c r="UVX149" s="22"/>
      <c r="UVY149" s="22"/>
      <c r="UVZ149" s="22"/>
      <c r="UWA149" s="22"/>
      <c r="UWB149" s="22"/>
      <c r="UWC149" s="22"/>
      <c r="UWD149" s="22"/>
      <c r="UWE149" s="22"/>
      <c r="UWF149" s="22"/>
      <c r="UWG149" s="22"/>
      <c r="UWH149" s="22"/>
      <c r="UWI149" s="22"/>
      <c r="UWJ149" s="22"/>
      <c r="UWK149" s="22"/>
      <c r="UWL149" s="22"/>
      <c r="UWM149" s="22"/>
      <c r="UWN149" s="22"/>
      <c r="UWO149" s="22"/>
      <c r="UWP149" s="22"/>
      <c r="UWQ149" s="22"/>
      <c r="UWR149" s="22"/>
      <c r="UWS149" s="22"/>
      <c r="UWT149" s="22"/>
      <c r="UWU149" s="22"/>
      <c r="UWV149" s="22"/>
      <c r="UWW149" s="22"/>
      <c r="UWX149" s="22"/>
      <c r="UWY149" s="22"/>
      <c r="UWZ149" s="22"/>
      <c r="UXA149" s="22"/>
      <c r="UXB149" s="22"/>
      <c r="UXC149" s="22"/>
      <c r="UXD149" s="22"/>
      <c r="UXE149" s="22"/>
      <c r="UXF149" s="22"/>
      <c r="UXG149" s="22"/>
      <c r="UXH149" s="22"/>
      <c r="UXI149" s="22"/>
      <c r="UXJ149" s="22"/>
      <c r="UXK149" s="22"/>
      <c r="UXL149" s="22"/>
      <c r="UXM149" s="22"/>
      <c r="UXN149" s="22"/>
      <c r="UXO149" s="22"/>
      <c r="UXP149" s="22"/>
      <c r="UXQ149" s="22"/>
      <c r="UXR149" s="22"/>
      <c r="UXS149" s="22"/>
      <c r="UXT149" s="22"/>
      <c r="UXU149" s="22"/>
      <c r="UXV149" s="22"/>
      <c r="UXW149" s="22"/>
      <c r="UXX149" s="22"/>
      <c r="UXY149" s="22"/>
      <c r="UXZ149" s="22"/>
      <c r="UYA149" s="22"/>
      <c r="UYB149" s="22"/>
      <c r="UYC149" s="22"/>
      <c r="UYD149" s="22"/>
      <c r="UYE149" s="22"/>
      <c r="UYF149" s="22"/>
      <c r="UYG149" s="22"/>
      <c r="UYH149" s="22"/>
      <c r="UYI149" s="22"/>
      <c r="UYJ149" s="22"/>
      <c r="UYK149" s="22"/>
      <c r="UYL149" s="22"/>
      <c r="UYM149" s="22"/>
      <c r="UYN149" s="22"/>
      <c r="UYO149" s="22"/>
      <c r="UYP149" s="22"/>
      <c r="UYQ149" s="22"/>
      <c r="UYR149" s="22"/>
      <c r="UYS149" s="22"/>
      <c r="UYT149" s="22"/>
      <c r="UYU149" s="22"/>
      <c r="UYV149" s="22"/>
      <c r="UYW149" s="22"/>
      <c r="UYX149" s="22"/>
      <c r="UYY149" s="22"/>
      <c r="UYZ149" s="22"/>
      <c r="UZA149" s="22"/>
      <c r="UZB149" s="22"/>
      <c r="UZC149" s="22"/>
      <c r="UZD149" s="22"/>
      <c r="UZE149" s="22"/>
      <c r="UZF149" s="22"/>
      <c r="UZG149" s="22"/>
      <c r="UZH149" s="22"/>
      <c r="UZI149" s="22"/>
      <c r="UZJ149" s="22"/>
      <c r="UZK149" s="22"/>
      <c r="UZL149" s="22"/>
      <c r="UZM149" s="22"/>
      <c r="UZN149" s="22"/>
      <c r="UZO149" s="22"/>
      <c r="UZP149" s="22"/>
      <c r="UZQ149" s="22"/>
      <c r="UZR149" s="22"/>
      <c r="UZS149" s="22"/>
      <c r="UZT149" s="22"/>
      <c r="UZU149" s="22"/>
      <c r="UZV149" s="22"/>
      <c r="UZW149" s="22"/>
      <c r="UZX149" s="22"/>
      <c r="UZY149" s="22"/>
      <c r="UZZ149" s="22"/>
      <c r="VAA149" s="22"/>
      <c r="VAB149" s="22"/>
      <c r="VAC149" s="22"/>
      <c r="VAD149" s="22"/>
      <c r="VAE149" s="22"/>
      <c r="VAF149" s="22"/>
      <c r="VAG149" s="22"/>
      <c r="VAH149" s="22"/>
      <c r="VAI149" s="22"/>
      <c r="VAJ149" s="22"/>
      <c r="VAK149" s="22"/>
      <c r="VAL149" s="22"/>
      <c r="VAM149" s="22"/>
      <c r="VAN149" s="22"/>
      <c r="VAO149" s="22"/>
      <c r="VAP149" s="22"/>
      <c r="VAQ149" s="22"/>
      <c r="VAR149" s="22"/>
      <c r="VAS149" s="22"/>
      <c r="VAT149" s="22"/>
      <c r="VAU149" s="22"/>
      <c r="VAV149" s="22"/>
      <c r="VAW149" s="22"/>
      <c r="VAX149" s="22"/>
      <c r="VAY149" s="22"/>
      <c r="VAZ149" s="22"/>
      <c r="VBA149" s="22"/>
      <c r="VBB149" s="22"/>
      <c r="VBC149" s="22"/>
      <c r="VBD149" s="22"/>
      <c r="VBE149" s="22"/>
      <c r="VBF149" s="22"/>
      <c r="VBG149" s="22"/>
      <c r="VBH149" s="22"/>
      <c r="VBI149" s="22"/>
      <c r="VBJ149" s="22"/>
      <c r="VBK149" s="22"/>
      <c r="VBL149" s="22"/>
      <c r="VBM149" s="22"/>
      <c r="VBN149" s="22"/>
      <c r="VBO149" s="22"/>
      <c r="VBP149" s="22"/>
      <c r="VBQ149" s="22"/>
      <c r="VBR149" s="22"/>
      <c r="VBS149" s="22"/>
      <c r="VBT149" s="22"/>
      <c r="VBU149" s="22"/>
      <c r="VBV149" s="22"/>
      <c r="VBW149" s="22"/>
      <c r="VBX149" s="22"/>
      <c r="VBY149" s="22"/>
      <c r="VBZ149" s="22"/>
      <c r="VCA149" s="22"/>
      <c r="VCB149" s="22"/>
      <c r="VCC149" s="22"/>
      <c r="VCD149" s="22"/>
      <c r="VCE149" s="22"/>
      <c r="VCF149" s="22"/>
      <c r="VCG149" s="22"/>
      <c r="VCH149" s="22"/>
      <c r="VCI149" s="22"/>
      <c r="VCJ149" s="22"/>
      <c r="VCK149" s="22"/>
      <c r="VCL149" s="22"/>
      <c r="VCM149" s="22"/>
      <c r="VCN149" s="22"/>
      <c r="VCO149" s="22"/>
      <c r="VCP149" s="22"/>
      <c r="VCQ149" s="22"/>
      <c r="VCR149" s="22"/>
      <c r="VCS149" s="22"/>
      <c r="VCT149" s="22"/>
      <c r="VCU149" s="22"/>
      <c r="VCV149" s="22"/>
      <c r="VCW149" s="22"/>
      <c r="VCX149" s="22"/>
      <c r="VCY149" s="22"/>
      <c r="VCZ149" s="22"/>
      <c r="VDA149" s="22"/>
      <c r="VDB149" s="22"/>
      <c r="VDC149" s="22"/>
      <c r="VDD149" s="22"/>
      <c r="VDE149" s="22"/>
      <c r="VDF149" s="22"/>
      <c r="VDG149" s="22"/>
      <c r="VDH149" s="22"/>
      <c r="VDI149" s="22"/>
      <c r="VDJ149" s="22"/>
      <c r="VDK149" s="22"/>
      <c r="VDL149" s="22"/>
      <c r="VDM149" s="22"/>
      <c r="VDN149" s="22"/>
      <c r="VDO149" s="22"/>
      <c r="VDP149" s="22"/>
      <c r="VDQ149" s="22"/>
      <c r="VDR149" s="22"/>
      <c r="VDS149" s="22"/>
      <c r="VDT149" s="22"/>
      <c r="VDU149" s="22"/>
      <c r="VDV149" s="22"/>
      <c r="VDW149" s="22"/>
      <c r="VDX149" s="22"/>
      <c r="VDY149" s="22"/>
      <c r="VDZ149" s="22"/>
      <c r="VEA149" s="22"/>
      <c r="VEB149" s="22"/>
      <c r="VEC149" s="22"/>
      <c r="VED149" s="22"/>
      <c r="VEE149" s="22"/>
      <c r="VEF149" s="22"/>
      <c r="VEG149" s="22"/>
      <c r="VEH149" s="22"/>
      <c r="VEI149" s="22"/>
      <c r="VEJ149" s="22"/>
      <c r="VEK149" s="22"/>
      <c r="VEL149" s="22"/>
      <c r="VEM149" s="22"/>
      <c r="VEN149" s="22"/>
      <c r="VEO149" s="22"/>
      <c r="VEP149" s="22"/>
      <c r="VEQ149" s="22"/>
      <c r="VER149" s="22"/>
      <c r="VES149" s="22"/>
      <c r="VET149" s="22"/>
      <c r="VEU149" s="22"/>
      <c r="VEV149" s="22"/>
      <c r="VEW149" s="22"/>
      <c r="VEX149" s="22"/>
      <c r="VEY149" s="22"/>
      <c r="VEZ149" s="22"/>
      <c r="VFA149" s="22"/>
      <c r="VFB149" s="22"/>
      <c r="VFC149" s="22"/>
      <c r="VFD149" s="22"/>
      <c r="VFE149" s="22"/>
      <c r="VFF149" s="22"/>
      <c r="VFG149" s="22"/>
      <c r="VFH149" s="22"/>
      <c r="VFI149" s="22"/>
      <c r="VFJ149" s="22"/>
      <c r="VFK149" s="22"/>
      <c r="VFL149" s="22"/>
      <c r="VFM149" s="22"/>
      <c r="VFN149" s="22"/>
      <c r="VFO149" s="22"/>
      <c r="VFP149" s="22"/>
      <c r="VFQ149" s="22"/>
      <c r="VFR149" s="22"/>
      <c r="VFS149" s="22"/>
      <c r="VFT149" s="22"/>
      <c r="VFU149" s="22"/>
      <c r="VFV149" s="22"/>
      <c r="VFW149" s="22"/>
      <c r="VFX149" s="22"/>
      <c r="VFY149" s="22"/>
      <c r="VFZ149" s="22"/>
      <c r="VGA149" s="22"/>
      <c r="VGB149" s="22"/>
      <c r="VGC149" s="22"/>
      <c r="VGD149" s="22"/>
      <c r="VGE149" s="22"/>
      <c r="VGF149" s="22"/>
      <c r="VGG149" s="22"/>
      <c r="VGH149" s="22"/>
      <c r="VGI149" s="22"/>
      <c r="VGJ149" s="22"/>
      <c r="VGK149" s="22"/>
      <c r="VGL149" s="22"/>
      <c r="VGM149" s="22"/>
      <c r="VGN149" s="22"/>
      <c r="VGO149" s="22"/>
      <c r="VGP149" s="22"/>
      <c r="VGQ149" s="22"/>
      <c r="VGR149" s="22"/>
      <c r="VGS149" s="22"/>
      <c r="VGT149" s="22"/>
      <c r="VGU149" s="22"/>
      <c r="VGV149" s="22"/>
      <c r="VGW149" s="22"/>
      <c r="VGX149" s="22"/>
      <c r="VGY149" s="22"/>
      <c r="VGZ149" s="22"/>
      <c r="VHA149" s="22"/>
      <c r="VHB149" s="22"/>
      <c r="VHC149" s="22"/>
      <c r="VHD149" s="22"/>
      <c r="VHE149" s="22"/>
      <c r="VHF149" s="22"/>
      <c r="VHG149" s="22"/>
      <c r="VHH149" s="22"/>
      <c r="VHI149" s="22"/>
      <c r="VHJ149" s="22"/>
      <c r="VHK149" s="22"/>
      <c r="VHL149" s="22"/>
      <c r="VHM149" s="22"/>
      <c r="VHN149" s="22"/>
      <c r="VHO149" s="22"/>
      <c r="VHP149" s="22"/>
      <c r="VHQ149" s="22"/>
      <c r="VHR149" s="22"/>
      <c r="VHS149" s="22"/>
      <c r="VHT149" s="22"/>
      <c r="VHU149" s="22"/>
      <c r="VHV149" s="22"/>
      <c r="VHW149" s="22"/>
      <c r="VHX149" s="22"/>
      <c r="VHY149" s="22"/>
      <c r="VHZ149" s="22"/>
      <c r="VIA149" s="22"/>
      <c r="VIB149" s="22"/>
      <c r="VIC149" s="22"/>
      <c r="VID149" s="22"/>
      <c r="VIE149" s="22"/>
      <c r="VIF149" s="22"/>
      <c r="VIG149" s="22"/>
      <c r="VIH149" s="22"/>
      <c r="VII149" s="22"/>
      <c r="VIJ149" s="22"/>
      <c r="VIK149" s="22"/>
      <c r="VIL149" s="22"/>
      <c r="VIM149" s="22"/>
      <c r="VIN149" s="22"/>
      <c r="VIO149" s="22"/>
      <c r="VIP149" s="22"/>
      <c r="VIQ149" s="22"/>
      <c r="VIR149" s="22"/>
      <c r="VIS149" s="22"/>
      <c r="VIT149" s="22"/>
      <c r="VIU149" s="22"/>
      <c r="VIV149" s="22"/>
      <c r="VIW149" s="22"/>
      <c r="VIX149" s="22"/>
      <c r="VIY149" s="22"/>
      <c r="VIZ149" s="22"/>
      <c r="VJA149" s="22"/>
      <c r="VJB149" s="22"/>
      <c r="VJC149" s="22"/>
      <c r="VJD149" s="22"/>
      <c r="VJE149" s="22"/>
      <c r="VJF149" s="22"/>
      <c r="VJG149" s="22"/>
      <c r="VJH149" s="22"/>
      <c r="VJI149" s="22"/>
      <c r="VJJ149" s="22"/>
      <c r="VJK149" s="22"/>
      <c r="VJL149" s="22"/>
      <c r="VJM149" s="22"/>
      <c r="VJN149" s="22"/>
      <c r="VJO149" s="22"/>
      <c r="VJP149" s="22"/>
      <c r="VJQ149" s="22"/>
      <c r="VJR149" s="22"/>
      <c r="VJS149" s="22"/>
      <c r="VJT149" s="22"/>
      <c r="VJU149" s="22"/>
      <c r="VJV149" s="22"/>
      <c r="VJW149" s="22"/>
      <c r="VJX149" s="22"/>
      <c r="VJY149" s="22"/>
      <c r="VJZ149" s="22"/>
      <c r="VKA149" s="22"/>
      <c r="VKB149" s="22"/>
      <c r="VKC149" s="22"/>
      <c r="VKD149" s="22"/>
      <c r="VKE149" s="22"/>
      <c r="VKF149" s="22"/>
      <c r="VKG149" s="22"/>
      <c r="VKH149" s="22"/>
      <c r="VKI149" s="22"/>
      <c r="VKJ149" s="22"/>
      <c r="VKK149" s="22"/>
      <c r="VKL149" s="22"/>
      <c r="VKM149" s="22"/>
      <c r="VKN149" s="22"/>
      <c r="VKO149" s="22"/>
      <c r="VKP149" s="22"/>
      <c r="VKQ149" s="22"/>
      <c r="VKR149" s="22"/>
      <c r="VKS149" s="22"/>
      <c r="VKT149" s="22"/>
      <c r="VKU149" s="22"/>
      <c r="VKV149" s="22"/>
      <c r="VKW149" s="22"/>
      <c r="VKX149" s="22"/>
      <c r="VKY149" s="22"/>
      <c r="VKZ149" s="22"/>
      <c r="VLA149" s="22"/>
      <c r="VLB149" s="22"/>
      <c r="VLC149" s="22"/>
      <c r="VLD149" s="22"/>
      <c r="VLE149" s="22"/>
      <c r="VLF149" s="22"/>
      <c r="VLG149" s="22"/>
      <c r="VLH149" s="22"/>
      <c r="VLI149" s="22"/>
      <c r="VLJ149" s="22"/>
      <c r="VLK149" s="22"/>
      <c r="VLL149" s="22"/>
      <c r="VLM149" s="22"/>
      <c r="VLN149" s="22"/>
      <c r="VLO149" s="22"/>
      <c r="VLP149" s="22"/>
      <c r="VLQ149" s="22"/>
      <c r="VLR149" s="22"/>
      <c r="VLS149" s="22"/>
      <c r="VLT149" s="22"/>
      <c r="VLU149" s="22"/>
      <c r="VLV149" s="22"/>
      <c r="VLW149" s="22"/>
      <c r="VLX149" s="22"/>
      <c r="VLY149" s="22"/>
      <c r="VLZ149" s="22"/>
      <c r="VMA149" s="22"/>
      <c r="VMB149" s="22"/>
      <c r="VMC149" s="22"/>
      <c r="VMD149" s="22"/>
      <c r="VME149" s="22"/>
      <c r="VMF149" s="22"/>
      <c r="VMG149" s="22"/>
      <c r="VMH149" s="22"/>
      <c r="VMI149" s="22"/>
      <c r="VMJ149" s="22"/>
      <c r="VMK149" s="22"/>
      <c r="VML149" s="22"/>
      <c r="VMM149" s="22"/>
      <c r="VMN149" s="22"/>
      <c r="VMO149" s="22"/>
      <c r="VMP149" s="22"/>
      <c r="VMQ149" s="22"/>
      <c r="VMR149" s="22"/>
      <c r="VMS149" s="22"/>
      <c r="VMT149" s="22"/>
      <c r="VMU149" s="22"/>
      <c r="VMV149" s="22"/>
      <c r="VMW149" s="22"/>
      <c r="VMX149" s="22"/>
      <c r="VMY149" s="22"/>
      <c r="VMZ149" s="22"/>
      <c r="VNA149" s="22"/>
      <c r="VNB149" s="22"/>
      <c r="VNC149" s="22"/>
      <c r="VND149" s="22"/>
      <c r="VNE149" s="22"/>
      <c r="VNF149" s="22"/>
      <c r="VNG149" s="22"/>
      <c r="VNH149" s="22"/>
      <c r="VNI149" s="22"/>
      <c r="VNJ149" s="22"/>
      <c r="VNK149" s="22"/>
      <c r="VNL149" s="22"/>
      <c r="VNM149" s="22"/>
      <c r="VNN149" s="22"/>
      <c r="VNO149" s="22"/>
      <c r="VNP149" s="22"/>
      <c r="VNQ149" s="22"/>
      <c r="VNR149" s="22"/>
      <c r="VNS149" s="22"/>
      <c r="VNT149" s="22"/>
      <c r="VNU149" s="22"/>
      <c r="VNV149" s="22"/>
      <c r="VNW149" s="22"/>
      <c r="VNX149" s="22"/>
      <c r="VNY149" s="22"/>
      <c r="VNZ149" s="22"/>
      <c r="VOA149" s="22"/>
      <c r="VOB149" s="22"/>
      <c r="VOC149" s="22"/>
      <c r="VOD149" s="22"/>
      <c r="VOE149" s="22"/>
      <c r="VOF149" s="22"/>
      <c r="VOG149" s="22"/>
      <c r="VOH149" s="22"/>
      <c r="VOI149" s="22"/>
      <c r="VOJ149" s="22"/>
      <c r="VOK149" s="22"/>
      <c r="VOL149" s="22"/>
      <c r="VOM149" s="22"/>
      <c r="VON149" s="22"/>
      <c r="VOO149" s="22"/>
      <c r="VOP149" s="22"/>
      <c r="VOQ149" s="22"/>
      <c r="VOR149" s="22"/>
      <c r="VOS149" s="22"/>
      <c r="VOT149" s="22"/>
      <c r="VOU149" s="22"/>
      <c r="VOV149" s="22"/>
      <c r="VOW149" s="22"/>
      <c r="VOX149" s="22"/>
      <c r="VOY149" s="22"/>
      <c r="VOZ149" s="22"/>
      <c r="VPA149" s="22"/>
      <c r="VPB149" s="22"/>
      <c r="VPC149" s="22"/>
      <c r="VPD149" s="22"/>
      <c r="VPE149" s="22"/>
      <c r="VPF149" s="22"/>
      <c r="VPG149" s="22"/>
      <c r="VPH149" s="22"/>
      <c r="VPI149" s="22"/>
      <c r="VPJ149" s="22"/>
      <c r="VPK149" s="22"/>
      <c r="VPL149" s="22"/>
      <c r="VPM149" s="22"/>
      <c r="VPN149" s="22"/>
      <c r="VPO149" s="22"/>
      <c r="VPP149" s="22"/>
      <c r="VPQ149" s="22"/>
      <c r="VPR149" s="22"/>
      <c r="VPS149" s="22"/>
      <c r="VPT149" s="22"/>
      <c r="VPU149" s="22"/>
      <c r="VPV149" s="22"/>
      <c r="VPW149" s="22"/>
      <c r="VPX149" s="22"/>
      <c r="VPY149" s="22"/>
      <c r="VPZ149" s="22"/>
      <c r="VQA149" s="22"/>
      <c r="VQB149" s="22"/>
      <c r="VQC149" s="22"/>
      <c r="VQD149" s="22"/>
      <c r="VQE149" s="22"/>
      <c r="VQF149" s="22"/>
      <c r="VQG149" s="22"/>
      <c r="VQH149" s="22"/>
      <c r="VQI149" s="22"/>
      <c r="VQJ149" s="22"/>
      <c r="VQK149" s="22"/>
      <c r="VQL149" s="22"/>
      <c r="VQM149" s="22"/>
      <c r="VQN149" s="22"/>
      <c r="VQO149" s="22"/>
      <c r="VQP149" s="22"/>
      <c r="VQQ149" s="22"/>
      <c r="VQR149" s="22"/>
      <c r="VQS149" s="22"/>
      <c r="VQT149" s="22"/>
      <c r="VQU149" s="22"/>
      <c r="VQV149" s="22"/>
      <c r="VQW149" s="22"/>
      <c r="VQX149" s="22"/>
      <c r="VQY149" s="22"/>
      <c r="VQZ149" s="22"/>
      <c r="VRA149" s="22"/>
      <c r="VRB149" s="22"/>
      <c r="VRC149" s="22"/>
      <c r="VRD149" s="22"/>
      <c r="VRE149" s="22"/>
      <c r="VRF149" s="22"/>
      <c r="VRG149" s="22"/>
      <c r="VRH149" s="22"/>
      <c r="VRI149" s="22"/>
      <c r="VRJ149" s="22"/>
      <c r="VRK149" s="22"/>
      <c r="VRL149" s="22"/>
      <c r="VRM149" s="22"/>
      <c r="VRN149" s="22"/>
      <c r="VRO149" s="22"/>
      <c r="VRP149" s="22"/>
      <c r="VRQ149" s="22"/>
      <c r="VRR149" s="22"/>
      <c r="VRS149" s="22"/>
      <c r="VRT149" s="22"/>
      <c r="VRU149" s="22"/>
      <c r="VRV149" s="22"/>
      <c r="VRW149" s="22"/>
      <c r="VRX149" s="22"/>
      <c r="VRY149" s="22"/>
      <c r="VRZ149" s="22"/>
      <c r="VSA149" s="22"/>
      <c r="VSB149" s="22"/>
      <c r="VSC149" s="22"/>
      <c r="VSD149" s="22"/>
      <c r="VSE149" s="22"/>
      <c r="VSF149" s="22"/>
      <c r="VSG149" s="22"/>
      <c r="VSH149" s="22"/>
      <c r="VSI149" s="22"/>
      <c r="VSJ149" s="22"/>
      <c r="VSK149" s="22"/>
      <c r="VSL149" s="22"/>
      <c r="VSM149" s="22"/>
      <c r="VSN149" s="22"/>
      <c r="VSO149" s="22"/>
      <c r="VSP149" s="22"/>
      <c r="VSQ149" s="22"/>
      <c r="VSR149" s="22"/>
      <c r="VSS149" s="22"/>
      <c r="VST149" s="22"/>
      <c r="VSU149" s="22"/>
      <c r="VSV149" s="22"/>
      <c r="VSW149" s="22"/>
      <c r="VSX149" s="22"/>
      <c r="VSY149" s="22"/>
      <c r="VSZ149" s="22"/>
      <c r="VTA149" s="22"/>
      <c r="VTB149" s="22"/>
      <c r="VTC149" s="22"/>
      <c r="VTD149" s="22"/>
      <c r="VTE149" s="22"/>
      <c r="VTF149" s="22"/>
      <c r="VTG149" s="22"/>
      <c r="VTH149" s="22"/>
      <c r="VTI149" s="22"/>
      <c r="VTJ149" s="22"/>
      <c r="VTK149" s="22"/>
      <c r="VTL149" s="22"/>
      <c r="VTM149" s="22"/>
      <c r="VTN149" s="22"/>
      <c r="VTO149" s="22"/>
      <c r="VTP149" s="22"/>
      <c r="VTQ149" s="22"/>
      <c r="VTR149" s="22"/>
      <c r="VTS149" s="22"/>
      <c r="VTT149" s="22"/>
      <c r="VTU149" s="22"/>
      <c r="VTV149" s="22"/>
      <c r="VTW149" s="22"/>
      <c r="VTX149" s="22"/>
      <c r="VTY149" s="22"/>
      <c r="VTZ149" s="22"/>
      <c r="VUA149" s="22"/>
      <c r="VUB149" s="22"/>
      <c r="VUC149" s="22"/>
      <c r="VUD149" s="22"/>
      <c r="VUE149" s="22"/>
      <c r="VUF149" s="22"/>
      <c r="VUG149" s="22"/>
      <c r="VUH149" s="22"/>
      <c r="VUI149" s="22"/>
      <c r="VUJ149" s="22"/>
      <c r="VUK149" s="22"/>
      <c r="VUL149" s="22"/>
      <c r="VUM149" s="22"/>
      <c r="VUN149" s="22"/>
      <c r="VUO149" s="22"/>
      <c r="VUP149" s="22"/>
      <c r="VUQ149" s="22"/>
      <c r="VUR149" s="22"/>
      <c r="VUS149" s="22"/>
      <c r="VUT149" s="22"/>
      <c r="VUU149" s="22"/>
      <c r="VUV149" s="22"/>
      <c r="VUW149" s="22"/>
      <c r="VUX149" s="22"/>
      <c r="VUY149" s="22"/>
      <c r="VUZ149" s="22"/>
      <c r="VVA149" s="22"/>
      <c r="VVB149" s="22"/>
      <c r="VVC149" s="22"/>
      <c r="VVD149" s="22"/>
      <c r="VVE149" s="22"/>
      <c r="VVF149" s="22"/>
      <c r="VVG149" s="22"/>
      <c r="VVH149" s="22"/>
      <c r="VVI149" s="22"/>
      <c r="VVJ149" s="22"/>
      <c r="VVK149" s="22"/>
      <c r="VVL149" s="22"/>
      <c r="VVM149" s="22"/>
      <c r="VVN149" s="22"/>
      <c r="VVO149" s="22"/>
      <c r="VVP149" s="22"/>
      <c r="VVQ149" s="22"/>
      <c r="VVR149" s="22"/>
      <c r="VVS149" s="22"/>
      <c r="VVT149" s="22"/>
      <c r="VVU149" s="22"/>
      <c r="VVV149" s="22"/>
      <c r="VVW149" s="22"/>
      <c r="VVX149" s="22"/>
      <c r="VVY149" s="22"/>
      <c r="VVZ149" s="22"/>
      <c r="VWA149" s="22"/>
      <c r="VWB149" s="22"/>
      <c r="VWC149" s="22"/>
      <c r="VWD149" s="22"/>
      <c r="VWE149" s="22"/>
      <c r="VWF149" s="22"/>
      <c r="VWG149" s="22"/>
      <c r="VWH149" s="22"/>
      <c r="VWI149" s="22"/>
      <c r="VWJ149" s="22"/>
      <c r="VWK149" s="22"/>
      <c r="VWL149" s="22"/>
      <c r="VWM149" s="22"/>
      <c r="VWN149" s="22"/>
      <c r="VWO149" s="22"/>
      <c r="VWP149" s="22"/>
      <c r="VWQ149" s="22"/>
      <c r="VWR149" s="22"/>
      <c r="VWS149" s="22"/>
      <c r="VWT149" s="22"/>
      <c r="VWU149" s="22"/>
      <c r="VWV149" s="22"/>
      <c r="VWW149" s="22"/>
      <c r="VWX149" s="22"/>
      <c r="VWY149" s="22"/>
      <c r="VWZ149" s="22"/>
      <c r="VXA149" s="22"/>
      <c r="VXB149" s="22"/>
      <c r="VXC149" s="22"/>
      <c r="VXD149" s="22"/>
      <c r="VXE149" s="22"/>
      <c r="VXF149" s="22"/>
      <c r="VXG149" s="22"/>
      <c r="VXH149" s="22"/>
      <c r="VXI149" s="22"/>
      <c r="VXJ149" s="22"/>
      <c r="VXK149" s="22"/>
      <c r="VXL149" s="22"/>
      <c r="VXM149" s="22"/>
      <c r="VXN149" s="22"/>
      <c r="VXO149" s="22"/>
      <c r="VXP149" s="22"/>
      <c r="VXQ149" s="22"/>
      <c r="VXR149" s="22"/>
      <c r="VXS149" s="22"/>
      <c r="VXT149" s="22"/>
      <c r="VXU149" s="22"/>
      <c r="VXV149" s="22"/>
      <c r="VXW149" s="22"/>
      <c r="VXX149" s="22"/>
      <c r="VXY149" s="22"/>
      <c r="VXZ149" s="22"/>
      <c r="VYA149" s="22"/>
      <c r="VYB149" s="22"/>
      <c r="VYC149" s="22"/>
      <c r="VYD149" s="22"/>
      <c r="VYE149" s="22"/>
      <c r="VYF149" s="22"/>
      <c r="VYG149" s="22"/>
      <c r="VYH149" s="22"/>
      <c r="VYI149" s="22"/>
      <c r="VYJ149" s="22"/>
      <c r="VYK149" s="22"/>
      <c r="VYL149" s="22"/>
      <c r="VYM149" s="22"/>
      <c r="VYN149" s="22"/>
      <c r="VYO149" s="22"/>
      <c r="VYP149" s="22"/>
      <c r="VYQ149" s="22"/>
      <c r="VYR149" s="22"/>
      <c r="VYS149" s="22"/>
      <c r="VYT149" s="22"/>
      <c r="VYU149" s="22"/>
      <c r="VYV149" s="22"/>
      <c r="VYW149" s="22"/>
      <c r="VYX149" s="22"/>
      <c r="VYY149" s="22"/>
      <c r="VYZ149" s="22"/>
      <c r="VZA149" s="22"/>
      <c r="VZB149" s="22"/>
      <c r="VZC149" s="22"/>
      <c r="VZD149" s="22"/>
      <c r="VZE149" s="22"/>
      <c r="VZF149" s="22"/>
      <c r="VZG149" s="22"/>
      <c r="VZH149" s="22"/>
      <c r="VZI149" s="22"/>
      <c r="VZJ149" s="22"/>
      <c r="VZK149" s="22"/>
      <c r="VZL149" s="22"/>
      <c r="VZM149" s="22"/>
      <c r="VZN149" s="22"/>
      <c r="VZO149" s="22"/>
      <c r="VZP149" s="22"/>
      <c r="VZQ149" s="22"/>
      <c r="VZR149" s="22"/>
      <c r="VZS149" s="22"/>
      <c r="VZT149" s="22"/>
      <c r="VZU149" s="22"/>
      <c r="VZV149" s="22"/>
      <c r="VZW149" s="22"/>
      <c r="VZX149" s="22"/>
      <c r="VZY149" s="22"/>
      <c r="VZZ149" s="22"/>
      <c r="WAA149" s="22"/>
      <c r="WAB149" s="22"/>
      <c r="WAC149" s="22"/>
      <c r="WAD149" s="22"/>
      <c r="WAE149" s="22"/>
      <c r="WAF149" s="22"/>
      <c r="WAG149" s="22"/>
      <c r="WAH149" s="22"/>
      <c r="WAI149" s="22"/>
      <c r="WAJ149" s="22"/>
      <c r="WAK149" s="22"/>
      <c r="WAL149" s="22"/>
      <c r="WAM149" s="22"/>
      <c r="WAN149" s="22"/>
      <c r="WAO149" s="22"/>
      <c r="WAP149" s="22"/>
      <c r="WAQ149" s="22"/>
      <c r="WAR149" s="22"/>
      <c r="WAS149" s="22"/>
      <c r="WAT149" s="22"/>
      <c r="WAU149" s="22"/>
      <c r="WAV149" s="22"/>
      <c r="WAW149" s="22"/>
      <c r="WAX149" s="22"/>
      <c r="WAY149" s="22"/>
      <c r="WAZ149" s="22"/>
      <c r="WBA149" s="22"/>
      <c r="WBB149" s="22"/>
      <c r="WBC149" s="22"/>
      <c r="WBD149" s="22"/>
      <c r="WBE149" s="22"/>
      <c r="WBF149" s="22"/>
      <c r="WBG149" s="22"/>
      <c r="WBH149" s="22"/>
      <c r="WBI149" s="22"/>
      <c r="WBJ149" s="22"/>
      <c r="WBK149" s="22"/>
      <c r="WBL149" s="22"/>
      <c r="WBM149" s="22"/>
      <c r="WBN149" s="22"/>
      <c r="WBO149" s="22"/>
      <c r="WBP149" s="22"/>
      <c r="WBQ149" s="22"/>
      <c r="WBR149" s="22"/>
      <c r="WBS149" s="22"/>
      <c r="WBT149" s="22"/>
      <c r="WBU149" s="22"/>
      <c r="WBV149" s="22"/>
      <c r="WBW149" s="22"/>
      <c r="WBX149" s="22"/>
      <c r="WBY149" s="22"/>
      <c r="WBZ149" s="22"/>
      <c r="WCA149" s="22"/>
      <c r="WCB149" s="22"/>
      <c r="WCC149" s="22"/>
      <c r="WCD149" s="22"/>
      <c r="WCE149" s="22"/>
      <c r="WCF149" s="22"/>
      <c r="WCG149" s="22"/>
      <c r="WCH149" s="22"/>
      <c r="WCI149" s="22"/>
      <c r="WCJ149" s="22"/>
      <c r="WCK149" s="22"/>
      <c r="WCL149" s="22"/>
      <c r="WCM149" s="22"/>
      <c r="WCN149" s="22"/>
      <c r="WCO149" s="22"/>
      <c r="WCP149" s="22"/>
      <c r="WCQ149" s="22"/>
      <c r="WCR149" s="22"/>
      <c r="WCS149" s="22"/>
      <c r="WCT149" s="22"/>
      <c r="WCU149" s="22"/>
      <c r="WCV149" s="22"/>
      <c r="WCW149" s="22"/>
      <c r="WCX149" s="22"/>
      <c r="WCY149" s="22"/>
      <c r="WCZ149" s="22"/>
      <c r="WDA149" s="22"/>
      <c r="WDB149" s="22"/>
      <c r="WDC149" s="22"/>
      <c r="WDD149" s="22"/>
      <c r="WDE149" s="22"/>
      <c r="WDF149" s="22"/>
      <c r="WDG149" s="22"/>
      <c r="WDH149" s="22"/>
      <c r="WDI149" s="22"/>
      <c r="WDJ149" s="22"/>
      <c r="WDK149" s="22"/>
      <c r="WDL149" s="22"/>
      <c r="WDM149" s="22"/>
      <c r="WDN149" s="22"/>
      <c r="WDO149" s="22"/>
      <c r="WDP149" s="22"/>
      <c r="WDQ149" s="22"/>
      <c r="WDR149" s="22"/>
      <c r="WDS149" s="22"/>
      <c r="WDT149" s="22"/>
      <c r="WDU149" s="22"/>
      <c r="WDV149" s="22"/>
      <c r="WDW149" s="22"/>
      <c r="WDX149" s="22"/>
      <c r="WDY149" s="22"/>
      <c r="WDZ149" s="22"/>
      <c r="WEA149" s="22"/>
      <c r="WEB149" s="22"/>
      <c r="WEC149" s="22"/>
      <c r="WED149" s="22"/>
      <c r="WEE149" s="22"/>
      <c r="WEF149" s="22"/>
      <c r="WEG149" s="22"/>
      <c r="WEH149" s="22"/>
      <c r="WEI149" s="22"/>
      <c r="WEJ149" s="22"/>
      <c r="WEK149" s="22"/>
      <c r="WEL149" s="22"/>
      <c r="WEM149" s="22"/>
      <c r="WEN149" s="22"/>
      <c r="WEO149" s="22"/>
      <c r="WEP149" s="22"/>
      <c r="WEQ149" s="22"/>
      <c r="WER149" s="22"/>
      <c r="WES149" s="22"/>
      <c r="WET149" s="22"/>
      <c r="WEU149" s="22"/>
      <c r="WEV149" s="22"/>
      <c r="WEW149" s="22"/>
      <c r="WEX149" s="22"/>
      <c r="WEY149" s="22"/>
      <c r="WEZ149" s="22"/>
      <c r="WFA149" s="22"/>
      <c r="WFB149" s="22"/>
      <c r="WFC149" s="22"/>
      <c r="WFD149" s="22"/>
      <c r="WFE149" s="22"/>
      <c r="WFF149" s="22"/>
      <c r="WFG149" s="22"/>
      <c r="WFH149" s="22"/>
      <c r="WFI149" s="22"/>
      <c r="WFJ149" s="22"/>
      <c r="WFK149" s="22"/>
      <c r="WFL149" s="22"/>
      <c r="WFM149" s="22"/>
      <c r="WFN149" s="22"/>
      <c r="WFO149" s="22"/>
      <c r="WFP149" s="22"/>
      <c r="WFQ149" s="22"/>
      <c r="WFR149" s="22"/>
      <c r="WFS149" s="22"/>
      <c r="WFT149" s="22"/>
      <c r="WFU149" s="22"/>
      <c r="WFV149" s="22"/>
      <c r="WFW149" s="22"/>
      <c r="WFX149" s="22"/>
      <c r="WFY149" s="22"/>
      <c r="WFZ149" s="22"/>
      <c r="WGA149" s="22"/>
      <c r="WGB149" s="22"/>
      <c r="WGC149" s="22"/>
      <c r="WGD149" s="22"/>
      <c r="WGE149" s="22"/>
      <c r="WGF149" s="22"/>
      <c r="WGG149" s="22"/>
      <c r="WGH149" s="22"/>
      <c r="WGI149" s="22"/>
      <c r="WGJ149" s="22"/>
      <c r="WGK149" s="22"/>
      <c r="WGL149" s="22"/>
      <c r="WGM149" s="22"/>
      <c r="WGN149" s="22"/>
      <c r="WGO149" s="22"/>
      <c r="WGP149" s="22"/>
      <c r="WGQ149" s="22"/>
      <c r="WGR149" s="22"/>
      <c r="WGS149" s="22"/>
      <c r="WGT149" s="22"/>
      <c r="WGU149" s="22"/>
      <c r="WGV149" s="22"/>
      <c r="WGW149" s="22"/>
      <c r="WGX149" s="22"/>
      <c r="WGY149" s="22"/>
      <c r="WGZ149" s="22"/>
      <c r="WHA149" s="22"/>
      <c r="WHB149" s="22"/>
      <c r="WHC149" s="22"/>
      <c r="WHD149" s="22"/>
      <c r="WHE149" s="22"/>
      <c r="WHF149" s="22"/>
      <c r="WHG149" s="22"/>
      <c r="WHH149" s="22"/>
      <c r="WHI149" s="22"/>
      <c r="WHJ149" s="22"/>
      <c r="WHK149" s="22"/>
      <c r="WHL149" s="22"/>
      <c r="WHM149" s="22"/>
      <c r="WHN149" s="22"/>
      <c r="WHO149" s="22"/>
      <c r="WHP149" s="22"/>
      <c r="WHQ149" s="22"/>
      <c r="WHR149" s="22"/>
      <c r="WHS149" s="22"/>
      <c r="WHT149" s="22"/>
      <c r="WHU149" s="22"/>
      <c r="WHV149" s="22"/>
      <c r="WHW149" s="22"/>
      <c r="WHX149" s="22"/>
      <c r="WHY149" s="22"/>
      <c r="WHZ149" s="22"/>
      <c r="WIA149" s="22"/>
      <c r="WIB149" s="22"/>
      <c r="WIC149" s="22"/>
      <c r="WID149" s="22"/>
      <c r="WIE149" s="22"/>
      <c r="WIF149" s="22"/>
      <c r="WIG149" s="22"/>
      <c r="WIH149" s="22"/>
      <c r="WII149" s="22"/>
      <c r="WIJ149" s="22"/>
      <c r="WIK149" s="22"/>
      <c r="WIL149" s="22"/>
      <c r="WIM149" s="22"/>
      <c r="WIN149" s="22"/>
      <c r="WIO149" s="22"/>
      <c r="WIP149" s="22"/>
      <c r="WIQ149" s="22"/>
      <c r="WIR149" s="22"/>
      <c r="WIS149" s="22"/>
      <c r="WIT149" s="22"/>
      <c r="WIU149" s="22"/>
      <c r="WIV149" s="22"/>
      <c r="WIW149" s="22"/>
      <c r="WIX149" s="22"/>
      <c r="WIY149" s="22"/>
      <c r="WIZ149" s="22"/>
      <c r="WJA149" s="22"/>
      <c r="WJB149" s="22"/>
      <c r="WJC149" s="22"/>
      <c r="WJD149" s="22"/>
      <c r="WJE149" s="22"/>
      <c r="WJF149" s="22"/>
      <c r="WJG149" s="22"/>
      <c r="WJH149" s="22"/>
      <c r="WJI149" s="22"/>
      <c r="WJJ149" s="22"/>
      <c r="WJK149" s="22"/>
      <c r="WJL149" s="22"/>
      <c r="WJM149" s="22"/>
      <c r="WJN149" s="22"/>
      <c r="WJO149" s="22"/>
      <c r="WJP149" s="22"/>
      <c r="WJQ149" s="22"/>
      <c r="WJR149" s="22"/>
      <c r="WJS149" s="22"/>
      <c r="WJT149" s="22"/>
      <c r="WJU149" s="22"/>
      <c r="WJV149" s="22"/>
      <c r="WJW149" s="22"/>
      <c r="WJX149" s="22"/>
      <c r="WJY149" s="22"/>
      <c r="WJZ149" s="22"/>
      <c r="WKA149" s="22"/>
      <c r="WKB149" s="22"/>
      <c r="WKC149" s="22"/>
      <c r="WKD149" s="22"/>
      <c r="WKE149" s="22"/>
      <c r="WKF149" s="22"/>
      <c r="WKG149" s="22"/>
      <c r="WKH149" s="22"/>
      <c r="WKI149" s="22"/>
      <c r="WKJ149" s="22"/>
      <c r="WKK149" s="22"/>
      <c r="WKL149" s="22"/>
      <c r="WKM149" s="22"/>
      <c r="WKN149" s="22"/>
      <c r="WKO149" s="22"/>
      <c r="WKP149" s="22"/>
      <c r="WKQ149" s="22"/>
      <c r="WKR149" s="22"/>
      <c r="WKS149" s="22"/>
      <c r="WKT149" s="22"/>
      <c r="WKU149" s="22"/>
      <c r="WKV149" s="22"/>
      <c r="WKW149" s="22"/>
      <c r="WKX149" s="22"/>
      <c r="WKY149" s="22"/>
      <c r="WKZ149" s="22"/>
      <c r="WLA149" s="22"/>
      <c r="WLB149" s="22"/>
      <c r="WLC149" s="22"/>
      <c r="WLD149" s="22"/>
      <c r="WLE149" s="22"/>
      <c r="WLF149" s="22"/>
      <c r="WLG149" s="22"/>
      <c r="WLH149" s="22"/>
      <c r="WLI149" s="22"/>
      <c r="WLJ149" s="22"/>
      <c r="WLK149" s="22"/>
      <c r="WLL149" s="22"/>
      <c r="WLM149" s="22"/>
      <c r="WLN149" s="22"/>
      <c r="WLO149" s="22"/>
      <c r="WLP149" s="22"/>
      <c r="WLQ149" s="22"/>
      <c r="WLR149" s="22"/>
      <c r="WLS149" s="22"/>
      <c r="WLT149" s="22"/>
      <c r="WLU149" s="22"/>
      <c r="WLV149" s="22"/>
      <c r="WLW149" s="22"/>
      <c r="WLX149" s="22"/>
      <c r="WLY149" s="22"/>
      <c r="WLZ149" s="22"/>
      <c r="WMA149" s="22"/>
      <c r="WMB149" s="22"/>
      <c r="WMC149" s="22"/>
      <c r="WMD149" s="22"/>
      <c r="WME149" s="22"/>
      <c r="WMF149" s="22"/>
      <c r="WMG149" s="22"/>
      <c r="WMH149" s="22"/>
      <c r="WMI149" s="22"/>
      <c r="WMJ149" s="22"/>
      <c r="WMK149" s="22"/>
      <c r="WML149" s="22"/>
      <c r="WMM149" s="22"/>
      <c r="WMN149" s="22"/>
      <c r="WMO149" s="22"/>
      <c r="WMP149" s="22"/>
      <c r="WMQ149" s="22"/>
      <c r="WMR149" s="22"/>
      <c r="WMS149" s="22"/>
      <c r="WMT149" s="22"/>
      <c r="WMU149" s="22"/>
      <c r="WMV149" s="22"/>
      <c r="WMW149" s="22"/>
      <c r="WMX149" s="22"/>
      <c r="WMY149" s="22"/>
      <c r="WMZ149" s="22"/>
      <c r="WNA149" s="22"/>
      <c r="WNB149" s="22"/>
      <c r="WNC149" s="22"/>
      <c r="WND149" s="22"/>
      <c r="WNE149" s="22"/>
      <c r="WNF149" s="22"/>
      <c r="WNG149" s="22"/>
      <c r="WNH149" s="22"/>
      <c r="WNI149" s="22"/>
      <c r="WNJ149" s="22"/>
      <c r="WNK149" s="22"/>
      <c r="WNL149" s="22"/>
      <c r="WNM149" s="22"/>
      <c r="WNN149" s="22"/>
      <c r="WNO149" s="22"/>
      <c r="WNP149" s="22"/>
      <c r="WNQ149" s="22"/>
      <c r="WNR149" s="22"/>
      <c r="WNS149" s="22"/>
      <c r="WNT149" s="22"/>
      <c r="WNU149" s="22"/>
      <c r="WNV149" s="22"/>
      <c r="WNW149" s="22"/>
      <c r="WNX149" s="22"/>
      <c r="WNY149" s="22"/>
      <c r="WNZ149" s="22"/>
      <c r="WOA149" s="22"/>
      <c r="WOB149" s="22"/>
      <c r="WOC149" s="22"/>
      <c r="WOD149" s="22"/>
      <c r="WOE149" s="22"/>
      <c r="WOF149" s="22"/>
      <c r="WOG149" s="22"/>
      <c r="WOH149" s="22"/>
      <c r="WOI149" s="22"/>
      <c r="WOJ149" s="22"/>
      <c r="WOK149" s="22"/>
      <c r="WOL149" s="22"/>
      <c r="WOM149" s="22"/>
      <c r="WON149" s="22"/>
      <c r="WOO149" s="22"/>
      <c r="WOP149" s="22"/>
      <c r="WOQ149" s="22"/>
      <c r="WOR149" s="22"/>
      <c r="WOS149" s="22"/>
      <c r="WOT149" s="22"/>
      <c r="WOU149" s="22"/>
      <c r="WOV149" s="22"/>
      <c r="WOW149" s="22"/>
      <c r="WOX149" s="22"/>
      <c r="WOY149" s="22"/>
      <c r="WOZ149" s="22"/>
      <c r="WPA149" s="22"/>
      <c r="WPB149" s="22"/>
      <c r="WPC149" s="22"/>
      <c r="WPD149" s="22"/>
      <c r="WPE149" s="22"/>
      <c r="WPF149" s="22"/>
      <c r="WPG149" s="22"/>
      <c r="WPH149" s="22"/>
      <c r="WPI149" s="22"/>
      <c r="WPJ149" s="22"/>
      <c r="WPK149" s="22"/>
      <c r="WPL149" s="22"/>
      <c r="WPM149" s="22"/>
      <c r="WPN149" s="22"/>
      <c r="WPO149" s="22"/>
      <c r="WPP149" s="22"/>
      <c r="WPQ149" s="22"/>
      <c r="WPR149" s="22"/>
      <c r="WPS149" s="22"/>
      <c r="WPT149" s="22"/>
      <c r="WPU149" s="22"/>
      <c r="WPV149" s="22"/>
      <c r="WPW149" s="22"/>
      <c r="WPX149" s="22"/>
      <c r="WPY149" s="22"/>
      <c r="WPZ149" s="22"/>
      <c r="WQA149" s="22"/>
      <c r="WQB149" s="22"/>
      <c r="WQC149" s="22"/>
      <c r="WQD149" s="22"/>
      <c r="WQE149" s="22"/>
      <c r="WQF149" s="22"/>
      <c r="WQG149" s="22"/>
      <c r="WQH149" s="22"/>
      <c r="WQI149" s="22"/>
      <c r="WQJ149" s="22"/>
      <c r="WQK149" s="22"/>
      <c r="WQL149" s="22"/>
      <c r="WQM149" s="22"/>
      <c r="WQN149" s="22"/>
      <c r="WQO149" s="22"/>
      <c r="WQP149" s="22"/>
      <c r="WQQ149" s="22"/>
      <c r="WQR149" s="22"/>
      <c r="WQS149" s="22"/>
      <c r="WQT149" s="22"/>
      <c r="WQU149" s="22"/>
      <c r="WQV149" s="22"/>
      <c r="WQW149" s="22"/>
      <c r="WQX149" s="22"/>
      <c r="WQY149" s="22"/>
      <c r="WQZ149" s="22"/>
      <c r="WRA149" s="22"/>
      <c r="WRB149" s="22"/>
      <c r="WRC149" s="22"/>
      <c r="WRD149" s="22"/>
      <c r="WRE149" s="22"/>
      <c r="WRF149" s="22"/>
      <c r="WRG149" s="22"/>
      <c r="WRH149" s="22"/>
      <c r="WRI149" s="22"/>
      <c r="WRJ149" s="22"/>
      <c r="WRK149" s="22"/>
      <c r="WRL149" s="22"/>
      <c r="WRM149" s="22"/>
      <c r="WRN149" s="22"/>
      <c r="WRO149" s="22"/>
      <c r="WRP149" s="22"/>
      <c r="WRQ149" s="22"/>
      <c r="WRR149" s="22"/>
      <c r="WRS149" s="22"/>
      <c r="WRT149" s="22"/>
      <c r="WRU149" s="22"/>
      <c r="WRV149" s="22"/>
      <c r="WRW149" s="22"/>
      <c r="WRX149" s="22"/>
      <c r="WRY149" s="22"/>
      <c r="WRZ149" s="22"/>
      <c r="WSA149" s="22"/>
      <c r="WSB149" s="22"/>
      <c r="WSC149" s="22"/>
      <c r="WSD149" s="22"/>
      <c r="WSE149" s="22"/>
      <c r="WSF149" s="22"/>
      <c r="WSG149" s="22"/>
      <c r="WSH149" s="22"/>
      <c r="WSI149" s="22"/>
      <c r="WSJ149" s="22"/>
      <c r="WSK149" s="22"/>
      <c r="WSL149" s="22"/>
      <c r="WSM149" s="22"/>
      <c r="WSN149" s="22"/>
      <c r="WSO149" s="22"/>
      <c r="WSP149" s="22"/>
      <c r="WSQ149" s="22"/>
      <c r="WSR149" s="22"/>
      <c r="WSS149" s="22"/>
      <c r="WST149" s="22"/>
      <c r="WSU149" s="22"/>
      <c r="WSV149" s="22"/>
      <c r="WSW149" s="22"/>
      <c r="WSX149" s="22"/>
      <c r="WSY149" s="22"/>
      <c r="WSZ149" s="22"/>
      <c r="WTA149" s="22"/>
      <c r="WTB149" s="22"/>
      <c r="WTC149" s="22"/>
      <c r="WTD149" s="22"/>
      <c r="WTE149" s="22"/>
      <c r="WTF149" s="22"/>
      <c r="WTG149" s="22"/>
      <c r="WTH149" s="22"/>
      <c r="WTI149" s="22"/>
      <c r="WTJ149" s="22"/>
      <c r="WTK149" s="22"/>
      <c r="WTL149" s="22"/>
      <c r="WTM149" s="22"/>
      <c r="WTN149" s="22"/>
      <c r="WTO149" s="22"/>
      <c r="WTP149" s="22"/>
      <c r="WTQ149" s="22"/>
      <c r="WTR149" s="22"/>
      <c r="WTS149" s="22"/>
      <c r="WTT149" s="22"/>
      <c r="WTU149" s="22"/>
      <c r="WTV149" s="22"/>
      <c r="WTW149" s="22"/>
      <c r="WTX149" s="22"/>
      <c r="WTY149" s="22"/>
      <c r="WTZ149" s="22"/>
      <c r="WUA149" s="22"/>
      <c r="WUB149" s="22"/>
      <c r="WUC149" s="22"/>
      <c r="WUD149" s="22"/>
      <c r="WUE149" s="22"/>
      <c r="WUF149" s="22"/>
      <c r="WUG149" s="22"/>
      <c r="WUH149" s="22"/>
      <c r="WUI149" s="22"/>
      <c r="WUJ149" s="22"/>
      <c r="WUK149" s="22"/>
      <c r="WUL149" s="22"/>
      <c r="WUM149" s="22"/>
      <c r="WUN149" s="22"/>
      <c r="WUO149" s="22"/>
      <c r="WUP149" s="22"/>
      <c r="WUQ149" s="22"/>
      <c r="WUR149" s="22"/>
      <c r="WUS149" s="22"/>
      <c r="WUT149" s="22"/>
      <c r="WUU149" s="22"/>
      <c r="WUV149" s="22"/>
      <c r="WUW149" s="22"/>
      <c r="WUX149" s="22"/>
      <c r="WUY149" s="22"/>
      <c r="WUZ149" s="22"/>
      <c r="WVA149" s="22"/>
      <c r="WVB149" s="22"/>
      <c r="WVC149" s="22"/>
      <c r="WVD149" s="22"/>
      <c r="WVE149" s="22"/>
      <c r="WVF149" s="22"/>
      <c r="WVG149" s="22"/>
      <c r="WVH149" s="22"/>
      <c r="WVI149" s="22"/>
      <c r="WVJ149" s="22"/>
      <c r="WVK149" s="22"/>
      <c r="WVL149" s="22"/>
      <c r="WVM149" s="22"/>
      <c r="WVN149" s="22"/>
      <c r="WVO149" s="22"/>
      <c r="WVP149" s="22"/>
      <c r="WVQ149" s="22"/>
      <c r="WVR149" s="22"/>
      <c r="WVS149" s="22"/>
      <c r="WVT149" s="22"/>
      <c r="WVU149" s="22"/>
      <c r="WVV149" s="22"/>
      <c r="WVW149" s="22"/>
      <c r="WVX149" s="22"/>
      <c r="WVY149" s="22"/>
      <c r="WVZ149" s="22"/>
      <c r="WWA149" s="22"/>
      <c r="WWB149" s="22"/>
      <c r="WWC149" s="22"/>
      <c r="WWD149" s="22"/>
      <c r="WWE149" s="22"/>
      <c r="WWF149" s="22"/>
      <c r="WWG149" s="22"/>
      <c r="WWH149" s="22"/>
      <c r="WWI149" s="22"/>
      <c r="WWJ149" s="22"/>
      <c r="WWK149" s="22"/>
      <c r="WWL149" s="22"/>
      <c r="WWM149" s="22"/>
      <c r="WWN149" s="22"/>
      <c r="WWO149" s="22"/>
      <c r="WWP149" s="22"/>
      <c r="WWQ149" s="22"/>
      <c r="WWR149" s="22"/>
      <c r="WWS149" s="22"/>
      <c r="WWT149" s="22"/>
      <c r="WWU149" s="22"/>
      <c r="WWV149" s="22"/>
      <c r="WWW149" s="22"/>
      <c r="WWX149" s="22"/>
      <c r="WWY149" s="22"/>
      <c r="WWZ149" s="22"/>
      <c r="WXA149" s="22"/>
      <c r="WXB149" s="22"/>
      <c r="WXC149" s="22"/>
      <c r="WXD149" s="22"/>
      <c r="WXE149" s="22"/>
      <c r="WXF149" s="22"/>
      <c r="WXG149" s="22"/>
      <c r="WXH149" s="22"/>
      <c r="WXI149" s="22"/>
      <c r="WXJ149" s="22"/>
      <c r="WXK149" s="22"/>
      <c r="WXL149" s="22"/>
      <c r="WXM149" s="22"/>
      <c r="WXN149" s="22"/>
      <c r="WXO149" s="22"/>
      <c r="WXP149" s="22"/>
      <c r="WXQ149" s="22"/>
      <c r="WXR149" s="22"/>
      <c r="WXS149" s="22"/>
      <c r="WXT149" s="22"/>
      <c r="WXU149" s="22"/>
      <c r="WXV149" s="22"/>
      <c r="WXW149" s="22"/>
      <c r="WXX149" s="22"/>
      <c r="WXY149" s="22"/>
      <c r="WXZ149" s="22"/>
      <c r="WYA149" s="22"/>
      <c r="WYB149" s="22"/>
      <c r="WYC149" s="22"/>
      <c r="WYD149" s="22"/>
      <c r="WYE149" s="22"/>
      <c r="WYF149" s="22"/>
      <c r="WYG149" s="22"/>
      <c r="WYH149" s="22"/>
      <c r="WYI149" s="22"/>
      <c r="WYJ149" s="22"/>
      <c r="WYK149" s="22"/>
      <c r="WYL149" s="22"/>
      <c r="WYM149" s="22"/>
      <c r="WYN149" s="22"/>
      <c r="WYO149" s="22"/>
      <c r="WYP149" s="22"/>
      <c r="WYQ149" s="22"/>
      <c r="WYR149" s="22"/>
      <c r="WYS149" s="22"/>
      <c r="WYT149" s="22"/>
      <c r="WYU149" s="22"/>
      <c r="WYV149" s="22"/>
      <c r="WYW149" s="22"/>
      <c r="WYX149" s="22"/>
      <c r="WYY149" s="22"/>
      <c r="WYZ149" s="22"/>
      <c r="WZA149" s="22"/>
      <c r="WZB149" s="22"/>
      <c r="WZC149" s="22"/>
      <c r="WZD149" s="22"/>
      <c r="WZE149" s="22"/>
      <c r="WZF149" s="22"/>
      <c r="WZG149" s="22"/>
      <c r="WZH149" s="22"/>
      <c r="WZI149" s="22"/>
      <c r="WZJ149" s="22"/>
      <c r="WZK149" s="22"/>
      <c r="WZL149" s="22"/>
      <c r="WZM149" s="22"/>
      <c r="WZN149" s="22"/>
      <c r="WZO149" s="22"/>
      <c r="WZP149" s="22"/>
      <c r="WZQ149" s="22"/>
      <c r="WZR149" s="22"/>
      <c r="WZS149" s="22"/>
      <c r="WZT149" s="22"/>
      <c r="WZU149" s="22"/>
      <c r="WZV149" s="22"/>
      <c r="WZW149" s="22"/>
      <c r="WZX149" s="22"/>
      <c r="WZY149" s="22"/>
      <c r="WZZ149" s="22"/>
      <c r="XAA149" s="22"/>
      <c r="XAB149" s="22"/>
      <c r="XAC149" s="22"/>
      <c r="XAD149" s="22"/>
      <c r="XAE149" s="22"/>
      <c r="XAF149" s="22"/>
      <c r="XAG149" s="22"/>
      <c r="XAH149" s="22"/>
      <c r="XAI149" s="22"/>
      <c r="XAJ149" s="22"/>
      <c r="XAK149" s="22"/>
      <c r="XAL149" s="22"/>
      <c r="XAM149" s="22"/>
      <c r="XAN149" s="22"/>
      <c r="XAO149" s="22"/>
      <c r="XAP149" s="22"/>
      <c r="XAQ149" s="22"/>
      <c r="XAR149" s="22"/>
      <c r="XAS149" s="22"/>
      <c r="XAT149" s="22"/>
      <c r="XAU149" s="22"/>
      <c r="XAV149" s="22"/>
      <c r="XAW149" s="22"/>
      <c r="XAX149" s="22"/>
      <c r="XAY149" s="22"/>
      <c r="XAZ149" s="22"/>
      <c r="XBA149" s="22"/>
      <c r="XBB149" s="22"/>
      <c r="XBC149" s="22"/>
      <c r="XBD149" s="22"/>
      <c r="XBE149" s="22"/>
      <c r="XBF149" s="22"/>
      <c r="XBG149" s="22"/>
      <c r="XBH149" s="22"/>
      <c r="XBI149" s="22"/>
      <c r="XBJ149" s="22"/>
      <c r="XBK149" s="22"/>
      <c r="XBL149" s="22"/>
      <c r="XBM149" s="22"/>
      <c r="XBN149" s="22"/>
      <c r="XBO149" s="22"/>
      <c r="XBP149" s="22"/>
      <c r="XBQ149" s="22"/>
      <c r="XBR149" s="22"/>
      <c r="XBS149" s="22"/>
      <c r="XBT149" s="22"/>
      <c r="XBU149" s="22"/>
      <c r="XBV149" s="22"/>
      <c r="XBW149" s="22"/>
      <c r="XBX149" s="22"/>
      <c r="XBY149" s="22"/>
      <c r="XBZ149" s="22"/>
      <c r="XCA149" s="22"/>
      <c r="XCB149" s="22"/>
      <c r="XCC149" s="22"/>
      <c r="XCD149" s="22"/>
      <c r="XCE149" s="22"/>
      <c r="XCF149" s="22"/>
      <c r="XCG149" s="22"/>
      <c r="XCH149" s="22"/>
      <c r="XCI149" s="22"/>
      <c r="XCJ149" s="22"/>
      <c r="XCK149" s="22"/>
      <c r="XCL149" s="22"/>
      <c r="XCM149" s="22"/>
      <c r="XCN149" s="22"/>
      <c r="XCO149" s="22"/>
      <c r="XCP149" s="22"/>
      <c r="XCQ149" s="22"/>
      <c r="XCR149" s="22"/>
      <c r="XCS149" s="22"/>
      <c r="XCT149" s="22"/>
      <c r="XCU149" s="22"/>
      <c r="XCV149" s="22"/>
      <c r="XCW149" s="22"/>
      <c r="XCX149" s="22"/>
      <c r="XCY149" s="22"/>
      <c r="XCZ149" s="22"/>
      <c r="XDA149" s="22"/>
      <c r="XDB149" s="22"/>
      <c r="XDC149" s="22"/>
      <c r="XDD149" s="22"/>
      <c r="XDE149" s="22"/>
      <c r="XDF149" s="22"/>
      <c r="XDG149" s="22"/>
      <c r="XDH149" s="22"/>
      <c r="XDI149" s="22"/>
      <c r="XDJ149" s="22"/>
      <c r="XDK149" s="22"/>
      <c r="XDL149" s="22"/>
      <c r="XDM149" s="22"/>
      <c r="XDN149" s="22"/>
      <c r="XDO149" s="22"/>
      <c r="XDP149" s="22"/>
      <c r="XDQ149" s="22"/>
      <c r="XDR149" s="22"/>
      <c r="XDS149" s="22"/>
      <c r="XDT149" s="22"/>
      <c r="XDU149" s="22"/>
      <c r="XDV149" s="22"/>
      <c r="XDW149" s="22"/>
      <c r="XDX149" s="22"/>
      <c r="XDY149" s="22"/>
      <c r="XDZ149" s="22"/>
      <c r="XEA149" s="22"/>
      <c r="XEB149" s="22"/>
      <c r="XEC149" s="22"/>
      <c r="XED149" s="22"/>
      <c r="XEE149" s="22"/>
      <c r="XEF149" s="22"/>
      <c r="XEG149" s="22"/>
      <c r="XEH149" s="22"/>
      <c r="XEI149" s="22"/>
      <c r="XEJ149" s="22"/>
      <c r="XEK149" s="22"/>
      <c r="XEL149" s="22"/>
      <c r="XEM149" s="22"/>
      <c r="XEN149" s="22"/>
      <c r="XEO149" s="22"/>
      <c r="XEP149" s="22"/>
      <c r="XEQ149" s="22"/>
      <c r="XER149" s="22"/>
      <c r="XES149" s="22"/>
      <c r="XET149" s="22"/>
      <c r="XEU149" s="22"/>
      <c r="XEV149" s="22"/>
      <c r="XEW149" s="22"/>
      <c r="XEX149" s="22"/>
      <c r="XEY149" s="22"/>
      <c r="XEZ149" s="22"/>
      <c r="XFA149" s="22"/>
      <c r="XFB149" s="22"/>
      <c r="XFC149" s="22"/>
      <c r="XFD149" s="22"/>
    </row>
    <row r="150" spans="1:16384" s="22" customFormat="1" hidden="1" outlineLevel="1" x14ac:dyDescent="0.25">
      <c r="A150" s="14"/>
      <c r="B150" s="15"/>
      <c r="C150" s="16" t="str">
        <f t="shared" si="206"/>
        <v xml:space="preserve"> </v>
      </c>
      <c r="D150" s="16" t="str">
        <f t="shared" si="207"/>
        <v xml:space="preserve"> </v>
      </c>
      <c r="E150" s="18"/>
      <c r="F150" s="18"/>
      <c r="G150" s="47">
        <f t="shared" si="208"/>
        <v>0</v>
      </c>
      <c r="H150" s="20">
        <f t="shared" si="209"/>
        <v>0</v>
      </c>
      <c r="I150" s="18"/>
      <c r="J150" s="21">
        <f t="shared" si="210"/>
        <v>0</v>
      </c>
      <c r="K150" s="318"/>
    </row>
    <row r="151" spans="1:16384" s="22" customFormat="1" hidden="1" outlineLevel="1" x14ac:dyDescent="0.25">
      <c r="A151" s="14"/>
      <c r="B151" s="15"/>
      <c r="C151" s="16" t="str">
        <f>VLOOKUP(LEFT(B151,2)&amp;0,invCustomer,2)</f>
        <v xml:space="preserve"> </v>
      </c>
      <c r="D151" s="16" t="str">
        <f>VLOOKUP(LEFT(B151,4)&amp;0,invProject,2)</f>
        <v xml:space="preserve"> </v>
      </c>
      <c r="E151" s="18"/>
      <c r="F151" s="18"/>
      <c r="G151" s="47">
        <f>ROUND(SUM(E151:F151)*0.1,2)</f>
        <v>0</v>
      </c>
      <c r="H151" s="20">
        <f>SUM(E151:G151)</f>
        <v>0</v>
      </c>
      <c r="I151" s="18"/>
      <c r="J151" s="21">
        <f>SUM(H151:I151)</f>
        <v>0</v>
      </c>
      <c r="K151" s="318"/>
    </row>
    <row r="152" spans="1:16384" s="54" customFormat="1" hidden="1" outlineLevel="1" x14ac:dyDescent="0.25">
      <c r="A152" s="14"/>
      <c r="B152" s="15"/>
      <c r="C152" s="16" t="str">
        <f t="shared" ref="C152" si="211">VLOOKUP(LEFT(B152,2)&amp;0,invCustomer,2)</f>
        <v xml:space="preserve"> </v>
      </c>
      <c r="D152" s="16" t="str">
        <f t="shared" ref="D152" si="212">VLOOKUP(LEFT(B152,4)&amp;0,invProject,2)</f>
        <v xml:space="preserve"> </v>
      </c>
      <c r="E152" s="18"/>
      <c r="F152" s="18"/>
      <c r="G152" s="47">
        <f t="shared" ref="G152" si="213">ROUND(SUM(E152:F152)*0.1,2)</f>
        <v>0</v>
      </c>
      <c r="H152" s="20">
        <f t="shared" ref="H152" si="214">SUM(E152:G152)</f>
        <v>0</v>
      </c>
      <c r="I152" s="18"/>
      <c r="J152" s="21">
        <f t="shared" ref="J152" si="215">SUM(H152:I152)</f>
        <v>0</v>
      </c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2"/>
      <c r="BO152" s="22"/>
      <c r="BP152" s="22"/>
      <c r="BQ152" s="22"/>
      <c r="BR152" s="22"/>
      <c r="BS152" s="22"/>
      <c r="BT152" s="22"/>
      <c r="BU152" s="22"/>
      <c r="BV152" s="22"/>
      <c r="BW152" s="22"/>
      <c r="BX152" s="22"/>
      <c r="BY152" s="22"/>
      <c r="BZ152" s="22"/>
      <c r="CA152" s="22"/>
      <c r="CB152" s="22"/>
      <c r="CC152" s="22"/>
      <c r="CD152" s="22"/>
      <c r="CE152" s="22"/>
      <c r="CF152" s="22"/>
      <c r="CG152" s="22"/>
      <c r="CH152" s="22"/>
      <c r="CI152" s="22"/>
      <c r="CJ152" s="22"/>
      <c r="CK152" s="22"/>
      <c r="CL152" s="22"/>
      <c r="CM152" s="22"/>
      <c r="CN152" s="22"/>
      <c r="CO152" s="22"/>
      <c r="CP152" s="22"/>
      <c r="CQ152" s="22"/>
      <c r="CR152" s="22"/>
      <c r="CS152" s="22"/>
      <c r="CT152" s="22"/>
      <c r="CU152" s="22"/>
      <c r="CV152" s="22"/>
      <c r="CW152" s="22"/>
      <c r="CX152" s="22"/>
      <c r="CY152" s="22"/>
      <c r="CZ152" s="22"/>
      <c r="DA152" s="22"/>
      <c r="DB152" s="22"/>
      <c r="DC152" s="22"/>
      <c r="DD152" s="22"/>
      <c r="DE152" s="22"/>
      <c r="DF152" s="22"/>
      <c r="DG152" s="22"/>
      <c r="DH152" s="22"/>
      <c r="DI152" s="22"/>
      <c r="DJ152" s="22"/>
      <c r="DK152" s="22"/>
      <c r="DL152" s="22"/>
      <c r="DM152" s="22"/>
      <c r="DN152" s="22"/>
      <c r="DO152" s="22"/>
      <c r="DP152" s="22"/>
      <c r="DQ152" s="22"/>
      <c r="DR152" s="22"/>
      <c r="DS152" s="22"/>
      <c r="DT152" s="22"/>
      <c r="DU152" s="22"/>
      <c r="DV152" s="22"/>
      <c r="DW152" s="22"/>
      <c r="DX152" s="22"/>
      <c r="DY152" s="22"/>
      <c r="DZ152" s="22"/>
      <c r="EA152" s="22"/>
      <c r="EB152" s="22"/>
      <c r="EC152" s="22"/>
      <c r="ED152" s="22"/>
      <c r="EE152" s="22"/>
      <c r="EF152" s="22"/>
      <c r="EG152" s="22"/>
      <c r="EH152" s="22"/>
      <c r="EI152" s="22"/>
      <c r="EJ152" s="22"/>
      <c r="EK152" s="22"/>
      <c r="EL152" s="22"/>
      <c r="EM152" s="22"/>
      <c r="EN152" s="22"/>
      <c r="EO152" s="22"/>
      <c r="EP152" s="22"/>
      <c r="EQ152" s="22"/>
      <c r="ER152" s="22"/>
      <c r="ES152" s="22"/>
      <c r="ET152" s="22"/>
      <c r="EU152" s="22"/>
      <c r="EV152" s="22"/>
      <c r="EW152" s="22"/>
      <c r="EX152" s="22"/>
      <c r="EY152" s="22"/>
      <c r="EZ152" s="22"/>
      <c r="FA152" s="22"/>
      <c r="FB152" s="22"/>
      <c r="FC152" s="22"/>
      <c r="FD152" s="22"/>
      <c r="FE152" s="22"/>
      <c r="FF152" s="22"/>
      <c r="FG152" s="22"/>
      <c r="FH152" s="22"/>
      <c r="FI152" s="22"/>
      <c r="FJ152" s="22"/>
      <c r="FK152" s="22"/>
      <c r="FL152" s="22"/>
      <c r="FM152" s="22"/>
      <c r="FN152" s="22"/>
      <c r="FO152" s="22"/>
      <c r="FP152" s="22"/>
      <c r="FQ152" s="22"/>
      <c r="FR152" s="22"/>
      <c r="FS152" s="22"/>
      <c r="FT152" s="22"/>
      <c r="FU152" s="22"/>
      <c r="FV152" s="22"/>
      <c r="FW152" s="22"/>
      <c r="FX152" s="22"/>
      <c r="FY152" s="22"/>
      <c r="FZ152" s="22"/>
      <c r="GA152" s="22"/>
      <c r="GB152" s="22"/>
      <c r="GC152" s="22"/>
      <c r="GD152" s="22"/>
      <c r="GE152" s="22"/>
      <c r="GF152" s="22"/>
      <c r="GG152" s="22"/>
      <c r="GH152" s="22"/>
      <c r="GI152" s="22"/>
      <c r="GJ152" s="22"/>
      <c r="GK152" s="22"/>
      <c r="GL152" s="22"/>
      <c r="GM152" s="22"/>
      <c r="GN152" s="22"/>
      <c r="GO152" s="22"/>
      <c r="GP152" s="22"/>
      <c r="GQ152" s="22"/>
      <c r="GR152" s="22"/>
      <c r="GS152" s="22"/>
      <c r="GT152" s="22"/>
      <c r="GU152" s="22"/>
      <c r="GV152" s="22"/>
      <c r="GW152" s="22"/>
      <c r="GX152" s="22"/>
      <c r="GY152" s="22"/>
      <c r="GZ152" s="22"/>
      <c r="HA152" s="22"/>
      <c r="HB152" s="22"/>
      <c r="HC152" s="22"/>
      <c r="HD152" s="22"/>
      <c r="HE152" s="22"/>
      <c r="HF152" s="22"/>
      <c r="HG152" s="22"/>
      <c r="HH152" s="22"/>
      <c r="HI152" s="22"/>
      <c r="HJ152" s="22"/>
      <c r="HK152" s="22"/>
      <c r="HL152" s="22"/>
      <c r="HM152" s="22"/>
      <c r="HN152" s="22"/>
      <c r="HO152" s="22"/>
      <c r="HP152" s="22"/>
      <c r="HQ152" s="22"/>
      <c r="HR152" s="22"/>
      <c r="HS152" s="22"/>
      <c r="HT152" s="22"/>
      <c r="HU152" s="22"/>
      <c r="HV152" s="22"/>
      <c r="HW152" s="22"/>
      <c r="HX152" s="22"/>
      <c r="HY152" s="22"/>
      <c r="HZ152" s="22"/>
      <c r="IA152" s="22"/>
      <c r="IB152" s="22"/>
      <c r="IC152" s="22"/>
      <c r="ID152" s="22"/>
      <c r="IE152" s="22"/>
      <c r="IF152" s="22"/>
      <c r="IG152" s="22"/>
      <c r="IH152" s="22"/>
      <c r="II152" s="22"/>
      <c r="IJ152" s="22"/>
      <c r="IK152" s="22"/>
      <c r="IL152" s="22"/>
      <c r="IM152" s="22"/>
      <c r="IN152" s="22"/>
      <c r="IO152" s="22"/>
      <c r="IP152" s="22"/>
      <c r="IQ152" s="22"/>
      <c r="IR152" s="22"/>
      <c r="IS152" s="22"/>
      <c r="IT152" s="22"/>
      <c r="IU152" s="22"/>
      <c r="IV152" s="22"/>
      <c r="IW152" s="22"/>
      <c r="IX152" s="22"/>
      <c r="IY152" s="22"/>
      <c r="IZ152" s="22"/>
      <c r="JA152" s="22"/>
      <c r="JB152" s="22"/>
      <c r="JC152" s="22"/>
      <c r="JD152" s="22"/>
      <c r="JE152" s="22"/>
      <c r="JF152" s="22"/>
      <c r="JG152" s="22"/>
      <c r="JH152" s="22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2"/>
      <c r="LK152" s="22"/>
      <c r="LL152" s="22"/>
      <c r="LM152" s="22"/>
      <c r="LN152" s="22"/>
      <c r="LO152" s="22"/>
      <c r="LP152" s="22"/>
      <c r="LQ152" s="22"/>
      <c r="LR152" s="22"/>
      <c r="LS152" s="22"/>
      <c r="LT152" s="22"/>
      <c r="LU152" s="22"/>
      <c r="LV152" s="22"/>
      <c r="LW152" s="22"/>
      <c r="LX152" s="22"/>
      <c r="LY152" s="22"/>
      <c r="LZ152" s="22"/>
      <c r="MA152" s="22"/>
      <c r="MB152" s="22"/>
      <c r="MC152" s="22"/>
      <c r="MD152" s="22"/>
      <c r="ME152" s="22"/>
      <c r="MF152" s="22"/>
      <c r="MG152" s="22"/>
      <c r="MH152" s="22"/>
      <c r="MI152" s="22"/>
      <c r="MJ152" s="22"/>
      <c r="MK152" s="22"/>
      <c r="ML152" s="22"/>
      <c r="MM152" s="22"/>
      <c r="MN152" s="22"/>
      <c r="MO152" s="22"/>
      <c r="MP152" s="22"/>
      <c r="MQ152" s="22"/>
      <c r="MR152" s="22"/>
      <c r="MS152" s="22"/>
      <c r="MT152" s="22"/>
      <c r="MU152" s="22"/>
      <c r="MV152" s="22"/>
      <c r="MW152" s="22"/>
      <c r="MX152" s="22"/>
      <c r="MY152" s="22"/>
      <c r="MZ152" s="22"/>
      <c r="NA152" s="22"/>
      <c r="NB152" s="22"/>
      <c r="NC152" s="22"/>
      <c r="ND152" s="22"/>
      <c r="NE152" s="22"/>
      <c r="NF152" s="22"/>
      <c r="NG152" s="22"/>
      <c r="NH152" s="22"/>
      <c r="NI152" s="22"/>
      <c r="NJ152" s="22"/>
      <c r="NK152" s="22"/>
      <c r="NL152" s="22"/>
      <c r="NM152" s="22"/>
      <c r="NN152" s="22"/>
      <c r="NO152" s="22"/>
      <c r="NP152" s="22"/>
      <c r="NQ152" s="22"/>
      <c r="NR152" s="22"/>
      <c r="NS152" s="22"/>
      <c r="NT152" s="22"/>
      <c r="NU152" s="22"/>
      <c r="NV152" s="22"/>
      <c r="NW152" s="22"/>
      <c r="NX152" s="22"/>
      <c r="NY152" s="22"/>
      <c r="NZ152" s="22"/>
      <c r="OA152" s="22"/>
      <c r="OB152" s="22"/>
      <c r="OC152" s="22"/>
      <c r="OD152" s="22"/>
      <c r="OE152" s="22"/>
      <c r="OF152" s="22"/>
      <c r="OG152" s="22"/>
      <c r="OH152" s="22"/>
      <c r="OI152" s="22"/>
      <c r="OJ152" s="22"/>
      <c r="OK152" s="22"/>
      <c r="OL152" s="22"/>
      <c r="OM152" s="22"/>
      <c r="ON152" s="22"/>
      <c r="OO152" s="22"/>
      <c r="OP152" s="22"/>
      <c r="OQ152" s="22"/>
      <c r="OR152" s="22"/>
      <c r="OS152" s="22"/>
      <c r="OT152" s="22"/>
      <c r="OU152" s="22"/>
      <c r="OV152" s="22"/>
      <c r="OW152" s="22"/>
      <c r="OX152" s="22"/>
      <c r="OY152" s="22"/>
      <c r="OZ152" s="22"/>
      <c r="PA152" s="22"/>
      <c r="PB152" s="22"/>
      <c r="PC152" s="22"/>
      <c r="PD152" s="22"/>
      <c r="PE152" s="22"/>
      <c r="PF152" s="22"/>
      <c r="PG152" s="22"/>
      <c r="PH152" s="22"/>
      <c r="PI152" s="22"/>
      <c r="PJ152" s="22"/>
      <c r="PK152" s="22"/>
      <c r="PL152" s="22"/>
      <c r="PM152" s="22"/>
      <c r="PN152" s="22"/>
      <c r="PO152" s="22"/>
      <c r="PP152" s="22"/>
      <c r="PQ152" s="22"/>
      <c r="PR152" s="22"/>
      <c r="PS152" s="22"/>
      <c r="PT152" s="22"/>
      <c r="PU152" s="22"/>
      <c r="PV152" s="22"/>
      <c r="PW152" s="22"/>
      <c r="PX152" s="22"/>
      <c r="PY152" s="22"/>
      <c r="PZ152" s="22"/>
      <c r="QA152" s="22"/>
      <c r="QB152" s="22"/>
      <c r="QC152" s="22"/>
      <c r="QD152" s="22"/>
      <c r="QE152" s="22"/>
      <c r="QF152" s="22"/>
      <c r="QG152" s="22"/>
      <c r="QH152" s="22"/>
      <c r="QI152" s="22"/>
      <c r="QJ152" s="22"/>
      <c r="QK152" s="22"/>
      <c r="QL152" s="22"/>
      <c r="QM152" s="22"/>
      <c r="QN152" s="22"/>
      <c r="QO152" s="22"/>
      <c r="QP152" s="22"/>
      <c r="QQ152" s="22"/>
      <c r="QR152" s="22"/>
      <c r="QS152" s="22"/>
      <c r="QT152" s="22"/>
      <c r="QU152" s="22"/>
      <c r="QV152" s="22"/>
      <c r="QW152" s="22"/>
      <c r="QX152" s="22"/>
      <c r="QY152" s="22"/>
      <c r="QZ152" s="22"/>
      <c r="RA152" s="22"/>
      <c r="RB152" s="22"/>
      <c r="RC152" s="22"/>
      <c r="RD152" s="22"/>
      <c r="RE152" s="22"/>
      <c r="RF152" s="22"/>
      <c r="RG152" s="22"/>
      <c r="RH152" s="22"/>
      <c r="RI152" s="22"/>
      <c r="RJ152" s="22"/>
      <c r="RK152" s="22"/>
      <c r="RL152" s="22"/>
      <c r="RM152" s="22"/>
      <c r="RN152" s="22"/>
      <c r="RO152" s="22"/>
      <c r="RP152" s="22"/>
      <c r="RQ152" s="22"/>
      <c r="RR152" s="22"/>
      <c r="RS152" s="22"/>
      <c r="RT152" s="22"/>
      <c r="RU152" s="22"/>
      <c r="RV152" s="22"/>
      <c r="RW152" s="22"/>
      <c r="RX152" s="22"/>
      <c r="RY152" s="22"/>
      <c r="RZ152" s="22"/>
      <c r="SA152" s="22"/>
      <c r="SB152" s="22"/>
      <c r="SC152" s="22"/>
      <c r="SD152" s="22"/>
      <c r="SE152" s="22"/>
      <c r="SF152" s="22"/>
      <c r="SG152" s="22"/>
      <c r="SH152" s="22"/>
      <c r="SI152" s="22"/>
      <c r="SJ152" s="22"/>
      <c r="SK152" s="22"/>
      <c r="SL152" s="22"/>
      <c r="SM152" s="22"/>
      <c r="SN152" s="22"/>
      <c r="SO152" s="22"/>
      <c r="SP152" s="22"/>
      <c r="SQ152" s="22"/>
      <c r="SR152" s="22"/>
      <c r="SS152" s="22"/>
      <c r="ST152" s="22"/>
      <c r="SU152" s="22"/>
      <c r="SV152" s="22"/>
      <c r="SW152" s="22"/>
      <c r="SX152" s="22"/>
      <c r="SY152" s="22"/>
      <c r="SZ152" s="22"/>
      <c r="TA152" s="22"/>
      <c r="TB152" s="22"/>
      <c r="TC152" s="22"/>
      <c r="TD152" s="22"/>
      <c r="TE152" s="22"/>
      <c r="TF152" s="22"/>
      <c r="TG152" s="22"/>
      <c r="TH152" s="22"/>
      <c r="TI152" s="22"/>
      <c r="TJ152" s="22"/>
      <c r="TK152" s="22"/>
      <c r="TL152" s="22"/>
      <c r="TM152" s="22"/>
      <c r="TN152" s="22"/>
      <c r="TO152" s="22"/>
      <c r="TP152" s="22"/>
      <c r="TQ152" s="22"/>
      <c r="TR152" s="22"/>
      <c r="TS152" s="22"/>
      <c r="TT152" s="22"/>
      <c r="TU152" s="22"/>
      <c r="TV152" s="22"/>
      <c r="TW152" s="22"/>
      <c r="TX152" s="22"/>
      <c r="TY152" s="22"/>
      <c r="TZ152" s="22"/>
      <c r="UA152" s="22"/>
      <c r="UB152" s="22"/>
      <c r="UC152" s="22"/>
      <c r="UD152" s="22"/>
      <c r="UE152" s="22"/>
      <c r="UF152" s="22"/>
      <c r="UG152" s="22"/>
      <c r="UH152" s="22"/>
      <c r="UI152" s="22"/>
      <c r="UJ152" s="22"/>
      <c r="UK152" s="22"/>
      <c r="UL152" s="22"/>
      <c r="UM152" s="22"/>
      <c r="UN152" s="22"/>
      <c r="UO152" s="22"/>
      <c r="UP152" s="22"/>
      <c r="UQ152" s="22"/>
      <c r="UR152" s="22"/>
      <c r="US152" s="22"/>
      <c r="UT152" s="22"/>
      <c r="UU152" s="22"/>
      <c r="UV152" s="22"/>
      <c r="UW152" s="22"/>
      <c r="UX152" s="22"/>
      <c r="UY152" s="22"/>
      <c r="UZ152" s="22"/>
      <c r="VA152" s="22"/>
      <c r="VB152" s="22"/>
      <c r="VC152" s="22"/>
      <c r="VD152" s="22"/>
      <c r="VE152" s="22"/>
      <c r="VF152" s="22"/>
      <c r="VG152" s="22"/>
      <c r="VH152" s="22"/>
      <c r="VI152" s="22"/>
      <c r="VJ152" s="22"/>
      <c r="VK152" s="22"/>
      <c r="VL152" s="22"/>
      <c r="VM152" s="22"/>
      <c r="VN152" s="22"/>
      <c r="VO152" s="22"/>
      <c r="VP152" s="22"/>
      <c r="VQ152" s="22"/>
      <c r="VR152" s="22"/>
      <c r="VS152" s="22"/>
      <c r="VT152" s="22"/>
      <c r="VU152" s="22"/>
      <c r="VV152" s="22"/>
      <c r="VW152" s="22"/>
      <c r="VX152" s="22"/>
      <c r="VY152" s="22"/>
      <c r="VZ152" s="22"/>
      <c r="WA152" s="22"/>
      <c r="WB152" s="22"/>
      <c r="WC152" s="22"/>
      <c r="WD152" s="22"/>
      <c r="WE152" s="22"/>
      <c r="WF152" s="22"/>
      <c r="WG152" s="22"/>
      <c r="WH152" s="22"/>
      <c r="WI152" s="22"/>
      <c r="WJ152" s="22"/>
      <c r="WK152" s="22"/>
      <c r="WL152" s="22"/>
      <c r="WM152" s="22"/>
      <c r="WN152" s="22"/>
      <c r="WO152" s="22"/>
      <c r="WP152" s="22"/>
      <c r="WQ152" s="22"/>
      <c r="WR152" s="22"/>
      <c r="WS152" s="22"/>
      <c r="WT152" s="22"/>
      <c r="WU152" s="22"/>
      <c r="WV152" s="22"/>
      <c r="WW152" s="22"/>
      <c r="WX152" s="22"/>
      <c r="WY152" s="22"/>
      <c r="WZ152" s="22"/>
      <c r="XA152" s="22"/>
      <c r="XB152" s="22"/>
      <c r="XC152" s="22"/>
      <c r="XD152" s="22"/>
      <c r="XE152" s="22"/>
      <c r="XF152" s="22"/>
      <c r="XG152" s="22"/>
      <c r="XH152" s="22"/>
      <c r="XI152" s="22"/>
      <c r="XJ152" s="22"/>
      <c r="XK152" s="22"/>
      <c r="XL152" s="22"/>
      <c r="XM152" s="22"/>
      <c r="XN152" s="22"/>
      <c r="XO152" s="22"/>
      <c r="XP152" s="22"/>
      <c r="XQ152" s="22"/>
      <c r="XR152" s="22"/>
      <c r="XS152" s="22"/>
      <c r="XT152" s="22"/>
      <c r="XU152" s="22"/>
      <c r="XV152" s="22"/>
      <c r="XW152" s="22"/>
      <c r="XX152" s="22"/>
      <c r="XY152" s="22"/>
      <c r="XZ152" s="22"/>
      <c r="YA152" s="22"/>
      <c r="YB152" s="22"/>
      <c r="YC152" s="22"/>
      <c r="YD152" s="22"/>
      <c r="YE152" s="22"/>
      <c r="YF152" s="22"/>
      <c r="YG152" s="22"/>
      <c r="YH152" s="22"/>
      <c r="YI152" s="22"/>
      <c r="YJ152" s="22"/>
      <c r="YK152" s="22"/>
      <c r="YL152" s="22"/>
      <c r="YM152" s="22"/>
      <c r="YN152" s="22"/>
      <c r="YO152" s="22"/>
      <c r="YP152" s="22"/>
      <c r="YQ152" s="22"/>
      <c r="YR152" s="22"/>
      <c r="YS152" s="22"/>
      <c r="YT152" s="22"/>
      <c r="YU152" s="22"/>
      <c r="YV152" s="22"/>
      <c r="YW152" s="22"/>
      <c r="YX152" s="22"/>
      <c r="YY152" s="22"/>
      <c r="YZ152" s="22"/>
      <c r="ZA152" s="22"/>
      <c r="ZB152" s="22"/>
      <c r="ZC152" s="22"/>
      <c r="ZD152" s="22"/>
      <c r="ZE152" s="22"/>
      <c r="ZF152" s="22"/>
      <c r="ZG152" s="22"/>
      <c r="ZH152" s="22"/>
      <c r="ZI152" s="22"/>
      <c r="ZJ152" s="22"/>
      <c r="ZK152" s="22"/>
      <c r="ZL152" s="22"/>
      <c r="ZM152" s="22"/>
      <c r="ZN152" s="22"/>
      <c r="ZO152" s="22"/>
      <c r="ZP152" s="22"/>
      <c r="ZQ152" s="22"/>
      <c r="ZR152" s="22"/>
      <c r="ZS152" s="22"/>
      <c r="ZT152" s="22"/>
      <c r="ZU152" s="22"/>
      <c r="ZV152" s="22"/>
      <c r="ZW152" s="22"/>
      <c r="ZX152" s="22"/>
      <c r="ZY152" s="22"/>
      <c r="ZZ152" s="22"/>
      <c r="AAA152" s="22"/>
      <c r="AAB152" s="22"/>
      <c r="AAC152" s="22"/>
      <c r="AAD152" s="22"/>
      <c r="AAE152" s="22"/>
      <c r="AAF152" s="22"/>
      <c r="AAG152" s="22"/>
      <c r="AAH152" s="22"/>
      <c r="AAI152" s="22"/>
      <c r="AAJ152" s="22"/>
      <c r="AAK152" s="22"/>
      <c r="AAL152" s="22"/>
      <c r="AAM152" s="22"/>
      <c r="AAN152" s="22"/>
      <c r="AAO152" s="22"/>
      <c r="AAP152" s="22"/>
      <c r="AAQ152" s="22"/>
      <c r="AAR152" s="22"/>
      <c r="AAS152" s="22"/>
      <c r="AAT152" s="22"/>
      <c r="AAU152" s="22"/>
      <c r="AAV152" s="22"/>
      <c r="AAW152" s="22"/>
      <c r="AAX152" s="22"/>
      <c r="AAY152" s="22"/>
      <c r="AAZ152" s="22"/>
      <c r="ABA152" s="22"/>
      <c r="ABB152" s="22"/>
      <c r="ABC152" s="22"/>
      <c r="ABD152" s="22"/>
      <c r="ABE152" s="22"/>
      <c r="ABF152" s="22"/>
      <c r="ABG152" s="22"/>
      <c r="ABH152" s="22"/>
      <c r="ABI152" s="22"/>
      <c r="ABJ152" s="22"/>
      <c r="ABK152" s="22"/>
      <c r="ABL152" s="22"/>
      <c r="ABM152" s="22"/>
      <c r="ABN152" s="22"/>
      <c r="ABO152" s="22"/>
      <c r="ABP152" s="22"/>
      <c r="ABQ152" s="22"/>
      <c r="ABR152" s="22"/>
      <c r="ABS152" s="22"/>
      <c r="ABT152" s="22"/>
      <c r="ABU152" s="22"/>
      <c r="ABV152" s="22"/>
      <c r="ABW152" s="22"/>
      <c r="ABX152" s="22"/>
      <c r="ABY152" s="22"/>
      <c r="ABZ152" s="22"/>
      <c r="ACA152" s="22"/>
      <c r="ACB152" s="22"/>
      <c r="ACC152" s="22"/>
      <c r="ACD152" s="22"/>
      <c r="ACE152" s="22"/>
      <c r="ACF152" s="22"/>
      <c r="ACG152" s="22"/>
      <c r="ACH152" s="22"/>
      <c r="ACI152" s="22"/>
      <c r="ACJ152" s="22"/>
      <c r="ACK152" s="22"/>
      <c r="ACL152" s="22"/>
      <c r="ACM152" s="22"/>
      <c r="ACN152" s="22"/>
      <c r="ACO152" s="22"/>
      <c r="ACP152" s="22"/>
      <c r="ACQ152" s="22"/>
      <c r="ACR152" s="22"/>
      <c r="ACS152" s="22"/>
      <c r="ACT152" s="22"/>
      <c r="ACU152" s="22"/>
      <c r="ACV152" s="22"/>
      <c r="ACW152" s="22"/>
      <c r="ACX152" s="22"/>
      <c r="ACY152" s="22"/>
      <c r="ACZ152" s="22"/>
      <c r="ADA152" s="22"/>
      <c r="ADB152" s="22"/>
      <c r="ADC152" s="22"/>
      <c r="ADD152" s="22"/>
      <c r="ADE152" s="22"/>
      <c r="ADF152" s="22"/>
      <c r="ADG152" s="22"/>
      <c r="ADH152" s="22"/>
      <c r="ADI152" s="22"/>
      <c r="ADJ152" s="22"/>
      <c r="ADK152" s="22"/>
      <c r="ADL152" s="22"/>
      <c r="ADM152" s="22"/>
      <c r="ADN152" s="22"/>
      <c r="ADO152" s="22"/>
      <c r="ADP152" s="22"/>
      <c r="ADQ152" s="22"/>
      <c r="ADR152" s="22"/>
      <c r="ADS152" s="22"/>
      <c r="ADT152" s="22"/>
      <c r="ADU152" s="22"/>
      <c r="ADV152" s="22"/>
      <c r="ADW152" s="22"/>
      <c r="ADX152" s="22"/>
      <c r="ADY152" s="22"/>
      <c r="ADZ152" s="22"/>
      <c r="AEA152" s="22"/>
      <c r="AEB152" s="22"/>
      <c r="AEC152" s="22"/>
      <c r="AED152" s="22"/>
      <c r="AEE152" s="22"/>
      <c r="AEF152" s="22"/>
      <c r="AEG152" s="22"/>
      <c r="AEH152" s="22"/>
      <c r="AEI152" s="22"/>
      <c r="AEJ152" s="22"/>
      <c r="AEK152" s="22"/>
      <c r="AEL152" s="22"/>
      <c r="AEM152" s="22"/>
      <c r="AEN152" s="22"/>
      <c r="AEO152" s="22"/>
      <c r="AEP152" s="22"/>
      <c r="AEQ152" s="22"/>
      <c r="AER152" s="22"/>
      <c r="AES152" s="22"/>
      <c r="AET152" s="22"/>
      <c r="AEU152" s="22"/>
      <c r="AEV152" s="22"/>
      <c r="AEW152" s="22"/>
      <c r="AEX152" s="22"/>
      <c r="AEY152" s="22"/>
      <c r="AEZ152" s="22"/>
      <c r="AFA152" s="22"/>
      <c r="AFB152" s="22"/>
      <c r="AFC152" s="22"/>
      <c r="AFD152" s="22"/>
      <c r="AFE152" s="22"/>
      <c r="AFF152" s="22"/>
      <c r="AFG152" s="22"/>
      <c r="AFH152" s="22"/>
      <c r="AFI152" s="22"/>
      <c r="AFJ152" s="22"/>
      <c r="AFK152" s="22"/>
      <c r="AFL152" s="22"/>
      <c r="AFM152" s="22"/>
      <c r="AFN152" s="22"/>
      <c r="AFO152" s="22"/>
      <c r="AFP152" s="22"/>
      <c r="AFQ152" s="22"/>
      <c r="AFR152" s="22"/>
      <c r="AFS152" s="22"/>
      <c r="AFT152" s="22"/>
      <c r="AFU152" s="22"/>
      <c r="AFV152" s="22"/>
      <c r="AFW152" s="22"/>
      <c r="AFX152" s="22"/>
      <c r="AFY152" s="22"/>
      <c r="AFZ152" s="22"/>
      <c r="AGA152" s="22"/>
      <c r="AGB152" s="22"/>
      <c r="AGC152" s="22"/>
      <c r="AGD152" s="22"/>
      <c r="AGE152" s="22"/>
      <c r="AGF152" s="22"/>
      <c r="AGG152" s="22"/>
      <c r="AGH152" s="22"/>
      <c r="AGI152" s="22"/>
      <c r="AGJ152" s="22"/>
      <c r="AGK152" s="22"/>
      <c r="AGL152" s="22"/>
      <c r="AGM152" s="22"/>
      <c r="AGN152" s="22"/>
      <c r="AGO152" s="22"/>
      <c r="AGP152" s="22"/>
      <c r="AGQ152" s="22"/>
      <c r="AGR152" s="22"/>
      <c r="AGS152" s="22"/>
      <c r="AGT152" s="22"/>
      <c r="AGU152" s="22"/>
      <c r="AGV152" s="22"/>
      <c r="AGW152" s="22"/>
      <c r="AGX152" s="22"/>
      <c r="AGY152" s="22"/>
      <c r="AGZ152" s="22"/>
      <c r="AHA152" s="22"/>
      <c r="AHB152" s="22"/>
      <c r="AHC152" s="22"/>
      <c r="AHD152" s="22"/>
      <c r="AHE152" s="22"/>
      <c r="AHF152" s="22"/>
      <c r="AHG152" s="22"/>
      <c r="AHH152" s="22"/>
      <c r="AHI152" s="22"/>
      <c r="AHJ152" s="22"/>
      <c r="AHK152" s="22"/>
      <c r="AHL152" s="22"/>
      <c r="AHM152" s="22"/>
      <c r="AHN152" s="22"/>
      <c r="AHO152" s="22"/>
      <c r="AHP152" s="22"/>
      <c r="AHQ152" s="22"/>
      <c r="AHR152" s="22"/>
      <c r="AHS152" s="22"/>
      <c r="AHT152" s="22"/>
      <c r="AHU152" s="22"/>
      <c r="AHV152" s="22"/>
      <c r="AHW152" s="22"/>
      <c r="AHX152" s="22"/>
      <c r="AHY152" s="22"/>
      <c r="AHZ152" s="22"/>
      <c r="AIA152" s="22"/>
      <c r="AIB152" s="22"/>
      <c r="AIC152" s="22"/>
      <c r="AID152" s="22"/>
      <c r="AIE152" s="22"/>
      <c r="AIF152" s="22"/>
      <c r="AIG152" s="22"/>
      <c r="AIH152" s="22"/>
      <c r="AII152" s="22"/>
      <c r="AIJ152" s="22"/>
      <c r="AIK152" s="22"/>
      <c r="AIL152" s="22"/>
      <c r="AIM152" s="22"/>
      <c r="AIN152" s="22"/>
      <c r="AIO152" s="22"/>
      <c r="AIP152" s="22"/>
      <c r="AIQ152" s="22"/>
      <c r="AIR152" s="22"/>
      <c r="AIS152" s="22"/>
      <c r="AIT152" s="22"/>
      <c r="AIU152" s="22"/>
      <c r="AIV152" s="22"/>
      <c r="AIW152" s="22"/>
      <c r="AIX152" s="22"/>
      <c r="AIY152" s="22"/>
      <c r="AIZ152" s="22"/>
      <c r="AJA152" s="22"/>
      <c r="AJB152" s="22"/>
      <c r="AJC152" s="22"/>
      <c r="AJD152" s="22"/>
      <c r="AJE152" s="22"/>
      <c r="AJF152" s="22"/>
      <c r="AJG152" s="22"/>
      <c r="AJH152" s="22"/>
      <c r="AJI152" s="22"/>
      <c r="AJJ152" s="22"/>
      <c r="AJK152" s="22"/>
      <c r="AJL152" s="22"/>
      <c r="AJM152" s="22"/>
      <c r="AJN152" s="22"/>
      <c r="AJO152" s="22"/>
      <c r="AJP152" s="22"/>
      <c r="AJQ152" s="22"/>
      <c r="AJR152" s="22"/>
      <c r="AJS152" s="22"/>
      <c r="AJT152" s="22"/>
      <c r="AJU152" s="22"/>
      <c r="AJV152" s="22"/>
      <c r="AJW152" s="22"/>
      <c r="AJX152" s="22"/>
      <c r="AJY152" s="22"/>
      <c r="AJZ152" s="22"/>
      <c r="AKA152" s="22"/>
      <c r="AKB152" s="22"/>
      <c r="AKC152" s="22"/>
      <c r="AKD152" s="22"/>
      <c r="AKE152" s="22"/>
      <c r="AKF152" s="22"/>
      <c r="AKG152" s="22"/>
      <c r="AKH152" s="22"/>
      <c r="AKI152" s="22"/>
      <c r="AKJ152" s="22"/>
      <c r="AKK152" s="22"/>
      <c r="AKL152" s="22"/>
      <c r="AKM152" s="22"/>
      <c r="AKN152" s="22"/>
      <c r="AKO152" s="22"/>
      <c r="AKP152" s="22"/>
      <c r="AKQ152" s="22"/>
      <c r="AKR152" s="22"/>
      <c r="AKS152" s="22"/>
      <c r="AKT152" s="22"/>
      <c r="AKU152" s="22"/>
      <c r="AKV152" s="22"/>
      <c r="AKW152" s="22"/>
      <c r="AKX152" s="22"/>
      <c r="AKY152" s="22"/>
      <c r="AKZ152" s="22"/>
      <c r="ALA152" s="22"/>
      <c r="ALB152" s="22"/>
      <c r="ALC152" s="22"/>
      <c r="ALD152" s="22"/>
      <c r="ALE152" s="22"/>
      <c r="ALF152" s="22"/>
      <c r="ALG152" s="22"/>
      <c r="ALH152" s="22"/>
      <c r="ALI152" s="22"/>
      <c r="ALJ152" s="22"/>
      <c r="ALK152" s="22"/>
      <c r="ALL152" s="22"/>
      <c r="ALM152" s="22"/>
      <c r="ALN152" s="22"/>
      <c r="ALO152" s="22"/>
      <c r="ALP152" s="22"/>
      <c r="ALQ152" s="22"/>
      <c r="ALR152" s="22"/>
      <c r="ALS152" s="22"/>
      <c r="ALT152" s="22"/>
      <c r="ALU152" s="22"/>
      <c r="ALV152" s="22"/>
      <c r="ALW152" s="22"/>
      <c r="ALX152" s="22"/>
      <c r="ALY152" s="22"/>
      <c r="ALZ152" s="22"/>
      <c r="AMA152" s="22"/>
      <c r="AMB152" s="22"/>
      <c r="AMC152" s="22"/>
      <c r="AMD152" s="22"/>
      <c r="AME152" s="22"/>
      <c r="AMF152" s="22"/>
      <c r="AMG152" s="22"/>
      <c r="AMH152" s="22"/>
      <c r="AMI152" s="22"/>
      <c r="AMJ152" s="22"/>
      <c r="AMK152" s="22"/>
      <c r="AML152" s="22"/>
      <c r="AMM152" s="22"/>
      <c r="AMN152" s="22"/>
      <c r="AMO152" s="22"/>
      <c r="AMP152" s="22"/>
      <c r="AMQ152" s="22"/>
      <c r="AMR152" s="22"/>
      <c r="AMS152" s="22"/>
      <c r="AMT152" s="22"/>
      <c r="AMU152" s="22"/>
      <c r="AMV152" s="22"/>
      <c r="AMW152" s="22"/>
      <c r="AMX152" s="22"/>
      <c r="AMY152" s="22"/>
      <c r="AMZ152" s="22"/>
      <c r="ANA152" s="22"/>
      <c r="ANB152" s="22"/>
      <c r="ANC152" s="22"/>
      <c r="AND152" s="22"/>
      <c r="ANE152" s="22"/>
      <c r="ANF152" s="22"/>
      <c r="ANG152" s="22"/>
      <c r="ANH152" s="22"/>
      <c r="ANI152" s="22"/>
      <c r="ANJ152" s="22"/>
      <c r="ANK152" s="22"/>
      <c r="ANL152" s="22"/>
      <c r="ANM152" s="22"/>
      <c r="ANN152" s="22"/>
      <c r="ANO152" s="22"/>
      <c r="ANP152" s="22"/>
      <c r="ANQ152" s="22"/>
      <c r="ANR152" s="22"/>
      <c r="ANS152" s="22"/>
      <c r="ANT152" s="22"/>
      <c r="ANU152" s="22"/>
      <c r="ANV152" s="22"/>
      <c r="ANW152" s="22"/>
      <c r="ANX152" s="22"/>
      <c r="ANY152" s="22"/>
      <c r="ANZ152" s="22"/>
      <c r="AOA152" s="22"/>
      <c r="AOB152" s="22"/>
      <c r="AOC152" s="22"/>
      <c r="AOD152" s="22"/>
      <c r="AOE152" s="22"/>
      <c r="AOF152" s="22"/>
      <c r="AOG152" s="22"/>
      <c r="AOH152" s="22"/>
      <c r="AOI152" s="22"/>
      <c r="AOJ152" s="22"/>
      <c r="AOK152" s="22"/>
      <c r="AOL152" s="22"/>
      <c r="AOM152" s="22"/>
      <c r="AON152" s="22"/>
      <c r="AOO152" s="22"/>
      <c r="AOP152" s="22"/>
      <c r="AOQ152" s="22"/>
      <c r="AOR152" s="22"/>
      <c r="AOS152" s="22"/>
      <c r="AOT152" s="22"/>
      <c r="AOU152" s="22"/>
      <c r="AOV152" s="22"/>
      <c r="AOW152" s="22"/>
      <c r="AOX152" s="22"/>
      <c r="AOY152" s="22"/>
      <c r="AOZ152" s="22"/>
      <c r="APA152" s="22"/>
      <c r="APB152" s="22"/>
      <c r="APC152" s="22"/>
      <c r="APD152" s="22"/>
      <c r="APE152" s="22"/>
      <c r="APF152" s="22"/>
      <c r="APG152" s="22"/>
      <c r="APH152" s="22"/>
      <c r="API152" s="22"/>
      <c r="APJ152" s="22"/>
      <c r="APK152" s="22"/>
      <c r="APL152" s="22"/>
      <c r="APM152" s="22"/>
      <c r="APN152" s="22"/>
      <c r="APO152" s="22"/>
      <c r="APP152" s="22"/>
      <c r="APQ152" s="22"/>
      <c r="APR152" s="22"/>
      <c r="APS152" s="22"/>
      <c r="APT152" s="22"/>
      <c r="APU152" s="22"/>
      <c r="APV152" s="22"/>
      <c r="APW152" s="22"/>
      <c r="APX152" s="22"/>
      <c r="APY152" s="22"/>
      <c r="APZ152" s="22"/>
      <c r="AQA152" s="22"/>
      <c r="AQB152" s="22"/>
      <c r="AQC152" s="22"/>
      <c r="AQD152" s="22"/>
      <c r="AQE152" s="22"/>
      <c r="AQF152" s="22"/>
      <c r="AQG152" s="22"/>
      <c r="AQH152" s="22"/>
      <c r="AQI152" s="22"/>
      <c r="AQJ152" s="22"/>
      <c r="AQK152" s="22"/>
      <c r="AQL152" s="22"/>
      <c r="AQM152" s="22"/>
      <c r="AQN152" s="22"/>
      <c r="AQO152" s="22"/>
      <c r="AQP152" s="22"/>
      <c r="AQQ152" s="22"/>
      <c r="AQR152" s="22"/>
      <c r="AQS152" s="22"/>
      <c r="AQT152" s="22"/>
      <c r="AQU152" s="22"/>
      <c r="AQV152" s="22"/>
      <c r="AQW152" s="22"/>
      <c r="AQX152" s="22"/>
      <c r="AQY152" s="22"/>
      <c r="AQZ152" s="22"/>
      <c r="ARA152" s="22"/>
      <c r="ARB152" s="22"/>
      <c r="ARC152" s="22"/>
      <c r="ARD152" s="22"/>
      <c r="ARE152" s="22"/>
      <c r="ARF152" s="22"/>
      <c r="ARG152" s="22"/>
      <c r="ARH152" s="22"/>
      <c r="ARI152" s="22"/>
      <c r="ARJ152" s="22"/>
      <c r="ARK152" s="22"/>
      <c r="ARL152" s="22"/>
      <c r="ARM152" s="22"/>
      <c r="ARN152" s="22"/>
      <c r="ARO152" s="22"/>
      <c r="ARP152" s="22"/>
      <c r="ARQ152" s="22"/>
      <c r="ARR152" s="22"/>
      <c r="ARS152" s="22"/>
      <c r="ART152" s="22"/>
      <c r="ARU152" s="22"/>
      <c r="ARV152" s="22"/>
      <c r="ARW152" s="22"/>
      <c r="ARX152" s="22"/>
      <c r="ARY152" s="22"/>
      <c r="ARZ152" s="22"/>
      <c r="ASA152" s="22"/>
      <c r="ASB152" s="22"/>
      <c r="ASC152" s="22"/>
      <c r="ASD152" s="22"/>
      <c r="ASE152" s="22"/>
      <c r="ASF152" s="22"/>
      <c r="ASG152" s="22"/>
      <c r="ASH152" s="22"/>
      <c r="ASI152" s="22"/>
      <c r="ASJ152" s="22"/>
      <c r="ASK152" s="22"/>
      <c r="ASL152" s="22"/>
      <c r="ASM152" s="22"/>
      <c r="ASN152" s="22"/>
      <c r="ASO152" s="22"/>
      <c r="ASP152" s="22"/>
      <c r="ASQ152" s="22"/>
      <c r="ASR152" s="22"/>
      <c r="ASS152" s="22"/>
      <c r="AST152" s="22"/>
      <c r="ASU152" s="22"/>
      <c r="ASV152" s="22"/>
      <c r="ASW152" s="22"/>
      <c r="ASX152" s="22"/>
      <c r="ASY152" s="22"/>
      <c r="ASZ152" s="22"/>
      <c r="ATA152" s="22"/>
      <c r="ATB152" s="22"/>
      <c r="ATC152" s="22"/>
      <c r="ATD152" s="22"/>
      <c r="ATE152" s="22"/>
      <c r="ATF152" s="22"/>
      <c r="ATG152" s="22"/>
      <c r="ATH152" s="22"/>
      <c r="ATI152" s="22"/>
      <c r="ATJ152" s="22"/>
      <c r="ATK152" s="22"/>
      <c r="ATL152" s="22"/>
      <c r="ATM152" s="22"/>
      <c r="ATN152" s="22"/>
      <c r="ATO152" s="22"/>
      <c r="ATP152" s="22"/>
      <c r="ATQ152" s="22"/>
      <c r="ATR152" s="22"/>
      <c r="ATS152" s="22"/>
      <c r="ATT152" s="22"/>
      <c r="ATU152" s="22"/>
      <c r="ATV152" s="22"/>
      <c r="ATW152" s="22"/>
      <c r="ATX152" s="22"/>
      <c r="ATY152" s="22"/>
      <c r="ATZ152" s="22"/>
      <c r="AUA152" s="22"/>
      <c r="AUB152" s="22"/>
      <c r="AUC152" s="22"/>
      <c r="AUD152" s="22"/>
      <c r="AUE152" s="22"/>
      <c r="AUF152" s="22"/>
      <c r="AUG152" s="22"/>
      <c r="AUH152" s="22"/>
      <c r="AUI152" s="22"/>
      <c r="AUJ152" s="22"/>
      <c r="AUK152" s="22"/>
      <c r="AUL152" s="22"/>
      <c r="AUM152" s="22"/>
      <c r="AUN152" s="22"/>
      <c r="AUO152" s="22"/>
      <c r="AUP152" s="22"/>
      <c r="AUQ152" s="22"/>
      <c r="AUR152" s="22"/>
      <c r="AUS152" s="22"/>
      <c r="AUT152" s="22"/>
      <c r="AUU152" s="22"/>
      <c r="AUV152" s="22"/>
      <c r="AUW152" s="22"/>
      <c r="AUX152" s="22"/>
      <c r="AUY152" s="22"/>
      <c r="AUZ152" s="22"/>
      <c r="AVA152" s="22"/>
      <c r="AVB152" s="22"/>
      <c r="AVC152" s="22"/>
      <c r="AVD152" s="22"/>
      <c r="AVE152" s="22"/>
      <c r="AVF152" s="22"/>
      <c r="AVG152" s="22"/>
      <c r="AVH152" s="22"/>
      <c r="AVI152" s="22"/>
      <c r="AVJ152" s="22"/>
      <c r="AVK152" s="22"/>
      <c r="AVL152" s="22"/>
      <c r="AVM152" s="22"/>
      <c r="AVN152" s="22"/>
      <c r="AVO152" s="22"/>
      <c r="AVP152" s="22"/>
      <c r="AVQ152" s="22"/>
      <c r="AVR152" s="22"/>
      <c r="AVS152" s="22"/>
      <c r="AVT152" s="22"/>
      <c r="AVU152" s="22"/>
      <c r="AVV152" s="22"/>
      <c r="AVW152" s="22"/>
      <c r="AVX152" s="22"/>
      <c r="AVY152" s="22"/>
      <c r="AVZ152" s="22"/>
      <c r="AWA152" s="22"/>
      <c r="AWB152" s="22"/>
      <c r="AWC152" s="22"/>
      <c r="AWD152" s="22"/>
      <c r="AWE152" s="22"/>
      <c r="AWF152" s="22"/>
      <c r="AWG152" s="22"/>
      <c r="AWH152" s="22"/>
      <c r="AWI152" s="22"/>
      <c r="AWJ152" s="22"/>
      <c r="AWK152" s="22"/>
      <c r="AWL152" s="22"/>
      <c r="AWM152" s="22"/>
      <c r="AWN152" s="22"/>
      <c r="AWO152" s="22"/>
      <c r="AWP152" s="22"/>
      <c r="AWQ152" s="22"/>
      <c r="AWR152" s="22"/>
      <c r="AWS152" s="22"/>
      <c r="AWT152" s="22"/>
      <c r="AWU152" s="22"/>
      <c r="AWV152" s="22"/>
      <c r="AWW152" s="22"/>
      <c r="AWX152" s="22"/>
      <c r="AWY152" s="22"/>
      <c r="AWZ152" s="22"/>
      <c r="AXA152" s="22"/>
      <c r="AXB152" s="22"/>
      <c r="AXC152" s="22"/>
      <c r="AXD152" s="22"/>
      <c r="AXE152" s="22"/>
      <c r="AXF152" s="22"/>
      <c r="AXG152" s="22"/>
      <c r="AXH152" s="22"/>
      <c r="AXI152" s="22"/>
      <c r="AXJ152" s="22"/>
      <c r="AXK152" s="22"/>
      <c r="AXL152" s="22"/>
      <c r="AXM152" s="22"/>
      <c r="AXN152" s="22"/>
      <c r="AXO152" s="22"/>
      <c r="AXP152" s="22"/>
      <c r="AXQ152" s="22"/>
      <c r="AXR152" s="22"/>
      <c r="AXS152" s="22"/>
      <c r="AXT152" s="22"/>
      <c r="AXU152" s="22"/>
      <c r="AXV152" s="22"/>
      <c r="AXW152" s="22"/>
      <c r="AXX152" s="22"/>
      <c r="AXY152" s="22"/>
      <c r="AXZ152" s="22"/>
      <c r="AYA152" s="22"/>
      <c r="AYB152" s="22"/>
      <c r="AYC152" s="22"/>
      <c r="AYD152" s="22"/>
      <c r="AYE152" s="22"/>
      <c r="AYF152" s="22"/>
      <c r="AYG152" s="22"/>
      <c r="AYH152" s="22"/>
      <c r="AYI152" s="22"/>
      <c r="AYJ152" s="22"/>
      <c r="AYK152" s="22"/>
      <c r="AYL152" s="22"/>
      <c r="AYM152" s="22"/>
      <c r="AYN152" s="22"/>
      <c r="AYO152" s="22"/>
      <c r="AYP152" s="22"/>
      <c r="AYQ152" s="22"/>
      <c r="AYR152" s="22"/>
      <c r="AYS152" s="22"/>
      <c r="AYT152" s="22"/>
      <c r="AYU152" s="22"/>
      <c r="AYV152" s="22"/>
      <c r="AYW152" s="22"/>
      <c r="AYX152" s="22"/>
      <c r="AYY152" s="22"/>
      <c r="AYZ152" s="22"/>
      <c r="AZA152" s="22"/>
      <c r="AZB152" s="22"/>
      <c r="AZC152" s="22"/>
      <c r="AZD152" s="22"/>
      <c r="AZE152" s="22"/>
      <c r="AZF152" s="22"/>
      <c r="AZG152" s="22"/>
      <c r="AZH152" s="22"/>
      <c r="AZI152" s="22"/>
      <c r="AZJ152" s="22"/>
      <c r="AZK152" s="22"/>
      <c r="AZL152" s="22"/>
      <c r="AZM152" s="22"/>
      <c r="AZN152" s="22"/>
      <c r="AZO152" s="22"/>
      <c r="AZP152" s="22"/>
      <c r="AZQ152" s="22"/>
      <c r="AZR152" s="22"/>
      <c r="AZS152" s="22"/>
      <c r="AZT152" s="22"/>
      <c r="AZU152" s="22"/>
      <c r="AZV152" s="22"/>
      <c r="AZW152" s="22"/>
      <c r="AZX152" s="22"/>
      <c r="AZY152" s="22"/>
      <c r="AZZ152" s="22"/>
      <c r="BAA152" s="22"/>
      <c r="BAB152" s="22"/>
      <c r="BAC152" s="22"/>
      <c r="BAD152" s="22"/>
      <c r="BAE152" s="22"/>
      <c r="BAF152" s="22"/>
      <c r="BAG152" s="22"/>
      <c r="BAH152" s="22"/>
      <c r="BAI152" s="22"/>
      <c r="BAJ152" s="22"/>
      <c r="BAK152" s="22"/>
      <c r="BAL152" s="22"/>
      <c r="BAM152" s="22"/>
      <c r="BAN152" s="22"/>
      <c r="BAO152" s="22"/>
      <c r="BAP152" s="22"/>
      <c r="BAQ152" s="22"/>
      <c r="BAR152" s="22"/>
      <c r="BAS152" s="22"/>
      <c r="BAT152" s="22"/>
      <c r="BAU152" s="22"/>
      <c r="BAV152" s="22"/>
      <c r="BAW152" s="22"/>
      <c r="BAX152" s="22"/>
      <c r="BAY152" s="22"/>
      <c r="BAZ152" s="22"/>
      <c r="BBA152" s="22"/>
      <c r="BBB152" s="22"/>
      <c r="BBC152" s="22"/>
      <c r="BBD152" s="22"/>
      <c r="BBE152" s="22"/>
      <c r="BBF152" s="22"/>
      <c r="BBG152" s="22"/>
      <c r="BBH152" s="22"/>
      <c r="BBI152" s="22"/>
      <c r="BBJ152" s="22"/>
      <c r="BBK152" s="22"/>
      <c r="BBL152" s="22"/>
      <c r="BBM152" s="22"/>
      <c r="BBN152" s="22"/>
      <c r="BBO152" s="22"/>
      <c r="BBP152" s="22"/>
      <c r="BBQ152" s="22"/>
      <c r="BBR152" s="22"/>
      <c r="BBS152" s="22"/>
      <c r="BBT152" s="22"/>
      <c r="BBU152" s="22"/>
      <c r="BBV152" s="22"/>
      <c r="BBW152" s="22"/>
      <c r="BBX152" s="22"/>
      <c r="BBY152" s="22"/>
      <c r="BBZ152" s="22"/>
      <c r="BCA152" s="22"/>
      <c r="BCB152" s="22"/>
      <c r="BCC152" s="22"/>
      <c r="BCD152" s="22"/>
      <c r="BCE152" s="22"/>
      <c r="BCF152" s="22"/>
      <c r="BCG152" s="22"/>
      <c r="BCH152" s="22"/>
      <c r="BCI152" s="22"/>
      <c r="BCJ152" s="22"/>
      <c r="BCK152" s="22"/>
      <c r="BCL152" s="22"/>
      <c r="BCM152" s="22"/>
      <c r="BCN152" s="22"/>
      <c r="BCO152" s="22"/>
      <c r="BCP152" s="22"/>
      <c r="BCQ152" s="22"/>
      <c r="BCR152" s="22"/>
      <c r="BCS152" s="22"/>
      <c r="BCT152" s="22"/>
      <c r="BCU152" s="22"/>
      <c r="BCV152" s="22"/>
      <c r="BCW152" s="22"/>
      <c r="BCX152" s="22"/>
      <c r="BCY152" s="22"/>
      <c r="BCZ152" s="22"/>
      <c r="BDA152" s="22"/>
      <c r="BDB152" s="22"/>
      <c r="BDC152" s="22"/>
      <c r="BDD152" s="22"/>
      <c r="BDE152" s="22"/>
      <c r="BDF152" s="22"/>
      <c r="BDG152" s="22"/>
      <c r="BDH152" s="22"/>
      <c r="BDI152" s="22"/>
      <c r="BDJ152" s="22"/>
      <c r="BDK152" s="22"/>
      <c r="BDL152" s="22"/>
      <c r="BDM152" s="22"/>
      <c r="BDN152" s="22"/>
      <c r="BDO152" s="22"/>
      <c r="BDP152" s="22"/>
      <c r="BDQ152" s="22"/>
      <c r="BDR152" s="22"/>
      <c r="BDS152" s="22"/>
      <c r="BDT152" s="22"/>
      <c r="BDU152" s="22"/>
      <c r="BDV152" s="22"/>
      <c r="BDW152" s="22"/>
      <c r="BDX152" s="22"/>
      <c r="BDY152" s="22"/>
      <c r="BDZ152" s="22"/>
      <c r="BEA152" s="22"/>
      <c r="BEB152" s="22"/>
      <c r="BEC152" s="22"/>
      <c r="BED152" s="22"/>
      <c r="BEE152" s="22"/>
      <c r="BEF152" s="22"/>
      <c r="BEG152" s="22"/>
      <c r="BEH152" s="22"/>
      <c r="BEI152" s="22"/>
      <c r="BEJ152" s="22"/>
      <c r="BEK152" s="22"/>
      <c r="BEL152" s="22"/>
      <c r="BEM152" s="22"/>
      <c r="BEN152" s="22"/>
      <c r="BEO152" s="22"/>
      <c r="BEP152" s="22"/>
      <c r="BEQ152" s="22"/>
      <c r="BER152" s="22"/>
      <c r="BES152" s="22"/>
      <c r="BET152" s="22"/>
      <c r="BEU152" s="22"/>
      <c r="BEV152" s="22"/>
      <c r="BEW152" s="22"/>
      <c r="BEX152" s="22"/>
      <c r="BEY152" s="22"/>
      <c r="BEZ152" s="22"/>
      <c r="BFA152" s="22"/>
      <c r="BFB152" s="22"/>
      <c r="BFC152" s="22"/>
      <c r="BFD152" s="22"/>
      <c r="BFE152" s="22"/>
      <c r="BFF152" s="22"/>
      <c r="BFG152" s="22"/>
      <c r="BFH152" s="22"/>
      <c r="BFI152" s="22"/>
      <c r="BFJ152" s="22"/>
      <c r="BFK152" s="22"/>
      <c r="BFL152" s="22"/>
      <c r="BFM152" s="22"/>
      <c r="BFN152" s="22"/>
      <c r="BFO152" s="22"/>
      <c r="BFP152" s="22"/>
      <c r="BFQ152" s="22"/>
      <c r="BFR152" s="22"/>
      <c r="BFS152" s="22"/>
      <c r="BFT152" s="22"/>
      <c r="BFU152" s="22"/>
      <c r="BFV152" s="22"/>
      <c r="BFW152" s="22"/>
      <c r="BFX152" s="22"/>
      <c r="BFY152" s="22"/>
      <c r="BFZ152" s="22"/>
      <c r="BGA152" s="22"/>
      <c r="BGB152" s="22"/>
      <c r="BGC152" s="22"/>
      <c r="BGD152" s="22"/>
      <c r="BGE152" s="22"/>
      <c r="BGF152" s="22"/>
      <c r="BGG152" s="22"/>
      <c r="BGH152" s="22"/>
      <c r="BGI152" s="22"/>
      <c r="BGJ152" s="22"/>
      <c r="BGK152" s="22"/>
      <c r="BGL152" s="22"/>
      <c r="BGM152" s="22"/>
      <c r="BGN152" s="22"/>
      <c r="BGO152" s="22"/>
      <c r="BGP152" s="22"/>
      <c r="BGQ152" s="22"/>
      <c r="BGR152" s="22"/>
      <c r="BGS152" s="22"/>
      <c r="BGT152" s="22"/>
      <c r="BGU152" s="22"/>
      <c r="BGV152" s="22"/>
      <c r="BGW152" s="22"/>
      <c r="BGX152" s="22"/>
      <c r="BGY152" s="22"/>
      <c r="BGZ152" s="22"/>
      <c r="BHA152" s="22"/>
      <c r="BHB152" s="22"/>
      <c r="BHC152" s="22"/>
      <c r="BHD152" s="22"/>
      <c r="BHE152" s="22"/>
      <c r="BHF152" s="22"/>
      <c r="BHG152" s="22"/>
      <c r="BHH152" s="22"/>
      <c r="BHI152" s="22"/>
      <c r="BHJ152" s="22"/>
      <c r="BHK152" s="22"/>
      <c r="BHL152" s="22"/>
      <c r="BHM152" s="22"/>
      <c r="BHN152" s="22"/>
      <c r="BHO152" s="22"/>
      <c r="BHP152" s="22"/>
      <c r="BHQ152" s="22"/>
      <c r="BHR152" s="22"/>
      <c r="BHS152" s="22"/>
      <c r="BHT152" s="22"/>
      <c r="BHU152" s="22"/>
      <c r="BHV152" s="22"/>
      <c r="BHW152" s="22"/>
      <c r="BHX152" s="22"/>
      <c r="BHY152" s="22"/>
      <c r="BHZ152" s="22"/>
      <c r="BIA152" s="22"/>
      <c r="BIB152" s="22"/>
      <c r="BIC152" s="22"/>
      <c r="BID152" s="22"/>
      <c r="BIE152" s="22"/>
      <c r="BIF152" s="22"/>
      <c r="BIG152" s="22"/>
      <c r="BIH152" s="22"/>
      <c r="BII152" s="22"/>
      <c r="BIJ152" s="22"/>
      <c r="BIK152" s="22"/>
      <c r="BIL152" s="22"/>
      <c r="BIM152" s="22"/>
      <c r="BIN152" s="22"/>
      <c r="BIO152" s="22"/>
      <c r="BIP152" s="22"/>
      <c r="BIQ152" s="22"/>
      <c r="BIR152" s="22"/>
      <c r="BIS152" s="22"/>
      <c r="BIT152" s="22"/>
      <c r="BIU152" s="22"/>
      <c r="BIV152" s="22"/>
      <c r="BIW152" s="22"/>
      <c r="BIX152" s="22"/>
      <c r="BIY152" s="22"/>
      <c r="BIZ152" s="22"/>
      <c r="BJA152" s="22"/>
      <c r="BJB152" s="22"/>
      <c r="BJC152" s="22"/>
      <c r="BJD152" s="22"/>
      <c r="BJE152" s="22"/>
      <c r="BJF152" s="22"/>
      <c r="BJG152" s="22"/>
      <c r="BJH152" s="22"/>
      <c r="BJI152" s="22"/>
      <c r="BJJ152" s="22"/>
      <c r="BJK152" s="22"/>
      <c r="BJL152" s="22"/>
      <c r="BJM152" s="22"/>
      <c r="BJN152" s="22"/>
      <c r="BJO152" s="22"/>
      <c r="BJP152" s="22"/>
      <c r="BJQ152" s="22"/>
      <c r="BJR152" s="22"/>
      <c r="BJS152" s="22"/>
      <c r="BJT152" s="22"/>
      <c r="BJU152" s="22"/>
      <c r="BJV152" s="22"/>
      <c r="BJW152" s="22"/>
      <c r="BJX152" s="22"/>
      <c r="BJY152" s="22"/>
      <c r="BJZ152" s="22"/>
      <c r="BKA152" s="22"/>
      <c r="BKB152" s="22"/>
      <c r="BKC152" s="22"/>
      <c r="BKD152" s="22"/>
      <c r="BKE152" s="22"/>
      <c r="BKF152" s="22"/>
      <c r="BKG152" s="22"/>
      <c r="BKH152" s="22"/>
      <c r="BKI152" s="22"/>
      <c r="BKJ152" s="22"/>
      <c r="BKK152" s="22"/>
      <c r="BKL152" s="22"/>
      <c r="BKM152" s="22"/>
      <c r="BKN152" s="22"/>
      <c r="BKO152" s="22"/>
      <c r="BKP152" s="22"/>
      <c r="BKQ152" s="22"/>
      <c r="BKR152" s="22"/>
      <c r="BKS152" s="22"/>
      <c r="BKT152" s="22"/>
      <c r="BKU152" s="22"/>
      <c r="BKV152" s="22"/>
      <c r="BKW152" s="22"/>
      <c r="BKX152" s="22"/>
      <c r="BKY152" s="22"/>
      <c r="BKZ152" s="22"/>
      <c r="BLA152" s="22"/>
      <c r="BLB152" s="22"/>
      <c r="BLC152" s="22"/>
      <c r="BLD152" s="22"/>
      <c r="BLE152" s="22"/>
      <c r="BLF152" s="22"/>
      <c r="BLG152" s="22"/>
      <c r="BLH152" s="22"/>
      <c r="BLI152" s="22"/>
      <c r="BLJ152" s="22"/>
      <c r="BLK152" s="22"/>
      <c r="BLL152" s="22"/>
      <c r="BLM152" s="22"/>
      <c r="BLN152" s="22"/>
      <c r="BLO152" s="22"/>
      <c r="BLP152" s="22"/>
      <c r="BLQ152" s="22"/>
      <c r="BLR152" s="22"/>
      <c r="BLS152" s="22"/>
      <c r="BLT152" s="22"/>
      <c r="BLU152" s="22"/>
      <c r="BLV152" s="22"/>
      <c r="BLW152" s="22"/>
      <c r="BLX152" s="22"/>
      <c r="BLY152" s="22"/>
      <c r="BLZ152" s="22"/>
      <c r="BMA152" s="22"/>
      <c r="BMB152" s="22"/>
      <c r="BMC152" s="22"/>
      <c r="BMD152" s="22"/>
      <c r="BME152" s="22"/>
      <c r="BMF152" s="22"/>
      <c r="BMG152" s="22"/>
      <c r="BMH152" s="22"/>
      <c r="BMI152" s="22"/>
      <c r="BMJ152" s="22"/>
      <c r="BMK152" s="22"/>
      <c r="BML152" s="22"/>
      <c r="BMM152" s="22"/>
      <c r="BMN152" s="22"/>
      <c r="BMO152" s="22"/>
      <c r="BMP152" s="22"/>
      <c r="BMQ152" s="22"/>
      <c r="BMR152" s="22"/>
      <c r="BMS152" s="22"/>
      <c r="BMT152" s="22"/>
      <c r="BMU152" s="22"/>
      <c r="BMV152" s="22"/>
      <c r="BMW152" s="22"/>
      <c r="BMX152" s="22"/>
      <c r="BMY152" s="22"/>
      <c r="BMZ152" s="22"/>
      <c r="BNA152" s="22"/>
      <c r="BNB152" s="22"/>
      <c r="BNC152" s="22"/>
      <c r="BND152" s="22"/>
      <c r="BNE152" s="22"/>
      <c r="BNF152" s="22"/>
      <c r="BNG152" s="22"/>
      <c r="BNH152" s="22"/>
      <c r="BNI152" s="22"/>
      <c r="BNJ152" s="22"/>
      <c r="BNK152" s="22"/>
      <c r="BNL152" s="22"/>
      <c r="BNM152" s="22"/>
      <c r="BNN152" s="22"/>
      <c r="BNO152" s="22"/>
      <c r="BNP152" s="22"/>
      <c r="BNQ152" s="22"/>
      <c r="BNR152" s="22"/>
      <c r="BNS152" s="22"/>
      <c r="BNT152" s="22"/>
      <c r="BNU152" s="22"/>
      <c r="BNV152" s="22"/>
      <c r="BNW152" s="22"/>
      <c r="BNX152" s="22"/>
      <c r="BNY152" s="22"/>
      <c r="BNZ152" s="22"/>
      <c r="BOA152" s="22"/>
      <c r="BOB152" s="22"/>
      <c r="BOC152" s="22"/>
      <c r="BOD152" s="22"/>
      <c r="BOE152" s="22"/>
      <c r="BOF152" s="22"/>
      <c r="BOG152" s="22"/>
      <c r="BOH152" s="22"/>
      <c r="BOI152" s="22"/>
      <c r="BOJ152" s="22"/>
      <c r="BOK152" s="22"/>
      <c r="BOL152" s="22"/>
      <c r="BOM152" s="22"/>
      <c r="BON152" s="22"/>
      <c r="BOO152" s="22"/>
      <c r="BOP152" s="22"/>
      <c r="BOQ152" s="22"/>
      <c r="BOR152" s="22"/>
      <c r="BOS152" s="22"/>
      <c r="BOT152" s="22"/>
      <c r="BOU152" s="22"/>
      <c r="BOV152" s="22"/>
      <c r="BOW152" s="22"/>
      <c r="BOX152" s="22"/>
      <c r="BOY152" s="22"/>
      <c r="BOZ152" s="22"/>
      <c r="BPA152" s="22"/>
      <c r="BPB152" s="22"/>
      <c r="BPC152" s="22"/>
      <c r="BPD152" s="22"/>
      <c r="BPE152" s="22"/>
      <c r="BPF152" s="22"/>
      <c r="BPG152" s="22"/>
      <c r="BPH152" s="22"/>
      <c r="BPI152" s="22"/>
      <c r="BPJ152" s="22"/>
      <c r="BPK152" s="22"/>
      <c r="BPL152" s="22"/>
      <c r="BPM152" s="22"/>
      <c r="BPN152" s="22"/>
      <c r="BPO152" s="22"/>
      <c r="BPP152" s="22"/>
      <c r="BPQ152" s="22"/>
      <c r="BPR152" s="22"/>
      <c r="BPS152" s="22"/>
      <c r="BPT152" s="22"/>
      <c r="BPU152" s="22"/>
      <c r="BPV152" s="22"/>
      <c r="BPW152" s="22"/>
      <c r="BPX152" s="22"/>
      <c r="BPY152" s="22"/>
      <c r="BPZ152" s="22"/>
      <c r="BQA152" s="22"/>
      <c r="BQB152" s="22"/>
      <c r="BQC152" s="22"/>
      <c r="BQD152" s="22"/>
      <c r="BQE152" s="22"/>
      <c r="BQF152" s="22"/>
      <c r="BQG152" s="22"/>
      <c r="BQH152" s="22"/>
      <c r="BQI152" s="22"/>
      <c r="BQJ152" s="22"/>
      <c r="BQK152" s="22"/>
      <c r="BQL152" s="22"/>
      <c r="BQM152" s="22"/>
      <c r="BQN152" s="22"/>
      <c r="BQO152" s="22"/>
      <c r="BQP152" s="22"/>
      <c r="BQQ152" s="22"/>
      <c r="BQR152" s="22"/>
      <c r="BQS152" s="22"/>
      <c r="BQT152" s="22"/>
      <c r="BQU152" s="22"/>
      <c r="BQV152" s="22"/>
      <c r="BQW152" s="22"/>
      <c r="BQX152" s="22"/>
      <c r="BQY152" s="22"/>
      <c r="BQZ152" s="22"/>
      <c r="BRA152" s="22"/>
      <c r="BRB152" s="22"/>
      <c r="BRC152" s="22"/>
      <c r="BRD152" s="22"/>
      <c r="BRE152" s="22"/>
      <c r="BRF152" s="22"/>
      <c r="BRG152" s="22"/>
      <c r="BRH152" s="22"/>
      <c r="BRI152" s="22"/>
      <c r="BRJ152" s="22"/>
      <c r="BRK152" s="22"/>
      <c r="BRL152" s="22"/>
      <c r="BRM152" s="22"/>
      <c r="BRN152" s="22"/>
      <c r="BRO152" s="22"/>
      <c r="BRP152" s="22"/>
      <c r="BRQ152" s="22"/>
      <c r="BRR152" s="22"/>
      <c r="BRS152" s="22"/>
      <c r="BRT152" s="22"/>
      <c r="BRU152" s="22"/>
      <c r="BRV152" s="22"/>
      <c r="BRW152" s="22"/>
      <c r="BRX152" s="22"/>
      <c r="BRY152" s="22"/>
      <c r="BRZ152" s="22"/>
      <c r="BSA152" s="22"/>
      <c r="BSB152" s="22"/>
      <c r="BSC152" s="22"/>
      <c r="BSD152" s="22"/>
      <c r="BSE152" s="22"/>
      <c r="BSF152" s="22"/>
      <c r="BSG152" s="22"/>
      <c r="BSH152" s="22"/>
      <c r="BSI152" s="22"/>
      <c r="BSJ152" s="22"/>
      <c r="BSK152" s="22"/>
      <c r="BSL152" s="22"/>
      <c r="BSM152" s="22"/>
      <c r="BSN152" s="22"/>
      <c r="BSO152" s="22"/>
      <c r="BSP152" s="22"/>
      <c r="BSQ152" s="22"/>
      <c r="BSR152" s="22"/>
      <c r="BSS152" s="22"/>
      <c r="BST152" s="22"/>
      <c r="BSU152" s="22"/>
      <c r="BSV152" s="22"/>
      <c r="BSW152" s="22"/>
      <c r="BSX152" s="22"/>
      <c r="BSY152" s="22"/>
      <c r="BSZ152" s="22"/>
      <c r="BTA152" s="22"/>
      <c r="BTB152" s="22"/>
      <c r="BTC152" s="22"/>
      <c r="BTD152" s="22"/>
      <c r="BTE152" s="22"/>
      <c r="BTF152" s="22"/>
      <c r="BTG152" s="22"/>
      <c r="BTH152" s="22"/>
      <c r="BTI152" s="22"/>
      <c r="BTJ152" s="22"/>
      <c r="BTK152" s="22"/>
      <c r="BTL152" s="22"/>
      <c r="BTM152" s="22"/>
      <c r="BTN152" s="22"/>
      <c r="BTO152" s="22"/>
      <c r="BTP152" s="22"/>
      <c r="BTQ152" s="22"/>
      <c r="BTR152" s="22"/>
      <c r="BTS152" s="22"/>
      <c r="BTT152" s="22"/>
      <c r="BTU152" s="22"/>
      <c r="BTV152" s="22"/>
      <c r="BTW152" s="22"/>
      <c r="BTX152" s="22"/>
      <c r="BTY152" s="22"/>
      <c r="BTZ152" s="22"/>
      <c r="BUA152" s="22"/>
      <c r="BUB152" s="22"/>
      <c r="BUC152" s="22"/>
      <c r="BUD152" s="22"/>
      <c r="BUE152" s="22"/>
      <c r="BUF152" s="22"/>
      <c r="BUG152" s="22"/>
      <c r="BUH152" s="22"/>
      <c r="BUI152" s="22"/>
      <c r="BUJ152" s="22"/>
      <c r="BUK152" s="22"/>
      <c r="BUL152" s="22"/>
      <c r="BUM152" s="22"/>
      <c r="BUN152" s="22"/>
      <c r="BUO152" s="22"/>
      <c r="BUP152" s="22"/>
      <c r="BUQ152" s="22"/>
      <c r="BUR152" s="22"/>
      <c r="BUS152" s="22"/>
      <c r="BUT152" s="22"/>
      <c r="BUU152" s="22"/>
      <c r="BUV152" s="22"/>
      <c r="BUW152" s="22"/>
      <c r="BUX152" s="22"/>
      <c r="BUY152" s="22"/>
      <c r="BUZ152" s="22"/>
      <c r="BVA152" s="22"/>
      <c r="BVB152" s="22"/>
      <c r="BVC152" s="22"/>
      <c r="BVD152" s="22"/>
      <c r="BVE152" s="22"/>
      <c r="BVF152" s="22"/>
      <c r="BVG152" s="22"/>
      <c r="BVH152" s="22"/>
      <c r="BVI152" s="22"/>
      <c r="BVJ152" s="22"/>
      <c r="BVK152" s="22"/>
      <c r="BVL152" s="22"/>
      <c r="BVM152" s="22"/>
      <c r="BVN152" s="22"/>
      <c r="BVO152" s="22"/>
      <c r="BVP152" s="22"/>
      <c r="BVQ152" s="22"/>
      <c r="BVR152" s="22"/>
      <c r="BVS152" s="22"/>
      <c r="BVT152" s="22"/>
      <c r="BVU152" s="22"/>
      <c r="BVV152" s="22"/>
      <c r="BVW152" s="22"/>
      <c r="BVX152" s="22"/>
      <c r="BVY152" s="22"/>
      <c r="BVZ152" s="22"/>
      <c r="BWA152" s="22"/>
      <c r="BWB152" s="22"/>
      <c r="BWC152" s="22"/>
      <c r="BWD152" s="22"/>
      <c r="BWE152" s="22"/>
      <c r="BWF152" s="22"/>
      <c r="BWG152" s="22"/>
      <c r="BWH152" s="22"/>
      <c r="BWI152" s="22"/>
      <c r="BWJ152" s="22"/>
      <c r="BWK152" s="22"/>
      <c r="BWL152" s="22"/>
      <c r="BWM152" s="22"/>
      <c r="BWN152" s="22"/>
      <c r="BWO152" s="22"/>
      <c r="BWP152" s="22"/>
      <c r="BWQ152" s="22"/>
      <c r="BWR152" s="22"/>
      <c r="BWS152" s="22"/>
      <c r="BWT152" s="22"/>
      <c r="BWU152" s="22"/>
      <c r="BWV152" s="22"/>
      <c r="BWW152" s="22"/>
      <c r="BWX152" s="22"/>
      <c r="BWY152" s="22"/>
      <c r="BWZ152" s="22"/>
      <c r="BXA152" s="22"/>
      <c r="BXB152" s="22"/>
      <c r="BXC152" s="22"/>
      <c r="BXD152" s="22"/>
      <c r="BXE152" s="22"/>
      <c r="BXF152" s="22"/>
      <c r="BXG152" s="22"/>
      <c r="BXH152" s="22"/>
      <c r="BXI152" s="22"/>
      <c r="BXJ152" s="22"/>
      <c r="BXK152" s="22"/>
      <c r="BXL152" s="22"/>
      <c r="BXM152" s="22"/>
      <c r="BXN152" s="22"/>
      <c r="BXO152" s="22"/>
      <c r="BXP152" s="22"/>
      <c r="BXQ152" s="22"/>
      <c r="BXR152" s="22"/>
      <c r="BXS152" s="22"/>
      <c r="BXT152" s="22"/>
      <c r="BXU152" s="22"/>
      <c r="BXV152" s="22"/>
      <c r="BXW152" s="22"/>
      <c r="BXX152" s="22"/>
      <c r="BXY152" s="22"/>
      <c r="BXZ152" s="22"/>
      <c r="BYA152" s="22"/>
      <c r="BYB152" s="22"/>
      <c r="BYC152" s="22"/>
      <c r="BYD152" s="22"/>
      <c r="BYE152" s="22"/>
      <c r="BYF152" s="22"/>
      <c r="BYG152" s="22"/>
      <c r="BYH152" s="22"/>
      <c r="BYI152" s="22"/>
      <c r="BYJ152" s="22"/>
      <c r="BYK152" s="22"/>
      <c r="BYL152" s="22"/>
      <c r="BYM152" s="22"/>
      <c r="BYN152" s="22"/>
      <c r="BYO152" s="22"/>
      <c r="BYP152" s="22"/>
      <c r="BYQ152" s="22"/>
      <c r="BYR152" s="22"/>
      <c r="BYS152" s="22"/>
      <c r="BYT152" s="22"/>
      <c r="BYU152" s="22"/>
      <c r="BYV152" s="22"/>
      <c r="BYW152" s="22"/>
      <c r="BYX152" s="22"/>
      <c r="BYY152" s="22"/>
      <c r="BYZ152" s="22"/>
      <c r="BZA152" s="22"/>
      <c r="BZB152" s="22"/>
      <c r="BZC152" s="22"/>
      <c r="BZD152" s="22"/>
      <c r="BZE152" s="22"/>
      <c r="BZF152" s="22"/>
      <c r="BZG152" s="22"/>
      <c r="BZH152" s="22"/>
      <c r="BZI152" s="22"/>
      <c r="BZJ152" s="22"/>
      <c r="BZK152" s="22"/>
      <c r="BZL152" s="22"/>
      <c r="BZM152" s="22"/>
      <c r="BZN152" s="22"/>
      <c r="BZO152" s="22"/>
      <c r="BZP152" s="22"/>
      <c r="BZQ152" s="22"/>
      <c r="BZR152" s="22"/>
      <c r="BZS152" s="22"/>
      <c r="BZT152" s="22"/>
      <c r="BZU152" s="22"/>
      <c r="BZV152" s="22"/>
      <c r="BZW152" s="22"/>
      <c r="BZX152" s="22"/>
      <c r="BZY152" s="22"/>
      <c r="BZZ152" s="22"/>
      <c r="CAA152" s="22"/>
      <c r="CAB152" s="22"/>
      <c r="CAC152" s="22"/>
      <c r="CAD152" s="22"/>
      <c r="CAE152" s="22"/>
      <c r="CAF152" s="22"/>
      <c r="CAG152" s="22"/>
      <c r="CAH152" s="22"/>
      <c r="CAI152" s="22"/>
      <c r="CAJ152" s="22"/>
      <c r="CAK152" s="22"/>
      <c r="CAL152" s="22"/>
      <c r="CAM152" s="22"/>
      <c r="CAN152" s="22"/>
      <c r="CAO152" s="22"/>
      <c r="CAP152" s="22"/>
      <c r="CAQ152" s="22"/>
      <c r="CAR152" s="22"/>
      <c r="CAS152" s="22"/>
      <c r="CAT152" s="22"/>
      <c r="CAU152" s="22"/>
      <c r="CAV152" s="22"/>
      <c r="CAW152" s="22"/>
      <c r="CAX152" s="22"/>
      <c r="CAY152" s="22"/>
      <c r="CAZ152" s="22"/>
      <c r="CBA152" s="22"/>
      <c r="CBB152" s="22"/>
      <c r="CBC152" s="22"/>
      <c r="CBD152" s="22"/>
      <c r="CBE152" s="22"/>
      <c r="CBF152" s="22"/>
      <c r="CBG152" s="22"/>
      <c r="CBH152" s="22"/>
      <c r="CBI152" s="22"/>
      <c r="CBJ152" s="22"/>
      <c r="CBK152" s="22"/>
      <c r="CBL152" s="22"/>
      <c r="CBM152" s="22"/>
      <c r="CBN152" s="22"/>
      <c r="CBO152" s="22"/>
      <c r="CBP152" s="22"/>
      <c r="CBQ152" s="22"/>
      <c r="CBR152" s="22"/>
      <c r="CBS152" s="22"/>
      <c r="CBT152" s="22"/>
      <c r="CBU152" s="22"/>
      <c r="CBV152" s="22"/>
      <c r="CBW152" s="22"/>
      <c r="CBX152" s="22"/>
      <c r="CBY152" s="22"/>
      <c r="CBZ152" s="22"/>
      <c r="CCA152" s="22"/>
      <c r="CCB152" s="22"/>
      <c r="CCC152" s="22"/>
      <c r="CCD152" s="22"/>
      <c r="CCE152" s="22"/>
      <c r="CCF152" s="22"/>
      <c r="CCG152" s="22"/>
      <c r="CCH152" s="22"/>
      <c r="CCI152" s="22"/>
      <c r="CCJ152" s="22"/>
      <c r="CCK152" s="22"/>
      <c r="CCL152" s="22"/>
      <c r="CCM152" s="22"/>
      <c r="CCN152" s="22"/>
      <c r="CCO152" s="22"/>
      <c r="CCP152" s="22"/>
      <c r="CCQ152" s="22"/>
      <c r="CCR152" s="22"/>
      <c r="CCS152" s="22"/>
      <c r="CCT152" s="22"/>
      <c r="CCU152" s="22"/>
      <c r="CCV152" s="22"/>
      <c r="CCW152" s="22"/>
      <c r="CCX152" s="22"/>
      <c r="CCY152" s="22"/>
      <c r="CCZ152" s="22"/>
      <c r="CDA152" s="22"/>
      <c r="CDB152" s="22"/>
      <c r="CDC152" s="22"/>
      <c r="CDD152" s="22"/>
      <c r="CDE152" s="22"/>
      <c r="CDF152" s="22"/>
      <c r="CDG152" s="22"/>
      <c r="CDH152" s="22"/>
      <c r="CDI152" s="22"/>
      <c r="CDJ152" s="22"/>
      <c r="CDK152" s="22"/>
      <c r="CDL152" s="22"/>
      <c r="CDM152" s="22"/>
      <c r="CDN152" s="22"/>
      <c r="CDO152" s="22"/>
      <c r="CDP152" s="22"/>
      <c r="CDQ152" s="22"/>
      <c r="CDR152" s="22"/>
      <c r="CDS152" s="22"/>
      <c r="CDT152" s="22"/>
      <c r="CDU152" s="22"/>
      <c r="CDV152" s="22"/>
      <c r="CDW152" s="22"/>
      <c r="CDX152" s="22"/>
      <c r="CDY152" s="22"/>
      <c r="CDZ152" s="22"/>
      <c r="CEA152" s="22"/>
      <c r="CEB152" s="22"/>
      <c r="CEC152" s="22"/>
      <c r="CED152" s="22"/>
      <c r="CEE152" s="22"/>
      <c r="CEF152" s="22"/>
      <c r="CEG152" s="22"/>
      <c r="CEH152" s="22"/>
      <c r="CEI152" s="22"/>
      <c r="CEJ152" s="22"/>
      <c r="CEK152" s="22"/>
      <c r="CEL152" s="22"/>
      <c r="CEM152" s="22"/>
      <c r="CEN152" s="22"/>
      <c r="CEO152" s="22"/>
      <c r="CEP152" s="22"/>
      <c r="CEQ152" s="22"/>
      <c r="CER152" s="22"/>
      <c r="CES152" s="22"/>
      <c r="CET152" s="22"/>
      <c r="CEU152" s="22"/>
      <c r="CEV152" s="22"/>
      <c r="CEW152" s="22"/>
      <c r="CEX152" s="22"/>
      <c r="CEY152" s="22"/>
      <c r="CEZ152" s="22"/>
      <c r="CFA152" s="22"/>
      <c r="CFB152" s="22"/>
      <c r="CFC152" s="22"/>
      <c r="CFD152" s="22"/>
      <c r="CFE152" s="22"/>
      <c r="CFF152" s="22"/>
      <c r="CFG152" s="22"/>
      <c r="CFH152" s="22"/>
      <c r="CFI152" s="22"/>
      <c r="CFJ152" s="22"/>
      <c r="CFK152" s="22"/>
      <c r="CFL152" s="22"/>
      <c r="CFM152" s="22"/>
      <c r="CFN152" s="22"/>
      <c r="CFO152" s="22"/>
      <c r="CFP152" s="22"/>
      <c r="CFQ152" s="22"/>
      <c r="CFR152" s="22"/>
      <c r="CFS152" s="22"/>
      <c r="CFT152" s="22"/>
      <c r="CFU152" s="22"/>
      <c r="CFV152" s="22"/>
      <c r="CFW152" s="22"/>
      <c r="CFX152" s="22"/>
      <c r="CFY152" s="22"/>
      <c r="CFZ152" s="22"/>
      <c r="CGA152" s="22"/>
      <c r="CGB152" s="22"/>
      <c r="CGC152" s="22"/>
      <c r="CGD152" s="22"/>
      <c r="CGE152" s="22"/>
      <c r="CGF152" s="22"/>
      <c r="CGG152" s="22"/>
      <c r="CGH152" s="22"/>
      <c r="CGI152" s="22"/>
      <c r="CGJ152" s="22"/>
      <c r="CGK152" s="22"/>
      <c r="CGL152" s="22"/>
      <c r="CGM152" s="22"/>
      <c r="CGN152" s="22"/>
      <c r="CGO152" s="22"/>
      <c r="CGP152" s="22"/>
      <c r="CGQ152" s="22"/>
      <c r="CGR152" s="22"/>
      <c r="CGS152" s="22"/>
      <c r="CGT152" s="22"/>
      <c r="CGU152" s="22"/>
      <c r="CGV152" s="22"/>
      <c r="CGW152" s="22"/>
      <c r="CGX152" s="22"/>
      <c r="CGY152" s="22"/>
      <c r="CGZ152" s="22"/>
      <c r="CHA152" s="22"/>
      <c r="CHB152" s="22"/>
      <c r="CHC152" s="22"/>
      <c r="CHD152" s="22"/>
      <c r="CHE152" s="22"/>
      <c r="CHF152" s="22"/>
      <c r="CHG152" s="22"/>
      <c r="CHH152" s="22"/>
      <c r="CHI152" s="22"/>
      <c r="CHJ152" s="22"/>
      <c r="CHK152" s="22"/>
      <c r="CHL152" s="22"/>
      <c r="CHM152" s="22"/>
      <c r="CHN152" s="22"/>
      <c r="CHO152" s="22"/>
      <c r="CHP152" s="22"/>
      <c r="CHQ152" s="22"/>
      <c r="CHR152" s="22"/>
      <c r="CHS152" s="22"/>
      <c r="CHT152" s="22"/>
      <c r="CHU152" s="22"/>
      <c r="CHV152" s="22"/>
      <c r="CHW152" s="22"/>
      <c r="CHX152" s="22"/>
      <c r="CHY152" s="22"/>
      <c r="CHZ152" s="22"/>
      <c r="CIA152" s="22"/>
      <c r="CIB152" s="22"/>
      <c r="CIC152" s="22"/>
      <c r="CID152" s="22"/>
      <c r="CIE152" s="22"/>
      <c r="CIF152" s="22"/>
      <c r="CIG152" s="22"/>
      <c r="CIH152" s="22"/>
      <c r="CII152" s="22"/>
      <c r="CIJ152" s="22"/>
      <c r="CIK152" s="22"/>
      <c r="CIL152" s="22"/>
      <c r="CIM152" s="22"/>
      <c r="CIN152" s="22"/>
      <c r="CIO152" s="22"/>
      <c r="CIP152" s="22"/>
      <c r="CIQ152" s="22"/>
      <c r="CIR152" s="22"/>
      <c r="CIS152" s="22"/>
      <c r="CIT152" s="22"/>
      <c r="CIU152" s="22"/>
      <c r="CIV152" s="22"/>
      <c r="CIW152" s="22"/>
      <c r="CIX152" s="22"/>
      <c r="CIY152" s="22"/>
      <c r="CIZ152" s="22"/>
      <c r="CJA152" s="22"/>
      <c r="CJB152" s="22"/>
      <c r="CJC152" s="22"/>
      <c r="CJD152" s="22"/>
      <c r="CJE152" s="22"/>
      <c r="CJF152" s="22"/>
      <c r="CJG152" s="22"/>
      <c r="CJH152" s="22"/>
      <c r="CJI152" s="22"/>
      <c r="CJJ152" s="22"/>
      <c r="CJK152" s="22"/>
      <c r="CJL152" s="22"/>
      <c r="CJM152" s="22"/>
      <c r="CJN152" s="22"/>
      <c r="CJO152" s="22"/>
      <c r="CJP152" s="22"/>
      <c r="CJQ152" s="22"/>
      <c r="CJR152" s="22"/>
      <c r="CJS152" s="22"/>
      <c r="CJT152" s="22"/>
      <c r="CJU152" s="22"/>
      <c r="CJV152" s="22"/>
      <c r="CJW152" s="22"/>
      <c r="CJX152" s="22"/>
      <c r="CJY152" s="22"/>
      <c r="CJZ152" s="22"/>
      <c r="CKA152" s="22"/>
      <c r="CKB152" s="22"/>
      <c r="CKC152" s="22"/>
      <c r="CKD152" s="22"/>
      <c r="CKE152" s="22"/>
      <c r="CKF152" s="22"/>
      <c r="CKG152" s="22"/>
      <c r="CKH152" s="22"/>
      <c r="CKI152" s="22"/>
      <c r="CKJ152" s="22"/>
      <c r="CKK152" s="22"/>
      <c r="CKL152" s="22"/>
      <c r="CKM152" s="22"/>
      <c r="CKN152" s="22"/>
      <c r="CKO152" s="22"/>
      <c r="CKP152" s="22"/>
      <c r="CKQ152" s="22"/>
      <c r="CKR152" s="22"/>
      <c r="CKS152" s="22"/>
      <c r="CKT152" s="22"/>
      <c r="CKU152" s="22"/>
      <c r="CKV152" s="22"/>
      <c r="CKW152" s="22"/>
      <c r="CKX152" s="22"/>
      <c r="CKY152" s="22"/>
      <c r="CKZ152" s="22"/>
      <c r="CLA152" s="22"/>
      <c r="CLB152" s="22"/>
      <c r="CLC152" s="22"/>
      <c r="CLD152" s="22"/>
      <c r="CLE152" s="22"/>
      <c r="CLF152" s="22"/>
      <c r="CLG152" s="22"/>
      <c r="CLH152" s="22"/>
      <c r="CLI152" s="22"/>
      <c r="CLJ152" s="22"/>
      <c r="CLK152" s="22"/>
      <c r="CLL152" s="22"/>
      <c r="CLM152" s="22"/>
      <c r="CLN152" s="22"/>
      <c r="CLO152" s="22"/>
      <c r="CLP152" s="22"/>
      <c r="CLQ152" s="22"/>
      <c r="CLR152" s="22"/>
      <c r="CLS152" s="22"/>
      <c r="CLT152" s="22"/>
      <c r="CLU152" s="22"/>
      <c r="CLV152" s="22"/>
      <c r="CLW152" s="22"/>
      <c r="CLX152" s="22"/>
      <c r="CLY152" s="22"/>
      <c r="CLZ152" s="22"/>
      <c r="CMA152" s="22"/>
      <c r="CMB152" s="22"/>
      <c r="CMC152" s="22"/>
      <c r="CMD152" s="22"/>
      <c r="CME152" s="22"/>
      <c r="CMF152" s="22"/>
      <c r="CMG152" s="22"/>
      <c r="CMH152" s="22"/>
      <c r="CMI152" s="22"/>
      <c r="CMJ152" s="22"/>
      <c r="CMK152" s="22"/>
      <c r="CML152" s="22"/>
      <c r="CMM152" s="22"/>
      <c r="CMN152" s="22"/>
      <c r="CMO152" s="22"/>
      <c r="CMP152" s="22"/>
      <c r="CMQ152" s="22"/>
      <c r="CMR152" s="22"/>
      <c r="CMS152" s="22"/>
      <c r="CMT152" s="22"/>
      <c r="CMU152" s="22"/>
      <c r="CMV152" s="22"/>
      <c r="CMW152" s="22"/>
      <c r="CMX152" s="22"/>
      <c r="CMY152" s="22"/>
      <c r="CMZ152" s="22"/>
      <c r="CNA152" s="22"/>
      <c r="CNB152" s="22"/>
      <c r="CNC152" s="22"/>
      <c r="CND152" s="22"/>
      <c r="CNE152" s="22"/>
      <c r="CNF152" s="22"/>
      <c r="CNG152" s="22"/>
      <c r="CNH152" s="22"/>
      <c r="CNI152" s="22"/>
      <c r="CNJ152" s="22"/>
      <c r="CNK152" s="22"/>
      <c r="CNL152" s="22"/>
      <c r="CNM152" s="22"/>
      <c r="CNN152" s="22"/>
      <c r="CNO152" s="22"/>
      <c r="CNP152" s="22"/>
      <c r="CNQ152" s="22"/>
      <c r="CNR152" s="22"/>
      <c r="CNS152" s="22"/>
      <c r="CNT152" s="22"/>
      <c r="CNU152" s="22"/>
      <c r="CNV152" s="22"/>
      <c r="CNW152" s="22"/>
      <c r="CNX152" s="22"/>
      <c r="CNY152" s="22"/>
      <c r="CNZ152" s="22"/>
      <c r="COA152" s="22"/>
      <c r="COB152" s="22"/>
      <c r="COC152" s="22"/>
      <c r="COD152" s="22"/>
      <c r="COE152" s="22"/>
      <c r="COF152" s="22"/>
      <c r="COG152" s="22"/>
      <c r="COH152" s="22"/>
      <c r="COI152" s="22"/>
      <c r="COJ152" s="22"/>
      <c r="COK152" s="22"/>
      <c r="COL152" s="22"/>
      <c r="COM152" s="22"/>
      <c r="CON152" s="22"/>
      <c r="COO152" s="22"/>
      <c r="COP152" s="22"/>
      <c r="COQ152" s="22"/>
      <c r="COR152" s="22"/>
      <c r="COS152" s="22"/>
      <c r="COT152" s="22"/>
      <c r="COU152" s="22"/>
      <c r="COV152" s="22"/>
      <c r="COW152" s="22"/>
      <c r="COX152" s="22"/>
      <c r="COY152" s="22"/>
      <c r="COZ152" s="22"/>
      <c r="CPA152" s="22"/>
      <c r="CPB152" s="22"/>
      <c r="CPC152" s="22"/>
      <c r="CPD152" s="22"/>
      <c r="CPE152" s="22"/>
      <c r="CPF152" s="22"/>
      <c r="CPG152" s="22"/>
      <c r="CPH152" s="22"/>
      <c r="CPI152" s="22"/>
      <c r="CPJ152" s="22"/>
      <c r="CPK152" s="22"/>
      <c r="CPL152" s="22"/>
      <c r="CPM152" s="22"/>
      <c r="CPN152" s="22"/>
      <c r="CPO152" s="22"/>
      <c r="CPP152" s="22"/>
      <c r="CPQ152" s="22"/>
      <c r="CPR152" s="22"/>
      <c r="CPS152" s="22"/>
      <c r="CPT152" s="22"/>
      <c r="CPU152" s="22"/>
      <c r="CPV152" s="22"/>
      <c r="CPW152" s="22"/>
      <c r="CPX152" s="22"/>
      <c r="CPY152" s="22"/>
      <c r="CPZ152" s="22"/>
      <c r="CQA152" s="22"/>
      <c r="CQB152" s="22"/>
      <c r="CQC152" s="22"/>
      <c r="CQD152" s="22"/>
      <c r="CQE152" s="22"/>
      <c r="CQF152" s="22"/>
      <c r="CQG152" s="22"/>
      <c r="CQH152" s="22"/>
      <c r="CQI152" s="22"/>
      <c r="CQJ152" s="22"/>
      <c r="CQK152" s="22"/>
      <c r="CQL152" s="22"/>
      <c r="CQM152" s="22"/>
      <c r="CQN152" s="22"/>
      <c r="CQO152" s="22"/>
      <c r="CQP152" s="22"/>
      <c r="CQQ152" s="22"/>
      <c r="CQR152" s="22"/>
      <c r="CQS152" s="22"/>
      <c r="CQT152" s="22"/>
      <c r="CQU152" s="22"/>
      <c r="CQV152" s="22"/>
      <c r="CQW152" s="22"/>
      <c r="CQX152" s="22"/>
      <c r="CQY152" s="22"/>
      <c r="CQZ152" s="22"/>
      <c r="CRA152" s="22"/>
      <c r="CRB152" s="22"/>
      <c r="CRC152" s="22"/>
      <c r="CRD152" s="22"/>
      <c r="CRE152" s="22"/>
      <c r="CRF152" s="22"/>
      <c r="CRG152" s="22"/>
      <c r="CRH152" s="22"/>
      <c r="CRI152" s="22"/>
      <c r="CRJ152" s="22"/>
      <c r="CRK152" s="22"/>
      <c r="CRL152" s="22"/>
      <c r="CRM152" s="22"/>
      <c r="CRN152" s="22"/>
      <c r="CRO152" s="22"/>
      <c r="CRP152" s="22"/>
      <c r="CRQ152" s="22"/>
      <c r="CRR152" s="22"/>
      <c r="CRS152" s="22"/>
      <c r="CRT152" s="22"/>
      <c r="CRU152" s="22"/>
      <c r="CRV152" s="22"/>
      <c r="CRW152" s="22"/>
      <c r="CRX152" s="22"/>
      <c r="CRY152" s="22"/>
      <c r="CRZ152" s="22"/>
      <c r="CSA152" s="22"/>
      <c r="CSB152" s="22"/>
      <c r="CSC152" s="22"/>
      <c r="CSD152" s="22"/>
      <c r="CSE152" s="22"/>
      <c r="CSF152" s="22"/>
      <c r="CSG152" s="22"/>
      <c r="CSH152" s="22"/>
      <c r="CSI152" s="22"/>
      <c r="CSJ152" s="22"/>
      <c r="CSK152" s="22"/>
      <c r="CSL152" s="22"/>
      <c r="CSM152" s="22"/>
      <c r="CSN152" s="22"/>
      <c r="CSO152" s="22"/>
      <c r="CSP152" s="22"/>
      <c r="CSQ152" s="22"/>
      <c r="CSR152" s="22"/>
      <c r="CSS152" s="22"/>
      <c r="CST152" s="22"/>
      <c r="CSU152" s="22"/>
      <c r="CSV152" s="22"/>
      <c r="CSW152" s="22"/>
      <c r="CSX152" s="22"/>
      <c r="CSY152" s="22"/>
      <c r="CSZ152" s="22"/>
      <c r="CTA152" s="22"/>
      <c r="CTB152" s="22"/>
      <c r="CTC152" s="22"/>
      <c r="CTD152" s="22"/>
      <c r="CTE152" s="22"/>
      <c r="CTF152" s="22"/>
      <c r="CTG152" s="22"/>
      <c r="CTH152" s="22"/>
      <c r="CTI152" s="22"/>
      <c r="CTJ152" s="22"/>
      <c r="CTK152" s="22"/>
      <c r="CTL152" s="22"/>
      <c r="CTM152" s="22"/>
      <c r="CTN152" s="22"/>
      <c r="CTO152" s="22"/>
      <c r="CTP152" s="22"/>
      <c r="CTQ152" s="22"/>
      <c r="CTR152" s="22"/>
      <c r="CTS152" s="22"/>
      <c r="CTT152" s="22"/>
      <c r="CTU152" s="22"/>
      <c r="CTV152" s="22"/>
      <c r="CTW152" s="22"/>
      <c r="CTX152" s="22"/>
      <c r="CTY152" s="22"/>
      <c r="CTZ152" s="22"/>
      <c r="CUA152" s="22"/>
      <c r="CUB152" s="22"/>
      <c r="CUC152" s="22"/>
      <c r="CUD152" s="22"/>
      <c r="CUE152" s="22"/>
      <c r="CUF152" s="22"/>
      <c r="CUG152" s="22"/>
      <c r="CUH152" s="22"/>
      <c r="CUI152" s="22"/>
      <c r="CUJ152" s="22"/>
      <c r="CUK152" s="22"/>
      <c r="CUL152" s="22"/>
      <c r="CUM152" s="22"/>
      <c r="CUN152" s="22"/>
      <c r="CUO152" s="22"/>
      <c r="CUP152" s="22"/>
      <c r="CUQ152" s="22"/>
      <c r="CUR152" s="22"/>
      <c r="CUS152" s="22"/>
      <c r="CUT152" s="22"/>
      <c r="CUU152" s="22"/>
      <c r="CUV152" s="22"/>
      <c r="CUW152" s="22"/>
      <c r="CUX152" s="22"/>
      <c r="CUY152" s="22"/>
      <c r="CUZ152" s="22"/>
      <c r="CVA152" s="22"/>
      <c r="CVB152" s="22"/>
      <c r="CVC152" s="22"/>
      <c r="CVD152" s="22"/>
      <c r="CVE152" s="22"/>
      <c r="CVF152" s="22"/>
      <c r="CVG152" s="22"/>
      <c r="CVH152" s="22"/>
      <c r="CVI152" s="22"/>
      <c r="CVJ152" s="22"/>
      <c r="CVK152" s="22"/>
      <c r="CVL152" s="22"/>
      <c r="CVM152" s="22"/>
      <c r="CVN152" s="22"/>
      <c r="CVO152" s="22"/>
      <c r="CVP152" s="22"/>
      <c r="CVQ152" s="22"/>
      <c r="CVR152" s="22"/>
      <c r="CVS152" s="22"/>
      <c r="CVT152" s="22"/>
      <c r="CVU152" s="22"/>
      <c r="CVV152" s="22"/>
      <c r="CVW152" s="22"/>
      <c r="CVX152" s="22"/>
      <c r="CVY152" s="22"/>
      <c r="CVZ152" s="22"/>
      <c r="CWA152" s="22"/>
      <c r="CWB152" s="22"/>
      <c r="CWC152" s="22"/>
      <c r="CWD152" s="22"/>
      <c r="CWE152" s="22"/>
      <c r="CWF152" s="22"/>
      <c r="CWG152" s="22"/>
      <c r="CWH152" s="22"/>
      <c r="CWI152" s="22"/>
      <c r="CWJ152" s="22"/>
      <c r="CWK152" s="22"/>
      <c r="CWL152" s="22"/>
      <c r="CWM152" s="22"/>
      <c r="CWN152" s="22"/>
      <c r="CWO152" s="22"/>
      <c r="CWP152" s="22"/>
      <c r="CWQ152" s="22"/>
      <c r="CWR152" s="22"/>
      <c r="CWS152" s="22"/>
      <c r="CWT152" s="22"/>
      <c r="CWU152" s="22"/>
      <c r="CWV152" s="22"/>
      <c r="CWW152" s="22"/>
      <c r="CWX152" s="22"/>
      <c r="CWY152" s="22"/>
      <c r="CWZ152" s="22"/>
      <c r="CXA152" s="22"/>
      <c r="CXB152" s="22"/>
      <c r="CXC152" s="22"/>
      <c r="CXD152" s="22"/>
      <c r="CXE152" s="22"/>
      <c r="CXF152" s="22"/>
      <c r="CXG152" s="22"/>
      <c r="CXH152" s="22"/>
      <c r="CXI152" s="22"/>
      <c r="CXJ152" s="22"/>
      <c r="CXK152" s="22"/>
      <c r="CXL152" s="22"/>
      <c r="CXM152" s="22"/>
      <c r="CXN152" s="22"/>
      <c r="CXO152" s="22"/>
      <c r="CXP152" s="22"/>
      <c r="CXQ152" s="22"/>
      <c r="CXR152" s="22"/>
      <c r="CXS152" s="22"/>
      <c r="CXT152" s="22"/>
      <c r="CXU152" s="22"/>
      <c r="CXV152" s="22"/>
      <c r="CXW152" s="22"/>
      <c r="CXX152" s="22"/>
      <c r="CXY152" s="22"/>
      <c r="CXZ152" s="22"/>
      <c r="CYA152" s="22"/>
      <c r="CYB152" s="22"/>
      <c r="CYC152" s="22"/>
      <c r="CYD152" s="22"/>
      <c r="CYE152" s="22"/>
      <c r="CYF152" s="22"/>
      <c r="CYG152" s="22"/>
      <c r="CYH152" s="22"/>
      <c r="CYI152" s="22"/>
      <c r="CYJ152" s="22"/>
      <c r="CYK152" s="22"/>
      <c r="CYL152" s="22"/>
      <c r="CYM152" s="22"/>
      <c r="CYN152" s="22"/>
      <c r="CYO152" s="22"/>
      <c r="CYP152" s="22"/>
      <c r="CYQ152" s="22"/>
      <c r="CYR152" s="22"/>
      <c r="CYS152" s="22"/>
      <c r="CYT152" s="22"/>
      <c r="CYU152" s="22"/>
      <c r="CYV152" s="22"/>
      <c r="CYW152" s="22"/>
      <c r="CYX152" s="22"/>
      <c r="CYY152" s="22"/>
      <c r="CYZ152" s="22"/>
      <c r="CZA152" s="22"/>
      <c r="CZB152" s="22"/>
      <c r="CZC152" s="22"/>
      <c r="CZD152" s="22"/>
      <c r="CZE152" s="22"/>
      <c r="CZF152" s="22"/>
      <c r="CZG152" s="22"/>
      <c r="CZH152" s="22"/>
      <c r="CZI152" s="22"/>
      <c r="CZJ152" s="22"/>
      <c r="CZK152" s="22"/>
      <c r="CZL152" s="22"/>
      <c r="CZM152" s="22"/>
      <c r="CZN152" s="22"/>
      <c r="CZO152" s="22"/>
      <c r="CZP152" s="22"/>
      <c r="CZQ152" s="22"/>
      <c r="CZR152" s="22"/>
      <c r="CZS152" s="22"/>
      <c r="CZT152" s="22"/>
      <c r="CZU152" s="22"/>
      <c r="CZV152" s="22"/>
      <c r="CZW152" s="22"/>
      <c r="CZX152" s="22"/>
      <c r="CZY152" s="22"/>
      <c r="CZZ152" s="22"/>
      <c r="DAA152" s="22"/>
      <c r="DAB152" s="22"/>
      <c r="DAC152" s="22"/>
      <c r="DAD152" s="22"/>
      <c r="DAE152" s="22"/>
      <c r="DAF152" s="22"/>
      <c r="DAG152" s="22"/>
      <c r="DAH152" s="22"/>
      <c r="DAI152" s="22"/>
      <c r="DAJ152" s="22"/>
      <c r="DAK152" s="22"/>
      <c r="DAL152" s="22"/>
      <c r="DAM152" s="22"/>
      <c r="DAN152" s="22"/>
      <c r="DAO152" s="22"/>
      <c r="DAP152" s="22"/>
      <c r="DAQ152" s="22"/>
      <c r="DAR152" s="22"/>
      <c r="DAS152" s="22"/>
      <c r="DAT152" s="22"/>
      <c r="DAU152" s="22"/>
      <c r="DAV152" s="22"/>
      <c r="DAW152" s="22"/>
      <c r="DAX152" s="22"/>
      <c r="DAY152" s="22"/>
      <c r="DAZ152" s="22"/>
      <c r="DBA152" s="22"/>
      <c r="DBB152" s="22"/>
      <c r="DBC152" s="22"/>
      <c r="DBD152" s="22"/>
      <c r="DBE152" s="22"/>
      <c r="DBF152" s="22"/>
      <c r="DBG152" s="22"/>
      <c r="DBH152" s="22"/>
      <c r="DBI152" s="22"/>
      <c r="DBJ152" s="22"/>
      <c r="DBK152" s="22"/>
      <c r="DBL152" s="22"/>
      <c r="DBM152" s="22"/>
      <c r="DBN152" s="22"/>
      <c r="DBO152" s="22"/>
      <c r="DBP152" s="22"/>
      <c r="DBQ152" s="22"/>
      <c r="DBR152" s="22"/>
      <c r="DBS152" s="22"/>
      <c r="DBT152" s="22"/>
      <c r="DBU152" s="22"/>
      <c r="DBV152" s="22"/>
      <c r="DBW152" s="22"/>
      <c r="DBX152" s="22"/>
      <c r="DBY152" s="22"/>
      <c r="DBZ152" s="22"/>
      <c r="DCA152" s="22"/>
      <c r="DCB152" s="22"/>
      <c r="DCC152" s="22"/>
      <c r="DCD152" s="22"/>
      <c r="DCE152" s="22"/>
      <c r="DCF152" s="22"/>
      <c r="DCG152" s="22"/>
      <c r="DCH152" s="22"/>
      <c r="DCI152" s="22"/>
      <c r="DCJ152" s="22"/>
      <c r="DCK152" s="22"/>
      <c r="DCL152" s="22"/>
      <c r="DCM152" s="22"/>
      <c r="DCN152" s="22"/>
      <c r="DCO152" s="22"/>
      <c r="DCP152" s="22"/>
      <c r="DCQ152" s="22"/>
      <c r="DCR152" s="22"/>
      <c r="DCS152" s="22"/>
      <c r="DCT152" s="22"/>
      <c r="DCU152" s="22"/>
      <c r="DCV152" s="22"/>
      <c r="DCW152" s="22"/>
      <c r="DCX152" s="22"/>
      <c r="DCY152" s="22"/>
      <c r="DCZ152" s="22"/>
      <c r="DDA152" s="22"/>
      <c r="DDB152" s="22"/>
      <c r="DDC152" s="22"/>
      <c r="DDD152" s="22"/>
      <c r="DDE152" s="22"/>
      <c r="DDF152" s="22"/>
      <c r="DDG152" s="22"/>
      <c r="DDH152" s="22"/>
      <c r="DDI152" s="22"/>
      <c r="DDJ152" s="22"/>
      <c r="DDK152" s="22"/>
      <c r="DDL152" s="22"/>
      <c r="DDM152" s="22"/>
      <c r="DDN152" s="22"/>
      <c r="DDO152" s="22"/>
      <c r="DDP152" s="22"/>
      <c r="DDQ152" s="22"/>
      <c r="DDR152" s="22"/>
      <c r="DDS152" s="22"/>
      <c r="DDT152" s="22"/>
      <c r="DDU152" s="22"/>
      <c r="DDV152" s="22"/>
      <c r="DDW152" s="22"/>
      <c r="DDX152" s="22"/>
      <c r="DDY152" s="22"/>
      <c r="DDZ152" s="22"/>
      <c r="DEA152" s="22"/>
      <c r="DEB152" s="22"/>
      <c r="DEC152" s="22"/>
      <c r="DED152" s="22"/>
      <c r="DEE152" s="22"/>
      <c r="DEF152" s="22"/>
      <c r="DEG152" s="22"/>
      <c r="DEH152" s="22"/>
      <c r="DEI152" s="22"/>
      <c r="DEJ152" s="22"/>
      <c r="DEK152" s="22"/>
      <c r="DEL152" s="22"/>
      <c r="DEM152" s="22"/>
      <c r="DEN152" s="22"/>
      <c r="DEO152" s="22"/>
      <c r="DEP152" s="22"/>
      <c r="DEQ152" s="22"/>
      <c r="DER152" s="22"/>
      <c r="DES152" s="22"/>
      <c r="DET152" s="22"/>
      <c r="DEU152" s="22"/>
      <c r="DEV152" s="22"/>
      <c r="DEW152" s="22"/>
      <c r="DEX152" s="22"/>
      <c r="DEY152" s="22"/>
      <c r="DEZ152" s="22"/>
      <c r="DFA152" s="22"/>
      <c r="DFB152" s="22"/>
      <c r="DFC152" s="22"/>
      <c r="DFD152" s="22"/>
      <c r="DFE152" s="22"/>
      <c r="DFF152" s="22"/>
      <c r="DFG152" s="22"/>
      <c r="DFH152" s="22"/>
      <c r="DFI152" s="22"/>
      <c r="DFJ152" s="22"/>
      <c r="DFK152" s="22"/>
      <c r="DFL152" s="22"/>
      <c r="DFM152" s="22"/>
      <c r="DFN152" s="22"/>
      <c r="DFO152" s="22"/>
      <c r="DFP152" s="22"/>
      <c r="DFQ152" s="22"/>
      <c r="DFR152" s="22"/>
      <c r="DFS152" s="22"/>
      <c r="DFT152" s="22"/>
      <c r="DFU152" s="22"/>
      <c r="DFV152" s="22"/>
      <c r="DFW152" s="22"/>
      <c r="DFX152" s="22"/>
      <c r="DFY152" s="22"/>
      <c r="DFZ152" s="22"/>
      <c r="DGA152" s="22"/>
      <c r="DGB152" s="22"/>
      <c r="DGC152" s="22"/>
      <c r="DGD152" s="22"/>
      <c r="DGE152" s="22"/>
      <c r="DGF152" s="22"/>
      <c r="DGG152" s="22"/>
      <c r="DGH152" s="22"/>
      <c r="DGI152" s="22"/>
      <c r="DGJ152" s="22"/>
      <c r="DGK152" s="22"/>
      <c r="DGL152" s="22"/>
      <c r="DGM152" s="22"/>
      <c r="DGN152" s="22"/>
      <c r="DGO152" s="22"/>
      <c r="DGP152" s="22"/>
      <c r="DGQ152" s="22"/>
      <c r="DGR152" s="22"/>
      <c r="DGS152" s="22"/>
      <c r="DGT152" s="22"/>
      <c r="DGU152" s="22"/>
      <c r="DGV152" s="22"/>
      <c r="DGW152" s="22"/>
      <c r="DGX152" s="22"/>
      <c r="DGY152" s="22"/>
      <c r="DGZ152" s="22"/>
      <c r="DHA152" s="22"/>
      <c r="DHB152" s="22"/>
      <c r="DHC152" s="22"/>
      <c r="DHD152" s="22"/>
      <c r="DHE152" s="22"/>
      <c r="DHF152" s="22"/>
      <c r="DHG152" s="22"/>
      <c r="DHH152" s="22"/>
      <c r="DHI152" s="22"/>
      <c r="DHJ152" s="22"/>
      <c r="DHK152" s="22"/>
      <c r="DHL152" s="22"/>
      <c r="DHM152" s="22"/>
      <c r="DHN152" s="22"/>
      <c r="DHO152" s="22"/>
      <c r="DHP152" s="22"/>
      <c r="DHQ152" s="22"/>
      <c r="DHR152" s="22"/>
      <c r="DHS152" s="22"/>
      <c r="DHT152" s="22"/>
      <c r="DHU152" s="22"/>
      <c r="DHV152" s="22"/>
      <c r="DHW152" s="22"/>
      <c r="DHX152" s="22"/>
      <c r="DHY152" s="22"/>
      <c r="DHZ152" s="22"/>
      <c r="DIA152" s="22"/>
      <c r="DIB152" s="22"/>
      <c r="DIC152" s="22"/>
      <c r="DID152" s="22"/>
      <c r="DIE152" s="22"/>
      <c r="DIF152" s="22"/>
      <c r="DIG152" s="22"/>
      <c r="DIH152" s="22"/>
      <c r="DII152" s="22"/>
      <c r="DIJ152" s="22"/>
      <c r="DIK152" s="22"/>
      <c r="DIL152" s="22"/>
      <c r="DIM152" s="22"/>
      <c r="DIN152" s="22"/>
      <c r="DIO152" s="22"/>
      <c r="DIP152" s="22"/>
      <c r="DIQ152" s="22"/>
      <c r="DIR152" s="22"/>
      <c r="DIS152" s="22"/>
      <c r="DIT152" s="22"/>
      <c r="DIU152" s="22"/>
      <c r="DIV152" s="22"/>
      <c r="DIW152" s="22"/>
      <c r="DIX152" s="22"/>
      <c r="DIY152" s="22"/>
      <c r="DIZ152" s="22"/>
      <c r="DJA152" s="22"/>
      <c r="DJB152" s="22"/>
      <c r="DJC152" s="22"/>
      <c r="DJD152" s="22"/>
      <c r="DJE152" s="22"/>
      <c r="DJF152" s="22"/>
      <c r="DJG152" s="22"/>
      <c r="DJH152" s="22"/>
      <c r="DJI152" s="22"/>
      <c r="DJJ152" s="22"/>
      <c r="DJK152" s="22"/>
      <c r="DJL152" s="22"/>
      <c r="DJM152" s="22"/>
      <c r="DJN152" s="22"/>
      <c r="DJO152" s="22"/>
      <c r="DJP152" s="22"/>
      <c r="DJQ152" s="22"/>
      <c r="DJR152" s="22"/>
      <c r="DJS152" s="22"/>
      <c r="DJT152" s="22"/>
      <c r="DJU152" s="22"/>
      <c r="DJV152" s="22"/>
      <c r="DJW152" s="22"/>
      <c r="DJX152" s="22"/>
      <c r="DJY152" s="22"/>
      <c r="DJZ152" s="22"/>
      <c r="DKA152" s="22"/>
      <c r="DKB152" s="22"/>
      <c r="DKC152" s="22"/>
      <c r="DKD152" s="22"/>
      <c r="DKE152" s="22"/>
      <c r="DKF152" s="22"/>
      <c r="DKG152" s="22"/>
      <c r="DKH152" s="22"/>
      <c r="DKI152" s="22"/>
      <c r="DKJ152" s="22"/>
      <c r="DKK152" s="22"/>
      <c r="DKL152" s="22"/>
      <c r="DKM152" s="22"/>
      <c r="DKN152" s="22"/>
      <c r="DKO152" s="22"/>
      <c r="DKP152" s="22"/>
      <c r="DKQ152" s="22"/>
      <c r="DKR152" s="22"/>
      <c r="DKS152" s="22"/>
      <c r="DKT152" s="22"/>
      <c r="DKU152" s="22"/>
      <c r="DKV152" s="22"/>
      <c r="DKW152" s="22"/>
      <c r="DKX152" s="22"/>
      <c r="DKY152" s="22"/>
      <c r="DKZ152" s="22"/>
      <c r="DLA152" s="22"/>
      <c r="DLB152" s="22"/>
      <c r="DLC152" s="22"/>
      <c r="DLD152" s="22"/>
      <c r="DLE152" s="22"/>
      <c r="DLF152" s="22"/>
      <c r="DLG152" s="22"/>
      <c r="DLH152" s="22"/>
      <c r="DLI152" s="22"/>
      <c r="DLJ152" s="22"/>
      <c r="DLK152" s="22"/>
      <c r="DLL152" s="22"/>
      <c r="DLM152" s="22"/>
      <c r="DLN152" s="22"/>
      <c r="DLO152" s="22"/>
      <c r="DLP152" s="22"/>
      <c r="DLQ152" s="22"/>
      <c r="DLR152" s="22"/>
      <c r="DLS152" s="22"/>
      <c r="DLT152" s="22"/>
      <c r="DLU152" s="22"/>
      <c r="DLV152" s="22"/>
      <c r="DLW152" s="22"/>
      <c r="DLX152" s="22"/>
      <c r="DLY152" s="22"/>
      <c r="DLZ152" s="22"/>
      <c r="DMA152" s="22"/>
      <c r="DMB152" s="22"/>
      <c r="DMC152" s="22"/>
      <c r="DMD152" s="22"/>
      <c r="DME152" s="22"/>
      <c r="DMF152" s="22"/>
      <c r="DMG152" s="22"/>
      <c r="DMH152" s="22"/>
      <c r="DMI152" s="22"/>
      <c r="DMJ152" s="22"/>
      <c r="DMK152" s="22"/>
      <c r="DML152" s="22"/>
      <c r="DMM152" s="22"/>
      <c r="DMN152" s="22"/>
      <c r="DMO152" s="22"/>
      <c r="DMP152" s="22"/>
      <c r="DMQ152" s="22"/>
      <c r="DMR152" s="22"/>
      <c r="DMS152" s="22"/>
      <c r="DMT152" s="22"/>
      <c r="DMU152" s="22"/>
      <c r="DMV152" s="22"/>
      <c r="DMW152" s="22"/>
      <c r="DMX152" s="22"/>
      <c r="DMY152" s="22"/>
      <c r="DMZ152" s="22"/>
      <c r="DNA152" s="22"/>
      <c r="DNB152" s="22"/>
      <c r="DNC152" s="22"/>
      <c r="DND152" s="22"/>
      <c r="DNE152" s="22"/>
      <c r="DNF152" s="22"/>
      <c r="DNG152" s="22"/>
      <c r="DNH152" s="22"/>
      <c r="DNI152" s="22"/>
      <c r="DNJ152" s="22"/>
      <c r="DNK152" s="22"/>
      <c r="DNL152" s="22"/>
      <c r="DNM152" s="22"/>
      <c r="DNN152" s="22"/>
      <c r="DNO152" s="22"/>
      <c r="DNP152" s="22"/>
      <c r="DNQ152" s="22"/>
      <c r="DNR152" s="22"/>
      <c r="DNS152" s="22"/>
      <c r="DNT152" s="22"/>
      <c r="DNU152" s="22"/>
      <c r="DNV152" s="22"/>
      <c r="DNW152" s="22"/>
      <c r="DNX152" s="22"/>
      <c r="DNY152" s="22"/>
      <c r="DNZ152" s="22"/>
      <c r="DOA152" s="22"/>
      <c r="DOB152" s="22"/>
      <c r="DOC152" s="22"/>
      <c r="DOD152" s="22"/>
      <c r="DOE152" s="22"/>
      <c r="DOF152" s="22"/>
      <c r="DOG152" s="22"/>
      <c r="DOH152" s="22"/>
      <c r="DOI152" s="22"/>
      <c r="DOJ152" s="22"/>
      <c r="DOK152" s="22"/>
      <c r="DOL152" s="22"/>
      <c r="DOM152" s="22"/>
      <c r="DON152" s="22"/>
      <c r="DOO152" s="22"/>
      <c r="DOP152" s="22"/>
      <c r="DOQ152" s="22"/>
      <c r="DOR152" s="22"/>
      <c r="DOS152" s="22"/>
      <c r="DOT152" s="22"/>
      <c r="DOU152" s="22"/>
      <c r="DOV152" s="22"/>
      <c r="DOW152" s="22"/>
      <c r="DOX152" s="22"/>
      <c r="DOY152" s="22"/>
      <c r="DOZ152" s="22"/>
      <c r="DPA152" s="22"/>
      <c r="DPB152" s="22"/>
      <c r="DPC152" s="22"/>
      <c r="DPD152" s="22"/>
      <c r="DPE152" s="22"/>
      <c r="DPF152" s="22"/>
      <c r="DPG152" s="22"/>
      <c r="DPH152" s="22"/>
      <c r="DPI152" s="22"/>
      <c r="DPJ152" s="22"/>
      <c r="DPK152" s="22"/>
      <c r="DPL152" s="22"/>
      <c r="DPM152" s="22"/>
      <c r="DPN152" s="22"/>
      <c r="DPO152" s="22"/>
      <c r="DPP152" s="22"/>
      <c r="DPQ152" s="22"/>
      <c r="DPR152" s="22"/>
      <c r="DPS152" s="22"/>
      <c r="DPT152" s="22"/>
      <c r="DPU152" s="22"/>
      <c r="DPV152" s="22"/>
      <c r="DPW152" s="22"/>
      <c r="DPX152" s="22"/>
      <c r="DPY152" s="22"/>
      <c r="DPZ152" s="22"/>
      <c r="DQA152" s="22"/>
      <c r="DQB152" s="22"/>
      <c r="DQC152" s="22"/>
      <c r="DQD152" s="22"/>
      <c r="DQE152" s="22"/>
      <c r="DQF152" s="22"/>
      <c r="DQG152" s="22"/>
      <c r="DQH152" s="22"/>
      <c r="DQI152" s="22"/>
      <c r="DQJ152" s="22"/>
      <c r="DQK152" s="22"/>
      <c r="DQL152" s="22"/>
      <c r="DQM152" s="22"/>
      <c r="DQN152" s="22"/>
      <c r="DQO152" s="22"/>
      <c r="DQP152" s="22"/>
      <c r="DQQ152" s="22"/>
      <c r="DQR152" s="22"/>
      <c r="DQS152" s="22"/>
      <c r="DQT152" s="22"/>
      <c r="DQU152" s="22"/>
      <c r="DQV152" s="22"/>
      <c r="DQW152" s="22"/>
      <c r="DQX152" s="22"/>
      <c r="DQY152" s="22"/>
      <c r="DQZ152" s="22"/>
      <c r="DRA152" s="22"/>
      <c r="DRB152" s="22"/>
      <c r="DRC152" s="22"/>
      <c r="DRD152" s="22"/>
      <c r="DRE152" s="22"/>
      <c r="DRF152" s="22"/>
      <c r="DRG152" s="22"/>
      <c r="DRH152" s="22"/>
      <c r="DRI152" s="22"/>
      <c r="DRJ152" s="22"/>
      <c r="DRK152" s="22"/>
      <c r="DRL152" s="22"/>
      <c r="DRM152" s="22"/>
      <c r="DRN152" s="22"/>
      <c r="DRO152" s="22"/>
      <c r="DRP152" s="22"/>
      <c r="DRQ152" s="22"/>
      <c r="DRR152" s="22"/>
      <c r="DRS152" s="22"/>
      <c r="DRT152" s="22"/>
      <c r="DRU152" s="22"/>
      <c r="DRV152" s="22"/>
      <c r="DRW152" s="22"/>
      <c r="DRX152" s="22"/>
      <c r="DRY152" s="22"/>
      <c r="DRZ152" s="22"/>
      <c r="DSA152" s="22"/>
      <c r="DSB152" s="22"/>
      <c r="DSC152" s="22"/>
      <c r="DSD152" s="22"/>
      <c r="DSE152" s="22"/>
      <c r="DSF152" s="22"/>
      <c r="DSG152" s="22"/>
      <c r="DSH152" s="22"/>
      <c r="DSI152" s="22"/>
      <c r="DSJ152" s="22"/>
      <c r="DSK152" s="22"/>
      <c r="DSL152" s="22"/>
      <c r="DSM152" s="22"/>
      <c r="DSN152" s="22"/>
      <c r="DSO152" s="22"/>
      <c r="DSP152" s="22"/>
      <c r="DSQ152" s="22"/>
      <c r="DSR152" s="22"/>
      <c r="DSS152" s="22"/>
      <c r="DST152" s="22"/>
      <c r="DSU152" s="22"/>
      <c r="DSV152" s="22"/>
      <c r="DSW152" s="22"/>
      <c r="DSX152" s="22"/>
      <c r="DSY152" s="22"/>
      <c r="DSZ152" s="22"/>
      <c r="DTA152" s="22"/>
      <c r="DTB152" s="22"/>
      <c r="DTC152" s="22"/>
      <c r="DTD152" s="22"/>
      <c r="DTE152" s="22"/>
      <c r="DTF152" s="22"/>
      <c r="DTG152" s="22"/>
      <c r="DTH152" s="22"/>
      <c r="DTI152" s="22"/>
      <c r="DTJ152" s="22"/>
      <c r="DTK152" s="22"/>
      <c r="DTL152" s="22"/>
      <c r="DTM152" s="22"/>
      <c r="DTN152" s="22"/>
      <c r="DTO152" s="22"/>
      <c r="DTP152" s="22"/>
      <c r="DTQ152" s="22"/>
      <c r="DTR152" s="22"/>
      <c r="DTS152" s="22"/>
      <c r="DTT152" s="22"/>
      <c r="DTU152" s="22"/>
      <c r="DTV152" s="22"/>
      <c r="DTW152" s="22"/>
      <c r="DTX152" s="22"/>
      <c r="DTY152" s="22"/>
      <c r="DTZ152" s="22"/>
      <c r="DUA152" s="22"/>
      <c r="DUB152" s="22"/>
      <c r="DUC152" s="22"/>
      <c r="DUD152" s="22"/>
      <c r="DUE152" s="22"/>
      <c r="DUF152" s="22"/>
      <c r="DUG152" s="22"/>
      <c r="DUH152" s="22"/>
      <c r="DUI152" s="22"/>
      <c r="DUJ152" s="22"/>
      <c r="DUK152" s="22"/>
      <c r="DUL152" s="22"/>
      <c r="DUM152" s="22"/>
      <c r="DUN152" s="22"/>
      <c r="DUO152" s="22"/>
      <c r="DUP152" s="22"/>
      <c r="DUQ152" s="22"/>
      <c r="DUR152" s="22"/>
      <c r="DUS152" s="22"/>
      <c r="DUT152" s="22"/>
      <c r="DUU152" s="22"/>
      <c r="DUV152" s="22"/>
      <c r="DUW152" s="22"/>
      <c r="DUX152" s="22"/>
      <c r="DUY152" s="22"/>
      <c r="DUZ152" s="22"/>
      <c r="DVA152" s="22"/>
      <c r="DVB152" s="22"/>
      <c r="DVC152" s="22"/>
      <c r="DVD152" s="22"/>
      <c r="DVE152" s="22"/>
      <c r="DVF152" s="22"/>
      <c r="DVG152" s="22"/>
      <c r="DVH152" s="22"/>
      <c r="DVI152" s="22"/>
      <c r="DVJ152" s="22"/>
      <c r="DVK152" s="22"/>
      <c r="DVL152" s="22"/>
      <c r="DVM152" s="22"/>
      <c r="DVN152" s="22"/>
      <c r="DVO152" s="22"/>
      <c r="DVP152" s="22"/>
      <c r="DVQ152" s="22"/>
      <c r="DVR152" s="22"/>
      <c r="DVS152" s="22"/>
      <c r="DVT152" s="22"/>
      <c r="DVU152" s="22"/>
      <c r="DVV152" s="22"/>
      <c r="DVW152" s="22"/>
      <c r="DVX152" s="22"/>
      <c r="DVY152" s="22"/>
      <c r="DVZ152" s="22"/>
      <c r="DWA152" s="22"/>
      <c r="DWB152" s="22"/>
      <c r="DWC152" s="22"/>
      <c r="DWD152" s="22"/>
      <c r="DWE152" s="22"/>
      <c r="DWF152" s="22"/>
      <c r="DWG152" s="22"/>
      <c r="DWH152" s="22"/>
      <c r="DWI152" s="22"/>
      <c r="DWJ152" s="22"/>
      <c r="DWK152" s="22"/>
      <c r="DWL152" s="22"/>
      <c r="DWM152" s="22"/>
      <c r="DWN152" s="22"/>
      <c r="DWO152" s="22"/>
      <c r="DWP152" s="22"/>
      <c r="DWQ152" s="22"/>
      <c r="DWR152" s="22"/>
      <c r="DWS152" s="22"/>
      <c r="DWT152" s="22"/>
      <c r="DWU152" s="22"/>
      <c r="DWV152" s="22"/>
      <c r="DWW152" s="22"/>
      <c r="DWX152" s="22"/>
      <c r="DWY152" s="22"/>
      <c r="DWZ152" s="22"/>
      <c r="DXA152" s="22"/>
      <c r="DXB152" s="22"/>
      <c r="DXC152" s="22"/>
      <c r="DXD152" s="22"/>
      <c r="DXE152" s="22"/>
      <c r="DXF152" s="22"/>
      <c r="DXG152" s="22"/>
      <c r="DXH152" s="22"/>
      <c r="DXI152" s="22"/>
      <c r="DXJ152" s="22"/>
      <c r="DXK152" s="22"/>
      <c r="DXL152" s="22"/>
      <c r="DXM152" s="22"/>
      <c r="DXN152" s="22"/>
      <c r="DXO152" s="22"/>
      <c r="DXP152" s="22"/>
      <c r="DXQ152" s="22"/>
      <c r="DXR152" s="22"/>
      <c r="DXS152" s="22"/>
      <c r="DXT152" s="22"/>
      <c r="DXU152" s="22"/>
      <c r="DXV152" s="22"/>
      <c r="DXW152" s="22"/>
      <c r="DXX152" s="22"/>
      <c r="DXY152" s="22"/>
      <c r="DXZ152" s="22"/>
      <c r="DYA152" s="22"/>
      <c r="DYB152" s="22"/>
      <c r="DYC152" s="22"/>
      <c r="DYD152" s="22"/>
      <c r="DYE152" s="22"/>
      <c r="DYF152" s="22"/>
      <c r="DYG152" s="22"/>
      <c r="DYH152" s="22"/>
      <c r="DYI152" s="22"/>
      <c r="DYJ152" s="22"/>
      <c r="DYK152" s="22"/>
      <c r="DYL152" s="22"/>
      <c r="DYM152" s="22"/>
      <c r="DYN152" s="22"/>
      <c r="DYO152" s="22"/>
      <c r="DYP152" s="22"/>
      <c r="DYQ152" s="22"/>
      <c r="DYR152" s="22"/>
      <c r="DYS152" s="22"/>
      <c r="DYT152" s="22"/>
      <c r="DYU152" s="22"/>
      <c r="DYV152" s="22"/>
      <c r="DYW152" s="22"/>
      <c r="DYX152" s="22"/>
      <c r="DYY152" s="22"/>
      <c r="DYZ152" s="22"/>
      <c r="DZA152" s="22"/>
      <c r="DZB152" s="22"/>
      <c r="DZC152" s="22"/>
      <c r="DZD152" s="22"/>
      <c r="DZE152" s="22"/>
      <c r="DZF152" s="22"/>
      <c r="DZG152" s="22"/>
      <c r="DZH152" s="22"/>
      <c r="DZI152" s="22"/>
      <c r="DZJ152" s="22"/>
      <c r="DZK152" s="22"/>
      <c r="DZL152" s="22"/>
      <c r="DZM152" s="22"/>
      <c r="DZN152" s="22"/>
      <c r="DZO152" s="22"/>
      <c r="DZP152" s="22"/>
      <c r="DZQ152" s="22"/>
      <c r="DZR152" s="22"/>
      <c r="DZS152" s="22"/>
      <c r="DZT152" s="22"/>
      <c r="DZU152" s="22"/>
      <c r="DZV152" s="22"/>
      <c r="DZW152" s="22"/>
      <c r="DZX152" s="22"/>
      <c r="DZY152" s="22"/>
      <c r="DZZ152" s="22"/>
      <c r="EAA152" s="22"/>
      <c r="EAB152" s="22"/>
      <c r="EAC152" s="22"/>
      <c r="EAD152" s="22"/>
      <c r="EAE152" s="22"/>
      <c r="EAF152" s="22"/>
      <c r="EAG152" s="22"/>
      <c r="EAH152" s="22"/>
      <c r="EAI152" s="22"/>
      <c r="EAJ152" s="22"/>
      <c r="EAK152" s="22"/>
      <c r="EAL152" s="22"/>
      <c r="EAM152" s="22"/>
      <c r="EAN152" s="22"/>
      <c r="EAO152" s="22"/>
      <c r="EAP152" s="22"/>
      <c r="EAQ152" s="22"/>
      <c r="EAR152" s="22"/>
      <c r="EAS152" s="22"/>
      <c r="EAT152" s="22"/>
      <c r="EAU152" s="22"/>
      <c r="EAV152" s="22"/>
      <c r="EAW152" s="22"/>
      <c r="EAX152" s="22"/>
      <c r="EAY152" s="22"/>
      <c r="EAZ152" s="22"/>
      <c r="EBA152" s="22"/>
      <c r="EBB152" s="22"/>
      <c r="EBC152" s="22"/>
      <c r="EBD152" s="22"/>
      <c r="EBE152" s="22"/>
      <c r="EBF152" s="22"/>
      <c r="EBG152" s="22"/>
      <c r="EBH152" s="22"/>
      <c r="EBI152" s="22"/>
      <c r="EBJ152" s="22"/>
      <c r="EBK152" s="22"/>
      <c r="EBL152" s="22"/>
      <c r="EBM152" s="22"/>
      <c r="EBN152" s="22"/>
      <c r="EBO152" s="22"/>
      <c r="EBP152" s="22"/>
      <c r="EBQ152" s="22"/>
      <c r="EBR152" s="22"/>
      <c r="EBS152" s="22"/>
      <c r="EBT152" s="22"/>
      <c r="EBU152" s="22"/>
      <c r="EBV152" s="22"/>
      <c r="EBW152" s="22"/>
      <c r="EBX152" s="22"/>
      <c r="EBY152" s="22"/>
      <c r="EBZ152" s="22"/>
      <c r="ECA152" s="22"/>
      <c r="ECB152" s="22"/>
      <c r="ECC152" s="22"/>
      <c r="ECD152" s="22"/>
      <c r="ECE152" s="22"/>
      <c r="ECF152" s="22"/>
      <c r="ECG152" s="22"/>
      <c r="ECH152" s="22"/>
      <c r="ECI152" s="22"/>
      <c r="ECJ152" s="22"/>
      <c r="ECK152" s="22"/>
      <c r="ECL152" s="22"/>
      <c r="ECM152" s="22"/>
      <c r="ECN152" s="22"/>
      <c r="ECO152" s="22"/>
      <c r="ECP152" s="22"/>
      <c r="ECQ152" s="22"/>
      <c r="ECR152" s="22"/>
      <c r="ECS152" s="22"/>
      <c r="ECT152" s="22"/>
      <c r="ECU152" s="22"/>
      <c r="ECV152" s="22"/>
      <c r="ECW152" s="22"/>
      <c r="ECX152" s="22"/>
      <c r="ECY152" s="22"/>
      <c r="ECZ152" s="22"/>
      <c r="EDA152" s="22"/>
      <c r="EDB152" s="22"/>
      <c r="EDC152" s="22"/>
      <c r="EDD152" s="22"/>
      <c r="EDE152" s="22"/>
      <c r="EDF152" s="22"/>
      <c r="EDG152" s="22"/>
      <c r="EDH152" s="22"/>
      <c r="EDI152" s="22"/>
      <c r="EDJ152" s="22"/>
      <c r="EDK152" s="22"/>
      <c r="EDL152" s="22"/>
      <c r="EDM152" s="22"/>
      <c r="EDN152" s="22"/>
      <c r="EDO152" s="22"/>
      <c r="EDP152" s="22"/>
      <c r="EDQ152" s="22"/>
      <c r="EDR152" s="22"/>
      <c r="EDS152" s="22"/>
      <c r="EDT152" s="22"/>
      <c r="EDU152" s="22"/>
      <c r="EDV152" s="22"/>
      <c r="EDW152" s="22"/>
      <c r="EDX152" s="22"/>
      <c r="EDY152" s="22"/>
      <c r="EDZ152" s="22"/>
      <c r="EEA152" s="22"/>
      <c r="EEB152" s="22"/>
      <c r="EEC152" s="22"/>
      <c r="EED152" s="22"/>
      <c r="EEE152" s="22"/>
      <c r="EEF152" s="22"/>
      <c r="EEG152" s="22"/>
      <c r="EEH152" s="22"/>
      <c r="EEI152" s="22"/>
      <c r="EEJ152" s="22"/>
      <c r="EEK152" s="22"/>
      <c r="EEL152" s="22"/>
      <c r="EEM152" s="22"/>
      <c r="EEN152" s="22"/>
      <c r="EEO152" s="22"/>
      <c r="EEP152" s="22"/>
      <c r="EEQ152" s="22"/>
      <c r="EER152" s="22"/>
      <c r="EES152" s="22"/>
      <c r="EET152" s="22"/>
      <c r="EEU152" s="22"/>
      <c r="EEV152" s="22"/>
      <c r="EEW152" s="22"/>
      <c r="EEX152" s="22"/>
      <c r="EEY152" s="22"/>
      <c r="EEZ152" s="22"/>
      <c r="EFA152" s="22"/>
      <c r="EFB152" s="22"/>
      <c r="EFC152" s="22"/>
      <c r="EFD152" s="22"/>
      <c r="EFE152" s="22"/>
      <c r="EFF152" s="22"/>
      <c r="EFG152" s="22"/>
      <c r="EFH152" s="22"/>
      <c r="EFI152" s="22"/>
      <c r="EFJ152" s="22"/>
      <c r="EFK152" s="22"/>
      <c r="EFL152" s="22"/>
      <c r="EFM152" s="22"/>
      <c r="EFN152" s="22"/>
      <c r="EFO152" s="22"/>
      <c r="EFP152" s="22"/>
      <c r="EFQ152" s="22"/>
      <c r="EFR152" s="22"/>
      <c r="EFS152" s="22"/>
      <c r="EFT152" s="22"/>
      <c r="EFU152" s="22"/>
      <c r="EFV152" s="22"/>
      <c r="EFW152" s="22"/>
      <c r="EFX152" s="22"/>
      <c r="EFY152" s="22"/>
      <c r="EFZ152" s="22"/>
      <c r="EGA152" s="22"/>
      <c r="EGB152" s="22"/>
      <c r="EGC152" s="22"/>
      <c r="EGD152" s="22"/>
      <c r="EGE152" s="22"/>
      <c r="EGF152" s="22"/>
      <c r="EGG152" s="22"/>
      <c r="EGH152" s="22"/>
      <c r="EGI152" s="22"/>
      <c r="EGJ152" s="22"/>
      <c r="EGK152" s="22"/>
      <c r="EGL152" s="22"/>
      <c r="EGM152" s="22"/>
      <c r="EGN152" s="22"/>
      <c r="EGO152" s="22"/>
      <c r="EGP152" s="22"/>
      <c r="EGQ152" s="22"/>
      <c r="EGR152" s="22"/>
      <c r="EGS152" s="22"/>
      <c r="EGT152" s="22"/>
      <c r="EGU152" s="22"/>
      <c r="EGV152" s="22"/>
      <c r="EGW152" s="22"/>
      <c r="EGX152" s="22"/>
      <c r="EGY152" s="22"/>
      <c r="EGZ152" s="22"/>
      <c r="EHA152" s="22"/>
      <c r="EHB152" s="22"/>
      <c r="EHC152" s="22"/>
      <c r="EHD152" s="22"/>
      <c r="EHE152" s="22"/>
      <c r="EHF152" s="22"/>
      <c r="EHG152" s="22"/>
      <c r="EHH152" s="22"/>
      <c r="EHI152" s="22"/>
      <c r="EHJ152" s="22"/>
      <c r="EHK152" s="22"/>
      <c r="EHL152" s="22"/>
      <c r="EHM152" s="22"/>
      <c r="EHN152" s="22"/>
      <c r="EHO152" s="22"/>
      <c r="EHP152" s="22"/>
      <c r="EHQ152" s="22"/>
      <c r="EHR152" s="22"/>
      <c r="EHS152" s="22"/>
      <c r="EHT152" s="22"/>
      <c r="EHU152" s="22"/>
      <c r="EHV152" s="22"/>
      <c r="EHW152" s="22"/>
      <c r="EHX152" s="22"/>
      <c r="EHY152" s="22"/>
      <c r="EHZ152" s="22"/>
      <c r="EIA152" s="22"/>
      <c r="EIB152" s="22"/>
      <c r="EIC152" s="22"/>
      <c r="EID152" s="22"/>
      <c r="EIE152" s="22"/>
      <c r="EIF152" s="22"/>
      <c r="EIG152" s="22"/>
      <c r="EIH152" s="22"/>
      <c r="EII152" s="22"/>
      <c r="EIJ152" s="22"/>
      <c r="EIK152" s="22"/>
      <c r="EIL152" s="22"/>
      <c r="EIM152" s="22"/>
      <c r="EIN152" s="22"/>
      <c r="EIO152" s="22"/>
      <c r="EIP152" s="22"/>
      <c r="EIQ152" s="22"/>
      <c r="EIR152" s="22"/>
      <c r="EIS152" s="22"/>
      <c r="EIT152" s="22"/>
      <c r="EIU152" s="22"/>
      <c r="EIV152" s="22"/>
      <c r="EIW152" s="22"/>
      <c r="EIX152" s="22"/>
      <c r="EIY152" s="22"/>
      <c r="EIZ152" s="22"/>
      <c r="EJA152" s="22"/>
      <c r="EJB152" s="22"/>
      <c r="EJC152" s="22"/>
      <c r="EJD152" s="22"/>
      <c r="EJE152" s="22"/>
      <c r="EJF152" s="22"/>
      <c r="EJG152" s="22"/>
      <c r="EJH152" s="22"/>
      <c r="EJI152" s="22"/>
      <c r="EJJ152" s="22"/>
      <c r="EJK152" s="22"/>
      <c r="EJL152" s="22"/>
      <c r="EJM152" s="22"/>
      <c r="EJN152" s="22"/>
      <c r="EJO152" s="22"/>
      <c r="EJP152" s="22"/>
      <c r="EJQ152" s="22"/>
      <c r="EJR152" s="22"/>
      <c r="EJS152" s="22"/>
      <c r="EJT152" s="22"/>
      <c r="EJU152" s="22"/>
      <c r="EJV152" s="22"/>
      <c r="EJW152" s="22"/>
      <c r="EJX152" s="22"/>
      <c r="EJY152" s="22"/>
      <c r="EJZ152" s="22"/>
      <c r="EKA152" s="22"/>
      <c r="EKB152" s="22"/>
      <c r="EKC152" s="22"/>
      <c r="EKD152" s="22"/>
      <c r="EKE152" s="22"/>
      <c r="EKF152" s="22"/>
      <c r="EKG152" s="22"/>
      <c r="EKH152" s="22"/>
      <c r="EKI152" s="22"/>
      <c r="EKJ152" s="22"/>
      <c r="EKK152" s="22"/>
      <c r="EKL152" s="22"/>
      <c r="EKM152" s="22"/>
      <c r="EKN152" s="22"/>
      <c r="EKO152" s="22"/>
      <c r="EKP152" s="22"/>
      <c r="EKQ152" s="22"/>
      <c r="EKR152" s="22"/>
      <c r="EKS152" s="22"/>
      <c r="EKT152" s="22"/>
      <c r="EKU152" s="22"/>
      <c r="EKV152" s="22"/>
      <c r="EKW152" s="22"/>
      <c r="EKX152" s="22"/>
      <c r="EKY152" s="22"/>
      <c r="EKZ152" s="22"/>
      <c r="ELA152" s="22"/>
      <c r="ELB152" s="22"/>
      <c r="ELC152" s="22"/>
      <c r="ELD152" s="22"/>
      <c r="ELE152" s="22"/>
      <c r="ELF152" s="22"/>
      <c r="ELG152" s="22"/>
      <c r="ELH152" s="22"/>
      <c r="ELI152" s="22"/>
      <c r="ELJ152" s="22"/>
      <c r="ELK152" s="22"/>
      <c r="ELL152" s="22"/>
      <c r="ELM152" s="22"/>
      <c r="ELN152" s="22"/>
      <c r="ELO152" s="22"/>
      <c r="ELP152" s="22"/>
      <c r="ELQ152" s="22"/>
      <c r="ELR152" s="22"/>
      <c r="ELS152" s="22"/>
      <c r="ELT152" s="22"/>
      <c r="ELU152" s="22"/>
      <c r="ELV152" s="22"/>
      <c r="ELW152" s="22"/>
      <c r="ELX152" s="22"/>
      <c r="ELY152" s="22"/>
      <c r="ELZ152" s="22"/>
      <c r="EMA152" s="22"/>
      <c r="EMB152" s="22"/>
      <c r="EMC152" s="22"/>
      <c r="EMD152" s="22"/>
      <c r="EME152" s="22"/>
      <c r="EMF152" s="22"/>
      <c r="EMG152" s="22"/>
      <c r="EMH152" s="22"/>
      <c r="EMI152" s="22"/>
      <c r="EMJ152" s="22"/>
      <c r="EMK152" s="22"/>
      <c r="EML152" s="22"/>
      <c r="EMM152" s="22"/>
      <c r="EMN152" s="22"/>
      <c r="EMO152" s="22"/>
      <c r="EMP152" s="22"/>
      <c r="EMQ152" s="22"/>
      <c r="EMR152" s="22"/>
      <c r="EMS152" s="22"/>
      <c r="EMT152" s="22"/>
      <c r="EMU152" s="22"/>
      <c r="EMV152" s="22"/>
      <c r="EMW152" s="22"/>
      <c r="EMX152" s="22"/>
      <c r="EMY152" s="22"/>
      <c r="EMZ152" s="22"/>
      <c r="ENA152" s="22"/>
      <c r="ENB152" s="22"/>
      <c r="ENC152" s="22"/>
      <c r="END152" s="22"/>
      <c r="ENE152" s="22"/>
      <c r="ENF152" s="22"/>
      <c r="ENG152" s="22"/>
      <c r="ENH152" s="22"/>
      <c r="ENI152" s="22"/>
      <c r="ENJ152" s="22"/>
      <c r="ENK152" s="22"/>
      <c r="ENL152" s="22"/>
      <c r="ENM152" s="22"/>
      <c r="ENN152" s="22"/>
      <c r="ENO152" s="22"/>
      <c r="ENP152" s="22"/>
      <c r="ENQ152" s="22"/>
      <c r="ENR152" s="22"/>
      <c r="ENS152" s="22"/>
      <c r="ENT152" s="22"/>
      <c r="ENU152" s="22"/>
      <c r="ENV152" s="22"/>
      <c r="ENW152" s="22"/>
      <c r="ENX152" s="22"/>
      <c r="ENY152" s="22"/>
      <c r="ENZ152" s="22"/>
      <c r="EOA152" s="22"/>
      <c r="EOB152" s="22"/>
      <c r="EOC152" s="22"/>
      <c r="EOD152" s="22"/>
      <c r="EOE152" s="22"/>
      <c r="EOF152" s="22"/>
      <c r="EOG152" s="22"/>
      <c r="EOH152" s="22"/>
      <c r="EOI152" s="22"/>
      <c r="EOJ152" s="22"/>
      <c r="EOK152" s="22"/>
      <c r="EOL152" s="22"/>
      <c r="EOM152" s="22"/>
      <c r="EON152" s="22"/>
      <c r="EOO152" s="22"/>
      <c r="EOP152" s="22"/>
      <c r="EOQ152" s="22"/>
      <c r="EOR152" s="22"/>
      <c r="EOS152" s="22"/>
      <c r="EOT152" s="22"/>
      <c r="EOU152" s="22"/>
      <c r="EOV152" s="22"/>
      <c r="EOW152" s="22"/>
      <c r="EOX152" s="22"/>
      <c r="EOY152" s="22"/>
      <c r="EOZ152" s="22"/>
      <c r="EPA152" s="22"/>
      <c r="EPB152" s="22"/>
      <c r="EPC152" s="22"/>
      <c r="EPD152" s="22"/>
      <c r="EPE152" s="22"/>
      <c r="EPF152" s="22"/>
      <c r="EPG152" s="22"/>
      <c r="EPH152" s="22"/>
      <c r="EPI152" s="22"/>
      <c r="EPJ152" s="22"/>
      <c r="EPK152" s="22"/>
      <c r="EPL152" s="22"/>
      <c r="EPM152" s="22"/>
      <c r="EPN152" s="22"/>
      <c r="EPO152" s="22"/>
      <c r="EPP152" s="22"/>
      <c r="EPQ152" s="22"/>
      <c r="EPR152" s="22"/>
      <c r="EPS152" s="22"/>
      <c r="EPT152" s="22"/>
      <c r="EPU152" s="22"/>
      <c r="EPV152" s="22"/>
      <c r="EPW152" s="22"/>
      <c r="EPX152" s="22"/>
      <c r="EPY152" s="22"/>
      <c r="EPZ152" s="22"/>
      <c r="EQA152" s="22"/>
      <c r="EQB152" s="22"/>
      <c r="EQC152" s="22"/>
      <c r="EQD152" s="22"/>
      <c r="EQE152" s="22"/>
      <c r="EQF152" s="22"/>
      <c r="EQG152" s="22"/>
      <c r="EQH152" s="22"/>
      <c r="EQI152" s="22"/>
      <c r="EQJ152" s="22"/>
      <c r="EQK152" s="22"/>
      <c r="EQL152" s="22"/>
      <c r="EQM152" s="22"/>
      <c r="EQN152" s="22"/>
      <c r="EQO152" s="22"/>
      <c r="EQP152" s="22"/>
      <c r="EQQ152" s="22"/>
      <c r="EQR152" s="22"/>
      <c r="EQS152" s="22"/>
      <c r="EQT152" s="22"/>
      <c r="EQU152" s="22"/>
      <c r="EQV152" s="22"/>
      <c r="EQW152" s="22"/>
      <c r="EQX152" s="22"/>
      <c r="EQY152" s="22"/>
      <c r="EQZ152" s="22"/>
      <c r="ERA152" s="22"/>
      <c r="ERB152" s="22"/>
      <c r="ERC152" s="22"/>
      <c r="ERD152" s="22"/>
      <c r="ERE152" s="22"/>
      <c r="ERF152" s="22"/>
      <c r="ERG152" s="22"/>
      <c r="ERH152" s="22"/>
      <c r="ERI152" s="22"/>
      <c r="ERJ152" s="22"/>
      <c r="ERK152" s="22"/>
      <c r="ERL152" s="22"/>
      <c r="ERM152" s="22"/>
      <c r="ERN152" s="22"/>
      <c r="ERO152" s="22"/>
      <c r="ERP152" s="22"/>
      <c r="ERQ152" s="22"/>
      <c r="ERR152" s="22"/>
      <c r="ERS152" s="22"/>
      <c r="ERT152" s="22"/>
      <c r="ERU152" s="22"/>
      <c r="ERV152" s="22"/>
      <c r="ERW152" s="22"/>
      <c r="ERX152" s="22"/>
      <c r="ERY152" s="22"/>
      <c r="ERZ152" s="22"/>
      <c r="ESA152" s="22"/>
      <c r="ESB152" s="22"/>
      <c r="ESC152" s="22"/>
      <c r="ESD152" s="22"/>
      <c r="ESE152" s="22"/>
      <c r="ESF152" s="22"/>
      <c r="ESG152" s="22"/>
      <c r="ESH152" s="22"/>
      <c r="ESI152" s="22"/>
      <c r="ESJ152" s="22"/>
      <c r="ESK152" s="22"/>
      <c r="ESL152" s="22"/>
      <c r="ESM152" s="22"/>
      <c r="ESN152" s="22"/>
      <c r="ESO152" s="22"/>
      <c r="ESP152" s="22"/>
      <c r="ESQ152" s="22"/>
      <c r="ESR152" s="22"/>
      <c r="ESS152" s="22"/>
      <c r="EST152" s="22"/>
      <c r="ESU152" s="22"/>
      <c r="ESV152" s="22"/>
      <c r="ESW152" s="22"/>
      <c r="ESX152" s="22"/>
      <c r="ESY152" s="22"/>
      <c r="ESZ152" s="22"/>
      <c r="ETA152" s="22"/>
      <c r="ETB152" s="22"/>
      <c r="ETC152" s="22"/>
      <c r="ETD152" s="22"/>
      <c r="ETE152" s="22"/>
      <c r="ETF152" s="22"/>
      <c r="ETG152" s="22"/>
      <c r="ETH152" s="22"/>
      <c r="ETI152" s="22"/>
      <c r="ETJ152" s="22"/>
      <c r="ETK152" s="22"/>
      <c r="ETL152" s="22"/>
      <c r="ETM152" s="22"/>
      <c r="ETN152" s="22"/>
      <c r="ETO152" s="22"/>
      <c r="ETP152" s="22"/>
      <c r="ETQ152" s="22"/>
      <c r="ETR152" s="22"/>
      <c r="ETS152" s="22"/>
      <c r="ETT152" s="22"/>
      <c r="ETU152" s="22"/>
      <c r="ETV152" s="22"/>
      <c r="ETW152" s="22"/>
      <c r="ETX152" s="22"/>
      <c r="ETY152" s="22"/>
      <c r="ETZ152" s="22"/>
      <c r="EUA152" s="22"/>
      <c r="EUB152" s="22"/>
      <c r="EUC152" s="22"/>
      <c r="EUD152" s="22"/>
      <c r="EUE152" s="22"/>
      <c r="EUF152" s="22"/>
      <c r="EUG152" s="22"/>
      <c r="EUH152" s="22"/>
      <c r="EUI152" s="22"/>
      <c r="EUJ152" s="22"/>
      <c r="EUK152" s="22"/>
      <c r="EUL152" s="22"/>
      <c r="EUM152" s="22"/>
      <c r="EUN152" s="22"/>
      <c r="EUO152" s="22"/>
      <c r="EUP152" s="22"/>
      <c r="EUQ152" s="22"/>
      <c r="EUR152" s="22"/>
      <c r="EUS152" s="22"/>
      <c r="EUT152" s="22"/>
      <c r="EUU152" s="22"/>
      <c r="EUV152" s="22"/>
      <c r="EUW152" s="22"/>
      <c r="EUX152" s="22"/>
      <c r="EUY152" s="22"/>
      <c r="EUZ152" s="22"/>
      <c r="EVA152" s="22"/>
      <c r="EVB152" s="22"/>
      <c r="EVC152" s="22"/>
      <c r="EVD152" s="22"/>
      <c r="EVE152" s="22"/>
      <c r="EVF152" s="22"/>
      <c r="EVG152" s="22"/>
      <c r="EVH152" s="22"/>
      <c r="EVI152" s="22"/>
      <c r="EVJ152" s="22"/>
      <c r="EVK152" s="22"/>
      <c r="EVL152" s="22"/>
      <c r="EVM152" s="22"/>
      <c r="EVN152" s="22"/>
      <c r="EVO152" s="22"/>
      <c r="EVP152" s="22"/>
      <c r="EVQ152" s="22"/>
      <c r="EVR152" s="22"/>
      <c r="EVS152" s="22"/>
      <c r="EVT152" s="22"/>
      <c r="EVU152" s="22"/>
      <c r="EVV152" s="22"/>
      <c r="EVW152" s="22"/>
      <c r="EVX152" s="22"/>
      <c r="EVY152" s="22"/>
      <c r="EVZ152" s="22"/>
      <c r="EWA152" s="22"/>
      <c r="EWB152" s="22"/>
      <c r="EWC152" s="22"/>
      <c r="EWD152" s="22"/>
      <c r="EWE152" s="22"/>
      <c r="EWF152" s="22"/>
      <c r="EWG152" s="22"/>
      <c r="EWH152" s="22"/>
      <c r="EWI152" s="22"/>
      <c r="EWJ152" s="22"/>
      <c r="EWK152" s="22"/>
      <c r="EWL152" s="22"/>
      <c r="EWM152" s="22"/>
      <c r="EWN152" s="22"/>
      <c r="EWO152" s="22"/>
      <c r="EWP152" s="22"/>
      <c r="EWQ152" s="22"/>
      <c r="EWR152" s="22"/>
      <c r="EWS152" s="22"/>
      <c r="EWT152" s="22"/>
      <c r="EWU152" s="22"/>
      <c r="EWV152" s="22"/>
      <c r="EWW152" s="22"/>
      <c r="EWX152" s="22"/>
      <c r="EWY152" s="22"/>
      <c r="EWZ152" s="22"/>
      <c r="EXA152" s="22"/>
      <c r="EXB152" s="22"/>
      <c r="EXC152" s="22"/>
      <c r="EXD152" s="22"/>
      <c r="EXE152" s="22"/>
      <c r="EXF152" s="22"/>
      <c r="EXG152" s="22"/>
      <c r="EXH152" s="22"/>
      <c r="EXI152" s="22"/>
      <c r="EXJ152" s="22"/>
      <c r="EXK152" s="22"/>
      <c r="EXL152" s="22"/>
      <c r="EXM152" s="22"/>
      <c r="EXN152" s="22"/>
      <c r="EXO152" s="22"/>
      <c r="EXP152" s="22"/>
      <c r="EXQ152" s="22"/>
      <c r="EXR152" s="22"/>
      <c r="EXS152" s="22"/>
      <c r="EXT152" s="22"/>
      <c r="EXU152" s="22"/>
      <c r="EXV152" s="22"/>
      <c r="EXW152" s="22"/>
      <c r="EXX152" s="22"/>
      <c r="EXY152" s="22"/>
      <c r="EXZ152" s="22"/>
      <c r="EYA152" s="22"/>
      <c r="EYB152" s="22"/>
      <c r="EYC152" s="22"/>
      <c r="EYD152" s="22"/>
      <c r="EYE152" s="22"/>
      <c r="EYF152" s="22"/>
      <c r="EYG152" s="22"/>
      <c r="EYH152" s="22"/>
      <c r="EYI152" s="22"/>
      <c r="EYJ152" s="22"/>
      <c r="EYK152" s="22"/>
      <c r="EYL152" s="22"/>
      <c r="EYM152" s="22"/>
      <c r="EYN152" s="22"/>
      <c r="EYO152" s="22"/>
      <c r="EYP152" s="22"/>
      <c r="EYQ152" s="22"/>
      <c r="EYR152" s="22"/>
      <c r="EYS152" s="22"/>
      <c r="EYT152" s="22"/>
      <c r="EYU152" s="22"/>
      <c r="EYV152" s="22"/>
      <c r="EYW152" s="22"/>
      <c r="EYX152" s="22"/>
      <c r="EYY152" s="22"/>
      <c r="EYZ152" s="22"/>
      <c r="EZA152" s="22"/>
      <c r="EZB152" s="22"/>
      <c r="EZC152" s="22"/>
      <c r="EZD152" s="22"/>
      <c r="EZE152" s="22"/>
      <c r="EZF152" s="22"/>
      <c r="EZG152" s="22"/>
      <c r="EZH152" s="22"/>
      <c r="EZI152" s="22"/>
      <c r="EZJ152" s="22"/>
      <c r="EZK152" s="22"/>
      <c r="EZL152" s="22"/>
      <c r="EZM152" s="22"/>
      <c r="EZN152" s="22"/>
      <c r="EZO152" s="22"/>
      <c r="EZP152" s="22"/>
      <c r="EZQ152" s="22"/>
      <c r="EZR152" s="22"/>
      <c r="EZS152" s="22"/>
      <c r="EZT152" s="22"/>
      <c r="EZU152" s="22"/>
      <c r="EZV152" s="22"/>
      <c r="EZW152" s="22"/>
      <c r="EZX152" s="22"/>
      <c r="EZY152" s="22"/>
      <c r="EZZ152" s="22"/>
      <c r="FAA152" s="22"/>
      <c r="FAB152" s="22"/>
      <c r="FAC152" s="22"/>
      <c r="FAD152" s="22"/>
      <c r="FAE152" s="22"/>
      <c r="FAF152" s="22"/>
      <c r="FAG152" s="22"/>
      <c r="FAH152" s="22"/>
      <c r="FAI152" s="22"/>
      <c r="FAJ152" s="22"/>
      <c r="FAK152" s="22"/>
      <c r="FAL152" s="22"/>
      <c r="FAM152" s="22"/>
      <c r="FAN152" s="22"/>
      <c r="FAO152" s="22"/>
      <c r="FAP152" s="22"/>
      <c r="FAQ152" s="22"/>
      <c r="FAR152" s="22"/>
      <c r="FAS152" s="22"/>
      <c r="FAT152" s="22"/>
      <c r="FAU152" s="22"/>
      <c r="FAV152" s="22"/>
      <c r="FAW152" s="22"/>
      <c r="FAX152" s="22"/>
      <c r="FAY152" s="22"/>
      <c r="FAZ152" s="22"/>
      <c r="FBA152" s="22"/>
      <c r="FBB152" s="22"/>
      <c r="FBC152" s="22"/>
      <c r="FBD152" s="22"/>
      <c r="FBE152" s="22"/>
      <c r="FBF152" s="22"/>
      <c r="FBG152" s="22"/>
      <c r="FBH152" s="22"/>
      <c r="FBI152" s="22"/>
      <c r="FBJ152" s="22"/>
      <c r="FBK152" s="22"/>
      <c r="FBL152" s="22"/>
      <c r="FBM152" s="22"/>
      <c r="FBN152" s="22"/>
      <c r="FBO152" s="22"/>
      <c r="FBP152" s="22"/>
      <c r="FBQ152" s="22"/>
      <c r="FBR152" s="22"/>
      <c r="FBS152" s="22"/>
      <c r="FBT152" s="22"/>
      <c r="FBU152" s="22"/>
      <c r="FBV152" s="22"/>
      <c r="FBW152" s="22"/>
      <c r="FBX152" s="22"/>
      <c r="FBY152" s="22"/>
      <c r="FBZ152" s="22"/>
      <c r="FCA152" s="22"/>
      <c r="FCB152" s="22"/>
      <c r="FCC152" s="22"/>
      <c r="FCD152" s="22"/>
      <c r="FCE152" s="22"/>
      <c r="FCF152" s="22"/>
      <c r="FCG152" s="22"/>
      <c r="FCH152" s="22"/>
      <c r="FCI152" s="22"/>
      <c r="FCJ152" s="22"/>
      <c r="FCK152" s="22"/>
      <c r="FCL152" s="22"/>
      <c r="FCM152" s="22"/>
      <c r="FCN152" s="22"/>
      <c r="FCO152" s="22"/>
      <c r="FCP152" s="22"/>
      <c r="FCQ152" s="22"/>
      <c r="FCR152" s="22"/>
      <c r="FCS152" s="22"/>
      <c r="FCT152" s="22"/>
      <c r="FCU152" s="22"/>
      <c r="FCV152" s="22"/>
      <c r="FCW152" s="22"/>
      <c r="FCX152" s="22"/>
      <c r="FCY152" s="22"/>
      <c r="FCZ152" s="22"/>
      <c r="FDA152" s="22"/>
      <c r="FDB152" s="22"/>
      <c r="FDC152" s="22"/>
      <c r="FDD152" s="22"/>
      <c r="FDE152" s="22"/>
      <c r="FDF152" s="22"/>
      <c r="FDG152" s="22"/>
      <c r="FDH152" s="22"/>
      <c r="FDI152" s="22"/>
      <c r="FDJ152" s="22"/>
      <c r="FDK152" s="22"/>
      <c r="FDL152" s="22"/>
      <c r="FDM152" s="22"/>
      <c r="FDN152" s="22"/>
      <c r="FDO152" s="22"/>
      <c r="FDP152" s="22"/>
      <c r="FDQ152" s="22"/>
      <c r="FDR152" s="22"/>
      <c r="FDS152" s="22"/>
      <c r="FDT152" s="22"/>
      <c r="FDU152" s="22"/>
      <c r="FDV152" s="22"/>
      <c r="FDW152" s="22"/>
      <c r="FDX152" s="22"/>
      <c r="FDY152" s="22"/>
      <c r="FDZ152" s="22"/>
      <c r="FEA152" s="22"/>
      <c r="FEB152" s="22"/>
      <c r="FEC152" s="22"/>
      <c r="FED152" s="22"/>
      <c r="FEE152" s="22"/>
      <c r="FEF152" s="22"/>
      <c r="FEG152" s="22"/>
      <c r="FEH152" s="22"/>
      <c r="FEI152" s="22"/>
      <c r="FEJ152" s="22"/>
      <c r="FEK152" s="22"/>
      <c r="FEL152" s="22"/>
      <c r="FEM152" s="22"/>
      <c r="FEN152" s="22"/>
      <c r="FEO152" s="22"/>
      <c r="FEP152" s="22"/>
      <c r="FEQ152" s="22"/>
      <c r="FER152" s="22"/>
      <c r="FES152" s="22"/>
      <c r="FET152" s="22"/>
      <c r="FEU152" s="22"/>
      <c r="FEV152" s="22"/>
      <c r="FEW152" s="22"/>
      <c r="FEX152" s="22"/>
      <c r="FEY152" s="22"/>
      <c r="FEZ152" s="22"/>
      <c r="FFA152" s="22"/>
      <c r="FFB152" s="22"/>
      <c r="FFC152" s="22"/>
      <c r="FFD152" s="22"/>
      <c r="FFE152" s="22"/>
      <c r="FFF152" s="22"/>
      <c r="FFG152" s="22"/>
      <c r="FFH152" s="22"/>
      <c r="FFI152" s="22"/>
      <c r="FFJ152" s="22"/>
      <c r="FFK152" s="22"/>
      <c r="FFL152" s="22"/>
      <c r="FFM152" s="22"/>
      <c r="FFN152" s="22"/>
      <c r="FFO152" s="22"/>
      <c r="FFP152" s="22"/>
      <c r="FFQ152" s="22"/>
      <c r="FFR152" s="22"/>
      <c r="FFS152" s="22"/>
      <c r="FFT152" s="22"/>
      <c r="FFU152" s="22"/>
      <c r="FFV152" s="22"/>
      <c r="FFW152" s="22"/>
      <c r="FFX152" s="22"/>
      <c r="FFY152" s="22"/>
      <c r="FFZ152" s="22"/>
      <c r="FGA152" s="22"/>
      <c r="FGB152" s="22"/>
      <c r="FGC152" s="22"/>
      <c r="FGD152" s="22"/>
      <c r="FGE152" s="22"/>
      <c r="FGF152" s="22"/>
      <c r="FGG152" s="22"/>
      <c r="FGH152" s="22"/>
      <c r="FGI152" s="22"/>
      <c r="FGJ152" s="22"/>
      <c r="FGK152" s="22"/>
      <c r="FGL152" s="22"/>
      <c r="FGM152" s="22"/>
      <c r="FGN152" s="22"/>
      <c r="FGO152" s="22"/>
      <c r="FGP152" s="22"/>
      <c r="FGQ152" s="22"/>
      <c r="FGR152" s="22"/>
      <c r="FGS152" s="22"/>
      <c r="FGT152" s="22"/>
      <c r="FGU152" s="22"/>
      <c r="FGV152" s="22"/>
      <c r="FGW152" s="22"/>
      <c r="FGX152" s="22"/>
      <c r="FGY152" s="22"/>
      <c r="FGZ152" s="22"/>
      <c r="FHA152" s="22"/>
      <c r="FHB152" s="22"/>
      <c r="FHC152" s="22"/>
      <c r="FHD152" s="22"/>
      <c r="FHE152" s="22"/>
      <c r="FHF152" s="22"/>
      <c r="FHG152" s="22"/>
      <c r="FHH152" s="22"/>
      <c r="FHI152" s="22"/>
      <c r="FHJ152" s="22"/>
      <c r="FHK152" s="22"/>
      <c r="FHL152" s="22"/>
      <c r="FHM152" s="22"/>
      <c r="FHN152" s="22"/>
      <c r="FHO152" s="22"/>
      <c r="FHP152" s="22"/>
      <c r="FHQ152" s="22"/>
      <c r="FHR152" s="22"/>
      <c r="FHS152" s="22"/>
      <c r="FHT152" s="22"/>
      <c r="FHU152" s="22"/>
      <c r="FHV152" s="22"/>
      <c r="FHW152" s="22"/>
      <c r="FHX152" s="22"/>
      <c r="FHY152" s="22"/>
      <c r="FHZ152" s="22"/>
      <c r="FIA152" s="22"/>
      <c r="FIB152" s="22"/>
      <c r="FIC152" s="22"/>
      <c r="FID152" s="22"/>
      <c r="FIE152" s="22"/>
      <c r="FIF152" s="22"/>
      <c r="FIG152" s="22"/>
      <c r="FIH152" s="22"/>
      <c r="FII152" s="22"/>
      <c r="FIJ152" s="22"/>
      <c r="FIK152" s="22"/>
      <c r="FIL152" s="22"/>
      <c r="FIM152" s="22"/>
      <c r="FIN152" s="22"/>
      <c r="FIO152" s="22"/>
      <c r="FIP152" s="22"/>
      <c r="FIQ152" s="22"/>
      <c r="FIR152" s="22"/>
      <c r="FIS152" s="22"/>
      <c r="FIT152" s="22"/>
      <c r="FIU152" s="22"/>
      <c r="FIV152" s="22"/>
      <c r="FIW152" s="22"/>
      <c r="FIX152" s="22"/>
      <c r="FIY152" s="22"/>
      <c r="FIZ152" s="22"/>
      <c r="FJA152" s="22"/>
      <c r="FJB152" s="22"/>
      <c r="FJC152" s="22"/>
      <c r="FJD152" s="22"/>
      <c r="FJE152" s="22"/>
      <c r="FJF152" s="22"/>
      <c r="FJG152" s="22"/>
      <c r="FJH152" s="22"/>
      <c r="FJI152" s="22"/>
      <c r="FJJ152" s="22"/>
      <c r="FJK152" s="22"/>
      <c r="FJL152" s="22"/>
      <c r="FJM152" s="22"/>
      <c r="FJN152" s="22"/>
      <c r="FJO152" s="22"/>
      <c r="FJP152" s="22"/>
      <c r="FJQ152" s="22"/>
      <c r="FJR152" s="22"/>
      <c r="FJS152" s="22"/>
      <c r="FJT152" s="22"/>
      <c r="FJU152" s="22"/>
      <c r="FJV152" s="22"/>
      <c r="FJW152" s="22"/>
      <c r="FJX152" s="22"/>
      <c r="FJY152" s="22"/>
      <c r="FJZ152" s="22"/>
      <c r="FKA152" s="22"/>
      <c r="FKB152" s="22"/>
      <c r="FKC152" s="22"/>
      <c r="FKD152" s="22"/>
      <c r="FKE152" s="22"/>
      <c r="FKF152" s="22"/>
      <c r="FKG152" s="22"/>
      <c r="FKH152" s="22"/>
      <c r="FKI152" s="22"/>
      <c r="FKJ152" s="22"/>
      <c r="FKK152" s="22"/>
      <c r="FKL152" s="22"/>
      <c r="FKM152" s="22"/>
      <c r="FKN152" s="22"/>
      <c r="FKO152" s="22"/>
      <c r="FKP152" s="22"/>
      <c r="FKQ152" s="22"/>
      <c r="FKR152" s="22"/>
      <c r="FKS152" s="22"/>
      <c r="FKT152" s="22"/>
      <c r="FKU152" s="22"/>
      <c r="FKV152" s="22"/>
      <c r="FKW152" s="22"/>
      <c r="FKX152" s="22"/>
      <c r="FKY152" s="22"/>
      <c r="FKZ152" s="22"/>
      <c r="FLA152" s="22"/>
      <c r="FLB152" s="22"/>
      <c r="FLC152" s="22"/>
      <c r="FLD152" s="22"/>
      <c r="FLE152" s="22"/>
      <c r="FLF152" s="22"/>
      <c r="FLG152" s="22"/>
      <c r="FLH152" s="22"/>
      <c r="FLI152" s="22"/>
      <c r="FLJ152" s="22"/>
      <c r="FLK152" s="22"/>
      <c r="FLL152" s="22"/>
      <c r="FLM152" s="22"/>
      <c r="FLN152" s="22"/>
      <c r="FLO152" s="22"/>
      <c r="FLP152" s="22"/>
      <c r="FLQ152" s="22"/>
      <c r="FLR152" s="22"/>
      <c r="FLS152" s="22"/>
      <c r="FLT152" s="22"/>
      <c r="FLU152" s="22"/>
      <c r="FLV152" s="22"/>
      <c r="FLW152" s="22"/>
      <c r="FLX152" s="22"/>
      <c r="FLY152" s="22"/>
      <c r="FLZ152" s="22"/>
      <c r="FMA152" s="22"/>
      <c r="FMB152" s="22"/>
      <c r="FMC152" s="22"/>
      <c r="FMD152" s="22"/>
      <c r="FME152" s="22"/>
      <c r="FMF152" s="22"/>
      <c r="FMG152" s="22"/>
      <c r="FMH152" s="22"/>
      <c r="FMI152" s="22"/>
      <c r="FMJ152" s="22"/>
      <c r="FMK152" s="22"/>
      <c r="FML152" s="22"/>
      <c r="FMM152" s="22"/>
      <c r="FMN152" s="22"/>
      <c r="FMO152" s="22"/>
      <c r="FMP152" s="22"/>
      <c r="FMQ152" s="22"/>
      <c r="FMR152" s="22"/>
      <c r="FMS152" s="22"/>
      <c r="FMT152" s="22"/>
      <c r="FMU152" s="22"/>
      <c r="FMV152" s="22"/>
      <c r="FMW152" s="22"/>
      <c r="FMX152" s="22"/>
      <c r="FMY152" s="22"/>
      <c r="FMZ152" s="22"/>
      <c r="FNA152" s="22"/>
      <c r="FNB152" s="22"/>
      <c r="FNC152" s="22"/>
      <c r="FND152" s="22"/>
      <c r="FNE152" s="22"/>
      <c r="FNF152" s="22"/>
      <c r="FNG152" s="22"/>
      <c r="FNH152" s="22"/>
      <c r="FNI152" s="22"/>
      <c r="FNJ152" s="22"/>
      <c r="FNK152" s="22"/>
      <c r="FNL152" s="22"/>
      <c r="FNM152" s="22"/>
      <c r="FNN152" s="22"/>
      <c r="FNO152" s="22"/>
      <c r="FNP152" s="22"/>
      <c r="FNQ152" s="22"/>
      <c r="FNR152" s="22"/>
      <c r="FNS152" s="22"/>
      <c r="FNT152" s="22"/>
      <c r="FNU152" s="22"/>
      <c r="FNV152" s="22"/>
      <c r="FNW152" s="22"/>
      <c r="FNX152" s="22"/>
      <c r="FNY152" s="22"/>
      <c r="FNZ152" s="22"/>
      <c r="FOA152" s="22"/>
      <c r="FOB152" s="22"/>
      <c r="FOC152" s="22"/>
      <c r="FOD152" s="22"/>
      <c r="FOE152" s="22"/>
      <c r="FOF152" s="22"/>
      <c r="FOG152" s="22"/>
      <c r="FOH152" s="22"/>
      <c r="FOI152" s="22"/>
      <c r="FOJ152" s="22"/>
      <c r="FOK152" s="22"/>
      <c r="FOL152" s="22"/>
      <c r="FOM152" s="22"/>
      <c r="FON152" s="22"/>
      <c r="FOO152" s="22"/>
      <c r="FOP152" s="22"/>
      <c r="FOQ152" s="22"/>
      <c r="FOR152" s="22"/>
      <c r="FOS152" s="22"/>
      <c r="FOT152" s="22"/>
      <c r="FOU152" s="22"/>
      <c r="FOV152" s="22"/>
      <c r="FOW152" s="22"/>
      <c r="FOX152" s="22"/>
      <c r="FOY152" s="22"/>
      <c r="FOZ152" s="22"/>
      <c r="FPA152" s="22"/>
      <c r="FPB152" s="22"/>
      <c r="FPC152" s="22"/>
      <c r="FPD152" s="22"/>
      <c r="FPE152" s="22"/>
      <c r="FPF152" s="22"/>
      <c r="FPG152" s="22"/>
      <c r="FPH152" s="22"/>
      <c r="FPI152" s="22"/>
      <c r="FPJ152" s="22"/>
      <c r="FPK152" s="22"/>
      <c r="FPL152" s="22"/>
      <c r="FPM152" s="22"/>
      <c r="FPN152" s="22"/>
      <c r="FPO152" s="22"/>
      <c r="FPP152" s="22"/>
      <c r="FPQ152" s="22"/>
      <c r="FPR152" s="22"/>
      <c r="FPS152" s="22"/>
      <c r="FPT152" s="22"/>
      <c r="FPU152" s="22"/>
      <c r="FPV152" s="22"/>
      <c r="FPW152" s="22"/>
      <c r="FPX152" s="22"/>
      <c r="FPY152" s="22"/>
      <c r="FPZ152" s="22"/>
      <c r="FQA152" s="22"/>
      <c r="FQB152" s="22"/>
      <c r="FQC152" s="22"/>
      <c r="FQD152" s="22"/>
      <c r="FQE152" s="22"/>
      <c r="FQF152" s="22"/>
      <c r="FQG152" s="22"/>
      <c r="FQH152" s="22"/>
      <c r="FQI152" s="22"/>
      <c r="FQJ152" s="22"/>
      <c r="FQK152" s="22"/>
      <c r="FQL152" s="22"/>
      <c r="FQM152" s="22"/>
      <c r="FQN152" s="22"/>
      <c r="FQO152" s="22"/>
      <c r="FQP152" s="22"/>
      <c r="FQQ152" s="22"/>
      <c r="FQR152" s="22"/>
      <c r="FQS152" s="22"/>
      <c r="FQT152" s="22"/>
      <c r="FQU152" s="22"/>
      <c r="FQV152" s="22"/>
      <c r="FQW152" s="22"/>
      <c r="FQX152" s="22"/>
      <c r="FQY152" s="22"/>
      <c r="FQZ152" s="22"/>
      <c r="FRA152" s="22"/>
      <c r="FRB152" s="22"/>
      <c r="FRC152" s="22"/>
      <c r="FRD152" s="22"/>
      <c r="FRE152" s="22"/>
      <c r="FRF152" s="22"/>
      <c r="FRG152" s="22"/>
      <c r="FRH152" s="22"/>
      <c r="FRI152" s="22"/>
      <c r="FRJ152" s="22"/>
      <c r="FRK152" s="22"/>
      <c r="FRL152" s="22"/>
      <c r="FRM152" s="22"/>
      <c r="FRN152" s="22"/>
      <c r="FRO152" s="22"/>
      <c r="FRP152" s="22"/>
      <c r="FRQ152" s="22"/>
      <c r="FRR152" s="22"/>
      <c r="FRS152" s="22"/>
      <c r="FRT152" s="22"/>
      <c r="FRU152" s="22"/>
      <c r="FRV152" s="22"/>
      <c r="FRW152" s="22"/>
      <c r="FRX152" s="22"/>
      <c r="FRY152" s="22"/>
      <c r="FRZ152" s="22"/>
      <c r="FSA152" s="22"/>
      <c r="FSB152" s="22"/>
      <c r="FSC152" s="22"/>
      <c r="FSD152" s="22"/>
      <c r="FSE152" s="22"/>
      <c r="FSF152" s="22"/>
      <c r="FSG152" s="22"/>
      <c r="FSH152" s="22"/>
      <c r="FSI152" s="22"/>
      <c r="FSJ152" s="22"/>
      <c r="FSK152" s="22"/>
      <c r="FSL152" s="22"/>
      <c r="FSM152" s="22"/>
      <c r="FSN152" s="22"/>
      <c r="FSO152" s="22"/>
      <c r="FSP152" s="22"/>
      <c r="FSQ152" s="22"/>
      <c r="FSR152" s="22"/>
      <c r="FSS152" s="22"/>
      <c r="FST152" s="22"/>
      <c r="FSU152" s="22"/>
      <c r="FSV152" s="22"/>
      <c r="FSW152" s="22"/>
      <c r="FSX152" s="22"/>
      <c r="FSY152" s="22"/>
      <c r="FSZ152" s="22"/>
      <c r="FTA152" s="22"/>
      <c r="FTB152" s="22"/>
      <c r="FTC152" s="22"/>
      <c r="FTD152" s="22"/>
      <c r="FTE152" s="22"/>
      <c r="FTF152" s="22"/>
      <c r="FTG152" s="22"/>
      <c r="FTH152" s="22"/>
      <c r="FTI152" s="22"/>
      <c r="FTJ152" s="22"/>
      <c r="FTK152" s="22"/>
      <c r="FTL152" s="22"/>
      <c r="FTM152" s="22"/>
      <c r="FTN152" s="22"/>
      <c r="FTO152" s="22"/>
      <c r="FTP152" s="22"/>
      <c r="FTQ152" s="22"/>
      <c r="FTR152" s="22"/>
      <c r="FTS152" s="22"/>
      <c r="FTT152" s="22"/>
      <c r="FTU152" s="22"/>
      <c r="FTV152" s="22"/>
      <c r="FTW152" s="22"/>
      <c r="FTX152" s="22"/>
      <c r="FTY152" s="22"/>
      <c r="FTZ152" s="22"/>
      <c r="FUA152" s="22"/>
      <c r="FUB152" s="22"/>
      <c r="FUC152" s="22"/>
      <c r="FUD152" s="22"/>
      <c r="FUE152" s="22"/>
      <c r="FUF152" s="22"/>
      <c r="FUG152" s="22"/>
      <c r="FUH152" s="22"/>
      <c r="FUI152" s="22"/>
      <c r="FUJ152" s="22"/>
      <c r="FUK152" s="22"/>
      <c r="FUL152" s="22"/>
      <c r="FUM152" s="22"/>
      <c r="FUN152" s="22"/>
      <c r="FUO152" s="22"/>
      <c r="FUP152" s="22"/>
      <c r="FUQ152" s="22"/>
      <c r="FUR152" s="22"/>
      <c r="FUS152" s="22"/>
      <c r="FUT152" s="22"/>
      <c r="FUU152" s="22"/>
      <c r="FUV152" s="22"/>
      <c r="FUW152" s="22"/>
      <c r="FUX152" s="22"/>
      <c r="FUY152" s="22"/>
      <c r="FUZ152" s="22"/>
      <c r="FVA152" s="22"/>
      <c r="FVB152" s="22"/>
      <c r="FVC152" s="22"/>
      <c r="FVD152" s="22"/>
      <c r="FVE152" s="22"/>
      <c r="FVF152" s="22"/>
      <c r="FVG152" s="22"/>
      <c r="FVH152" s="22"/>
      <c r="FVI152" s="22"/>
      <c r="FVJ152" s="22"/>
      <c r="FVK152" s="22"/>
      <c r="FVL152" s="22"/>
      <c r="FVM152" s="22"/>
      <c r="FVN152" s="22"/>
      <c r="FVO152" s="22"/>
      <c r="FVP152" s="22"/>
      <c r="FVQ152" s="22"/>
      <c r="FVR152" s="22"/>
      <c r="FVS152" s="22"/>
      <c r="FVT152" s="22"/>
      <c r="FVU152" s="22"/>
      <c r="FVV152" s="22"/>
      <c r="FVW152" s="22"/>
      <c r="FVX152" s="22"/>
      <c r="FVY152" s="22"/>
      <c r="FVZ152" s="22"/>
      <c r="FWA152" s="22"/>
      <c r="FWB152" s="22"/>
      <c r="FWC152" s="22"/>
      <c r="FWD152" s="22"/>
      <c r="FWE152" s="22"/>
      <c r="FWF152" s="22"/>
      <c r="FWG152" s="22"/>
      <c r="FWH152" s="22"/>
      <c r="FWI152" s="22"/>
      <c r="FWJ152" s="22"/>
      <c r="FWK152" s="22"/>
      <c r="FWL152" s="22"/>
      <c r="FWM152" s="22"/>
      <c r="FWN152" s="22"/>
      <c r="FWO152" s="22"/>
      <c r="FWP152" s="22"/>
      <c r="FWQ152" s="22"/>
      <c r="FWR152" s="22"/>
      <c r="FWS152" s="22"/>
      <c r="FWT152" s="22"/>
      <c r="FWU152" s="22"/>
      <c r="FWV152" s="22"/>
      <c r="FWW152" s="22"/>
      <c r="FWX152" s="22"/>
      <c r="FWY152" s="22"/>
      <c r="FWZ152" s="22"/>
      <c r="FXA152" s="22"/>
      <c r="FXB152" s="22"/>
      <c r="FXC152" s="22"/>
      <c r="FXD152" s="22"/>
      <c r="FXE152" s="22"/>
      <c r="FXF152" s="22"/>
      <c r="FXG152" s="22"/>
      <c r="FXH152" s="22"/>
      <c r="FXI152" s="22"/>
      <c r="FXJ152" s="22"/>
      <c r="FXK152" s="22"/>
      <c r="FXL152" s="22"/>
      <c r="FXM152" s="22"/>
      <c r="FXN152" s="22"/>
      <c r="FXO152" s="22"/>
      <c r="FXP152" s="22"/>
      <c r="FXQ152" s="22"/>
      <c r="FXR152" s="22"/>
      <c r="FXS152" s="22"/>
      <c r="FXT152" s="22"/>
      <c r="FXU152" s="22"/>
      <c r="FXV152" s="22"/>
      <c r="FXW152" s="22"/>
      <c r="FXX152" s="22"/>
      <c r="FXY152" s="22"/>
      <c r="FXZ152" s="22"/>
      <c r="FYA152" s="22"/>
      <c r="FYB152" s="22"/>
      <c r="FYC152" s="22"/>
      <c r="FYD152" s="22"/>
      <c r="FYE152" s="22"/>
      <c r="FYF152" s="22"/>
      <c r="FYG152" s="22"/>
      <c r="FYH152" s="22"/>
      <c r="FYI152" s="22"/>
      <c r="FYJ152" s="22"/>
      <c r="FYK152" s="22"/>
      <c r="FYL152" s="22"/>
      <c r="FYM152" s="22"/>
      <c r="FYN152" s="22"/>
      <c r="FYO152" s="22"/>
      <c r="FYP152" s="22"/>
      <c r="FYQ152" s="22"/>
      <c r="FYR152" s="22"/>
      <c r="FYS152" s="22"/>
      <c r="FYT152" s="22"/>
      <c r="FYU152" s="22"/>
      <c r="FYV152" s="22"/>
      <c r="FYW152" s="22"/>
      <c r="FYX152" s="22"/>
      <c r="FYY152" s="22"/>
      <c r="FYZ152" s="22"/>
      <c r="FZA152" s="22"/>
      <c r="FZB152" s="22"/>
      <c r="FZC152" s="22"/>
      <c r="FZD152" s="22"/>
      <c r="FZE152" s="22"/>
      <c r="FZF152" s="22"/>
      <c r="FZG152" s="22"/>
      <c r="FZH152" s="22"/>
      <c r="FZI152" s="22"/>
      <c r="FZJ152" s="22"/>
      <c r="FZK152" s="22"/>
      <c r="FZL152" s="22"/>
      <c r="FZM152" s="22"/>
      <c r="FZN152" s="22"/>
      <c r="FZO152" s="22"/>
      <c r="FZP152" s="22"/>
      <c r="FZQ152" s="22"/>
      <c r="FZR152" s="22"/>
      <c r="FZS152" s="22"/>
      <c r="FZT152" s="22"/>
      <c r="FZU152" s="22"/>
      <c r="FZV152" s="22"/>
      <c r="FZW152" s="22"/>
      <c r="FZX152" s="22"/>
      <c r="FZY152" s="22"/>
      <c r="FZZ152" s="22"/>
      <c r="GAA152" s="22"/>
      <c r="GAB152" s="22"/>
      <c r="GAC152" s="22"/>
      <c r="GAD152" s="22"/>
      <c r="GAE152" s="22"/>
      <c r="GAF152" s="22"/>
      <c r="GAG152" s="22"/>
      <c r="GAH152" s="22"/>
      <c r="GAI152" s="22"/>
      <c r="GAJ152" s="22"/>
      <c r="GAK152" s="22"/>
      <c r="GAL152" s="22"/>
      <c r="GAM152" s="22"/>
      <c r="GAN152" s="22"/>
      <c r="GAO152" s="22"/>
      <c r="GAP152" s="22"/>
      <c r="GAQ152" s="22"/>
      <c r="GAR152" s="22"/>
      <c r="GAS152" s="22"/>
      <c r="GAT152" s="22"/>
      <c r="GAU152" s="22"/>
      <c r="GAV152" s="22"/>
      <c r="GAW152" s="22"/>
      <c r="GAX152" s="22"/>
      <c r="GAY152" s="22"/>
      <c r="GAZ152" s="22"/>
      <c r="GBA152" s="22"/>
      <c r="GBB152" s="22"/>
      <c r="GBC152" s="22"/>
      <c r="GBD152" s="22"/>
      <c r="GBE152" s="22"/>
      <c r="GBF152" s="22"/>
      <c r="GBG152" s="22"/>
      <c r="GBH152" s="22"/>
      <c r="GBI152" s="22"/>
      <c r="GBJ152" s="22"/>
      <c r="GBK152" s="22"/>
      <c r="GBL152" s="22"/>
      <c r="GBM152" s="22"/>
      <c r="GBN152" s="22"/>
      <c r="GBO152" s="22"/>
      <c r="GBP152" s="22"/>
      <c r="GBQ152" s="22"/>
      <c r="GBR152" s="22"/>
      <c r="GBS152" s="22"/>
      <c r="GBT152" s="22"/>
      <c r="GBU152" s="22"/>
      <c r="GBV152" s="22"/>
      <c r="GBW152" s="22"/>
      <c r="GBX152" s="22"/>
      <c r="GBY152" s="22"/>
      <c r="GBZ152" s="22"/>
      <c r="GCA152" s="22"/>
      <c r="GCB152" s="22"/>
      <c r="GCC152" s="22"/>
      <c r="GCD152" s="22"/>
      <c r="GCE152" s="22"/>
      <c r="GCF152" s="22"/>
      <c r="GCG152" s="22"/>
      <c r="GCH152" s="22"/>
      <c r="GCI152" s="22"/>
      <c r="GCJ152" s="22"/>
      <c r="GCK152" s="22"/>
      <c r="GCL152" s="22"/>
      <c r="GCM152" s="22"/>
      <c r="GCN152" s="22"/>
      <c r="GCO152" s="22"/>
      <c r="GCP152" s="22"/>
      <c r="GCQ152" s="22"/>
      <c r="GCR152" s="22"/>
      <c r="GCS152" s="22"/>
      <c r="GCT152" s="22"/>
      <c r="GCU152" s="22"/>
      <c r="GCV152" s="22"/>
      <c r="GCW152" s="22"/>
      <c r="GCX152" s="22"/>
      <c r="GCY152" s="22"/>
      <c r="GCZ152" s="22"/>
      <c r="GDA152" s="22"/>
      <c r="GDB152" s="22"/>
      <c r="GDC152" s="22"/>
      <c r="GDD152" s="22"/>
      <c r="GDE152" s="22"/>
      <c r="GDF152" s="22"/>
      <c r="GDG152" s="22"/>
      <c r="GDH152" s="22"/>
      <c r="GDI152" s="22"/>
      <c r="GDJ152" s="22"/>
      <c r="GDK152" s="22"/>
      <c r="GDL152" s="22"/>
      <c r="GDM152" s="22"/>
      <c r="GDN152" s="22"/>
      <c r="GDO152" s="22"/>
      <c r="GDP152" s="22"/>
      <c r="GDQ152" s="22"/>
      <c r="GDR152" s="22"/>
      <c r="GDS152" s="22"/>
      <c r="GDT152" s="22"/>
      <c r="GDU152" s="22"/>
      <c r="GDV152" s="22"/>
      <c r="GDW152" s="22"/>
      <c r="GDX152" s="22"/>
      <c r="GDY152" s="22"/>
      <c r="GDZ152" s="22"/>
      <c r="GEA152" s="22"/>
      <c r="GEB152" s="22"/>
      <c r="GEC152" s="22"/>
      <c r="GED152" s="22"/>
      <c r="GEE152" s="22"/>
      <c r="GEF152" s="22"/>
      <c r="GEG152" s="22"/>
      <c r="GEH152" s="22"/>
      <c r="GEI152" s="22"/>
      <c r="GEJ152" s="22"/>
      <c r="GEK152" s="22"/>
      <c r="GEL152" s="22"/>
      <c r="GEM152" s="22"/>
      <c r="GEN152" s="22"/>
      <c r="GEO152" s="22"/>
      <c r="GEP152" s="22"/>
      <c r="GEQ152" s="22"/>
      <c r="GER152" s="22"/>
      <c r="GES152" s="22"/>
      <c r="GET152" s="22"/>
      <c r="GEU152" s="22"/>
      <c r="GEV152" s="22"/>
      <c r="GEW152" s="22"/>
      <c r="GEX152" s="22"/>
      <c r="GEY152" s="22"/>
      <c r="GEZ152" s="22"/>
      <c r="GFA152" s="22"/>
      <c r="GFB152" s="22"/>
      <c r="GFC152" s="22"/>
      <c r="GFD152" s="22"/>
      <c r="GFE152" s="22"/>
      <c r="GFF152" s="22"/>
      <c r="GFG152" s="22"/>
      <c r="GFH152" s="22"/>
      <c r="GFI152" s="22"/>
      <c r="GFJ152" s="22"/>
      <c r="GFK152" s="22"/>
      <c r="GFL152" s="22"/>
      <c r="GFM152" s="22"/>
      <c r="GFN152" s="22"/>
      <c r="GFO152" s="22"/>
      <c r="GFP152" s="22"/>
      <c r="GFQ152" s="22"/>
      <c r="GFR152" s="22"/>
      <c r="GFS152" s="22"/>
      <c r="GFT152" s="22"/>
      <c r="GFU152" s="22"/>
      <c r="GFV152" s="22"/>
      <c r="GFW152" s="22"/>
      <c r="GFX152" s="22"/>
      <c r="GFY152" s="22"/>
      <c r="GFZ152" s="22"/>
      <c r="GGA152" s="22"/>
      <c r="GGB152" s="22"/>
      <c r="GGC152" s="22"/>
      <c r="GGD152" s="22"/>
      <c r="GGE152" s="22"/>
      <c r="GGF152" s="22"/>
      <c r="GGG152" s="22"/>
      <c r="GGH152" s="22"/>
      <c r="GGI152" s="22"/>
      <c r="GGJ152" s="22"/>
      <c r="GGK152" s="22"/>
      <c r="GGL152" s="22"/>
      <c r="GGM152" s="22"/>
      <c r="GGN152" s="22"/>
      <c r="GGO152" s="22"/>
      <c r="GGP152" s="22"/>
      <c r="GGQ152" s="22"/>
      <c r="GGR152" s="22"/>
      <c r="GGS152" s="22"/>
      <c r="GGT152" s="22"/>
      <c r="GGU152" s="22"/>
      <c r="GGV152" s="22"/>
      <c r="GGW152" s="22"/>
      <c r="GGX152" s="22"/>
      <c r="GGY152" s="22"/>
      <c r="GGZ152" s="22"/>
      <c r="GHA152" s="22"/>
      <c r="GHB152" s="22"/>
      <c r="GHC152" s="22"/>
      <c r="GHD152" s="22"/>
      <c r="GHE152" s="22"/>
      <c r="GHF152" s="22"/>
      <c r="GHG152" s="22"/>
      <c r="GHH152" s="22"/>
      <c r="GHI152" s="22"/>
      <c r="GHJ152" s="22"/>
      <c r="GHK152" s="22"/>
      <c r="GHL152" s="22"/>
      <c r="GHM152" s="22"/>
      <c r="GHN152" s="22"/>
      <c r="GHO152" s="22"/>
      <c r="GHP152" s="22"/>
      <c r="GHQ152" s="22"/>
      <c r="GHR152" s="22"/>
      <c r="GHS152" s="22"/>
      <c r="GHT152" s="22"/>
      <c r="GHU152" s="22"/>
      <c r="GHV152" s="22"/>
      <c r="GHW152" s="22"/>
      <c r="GHX152" s="22"/>
      <c r="GHY152" s="22"/>
      <c r="GHZ152" s="22"/>
      <c r="GIA152" s="22"/>
      <c r="GIB152" s="22"/>
      <c r="GIC152" s="22"/>
      <c r="GID152" s="22"/>
      <c r="GIE152" s="22"/>
      <c r="GIF152" s="22"/>
      <c r="GIG152" s="22"/>
      <c r="GIH152" s="22"/>
      <c r="GII152" s="22"/>
      <c r="GIJ152" s="22"/>
      <c r="GIK152" s="22"/>
      <c r="GIL152" s="22"/>
      <c r="GIM152" s="22"/>
      <c r="GIN152" s="22"/>
      <c r="GIO152" s="22"/>
      <c r="GIP152" s="22"/>
      <c r="GIQ152" s="22"/>
      <c r="GIR152" s="22"/>
      <c r="GIS152" s="22"/>
      <c r="GIT152" s="22"/>
      <c r="GIU152" s="22"/>
      <c r="GIV152" s="22"/>
      <c r="GIW152" s="22"/>
      <c r="GIX152" s="22"/>
      <c r="GIY152" s="22"/>
      <c r="GIZ152" s="22"/>
      <c r="GJA152" s="22"/>
      <c r="GJB152" s="22"/>
      <c r="GJC152" s="22"/>
      <c r="GJD152" s="22"/>
      <c r="GJE152" s="22"/>
      <c r="GJF152" s="22"/>
      <c r="GJG152" s="22"/>
      <c r="GJH152" s="22"/>
      <c r="GJI152" s="22"/>
      <c r="GJJ152" s="22"/>
      <c r="GJK152" s="22"/>
      <c r="GJL152" s="22"/>
      <c r="GJM152" s="22"/>
      <c r="GJN152" s="22"/>
      <c r="GJO152" s="22"/>
      <c r="GJP152" s="22"/>
      <c r="GJQ152" s="22"/>
      <c r="GJR152" s="22"/>
      <c r="GJS152" s="22"/>
      <c r="GJT152" s="22"/>
      <c r="GJU152" s="22"/>
      <c r="GJV152" s="22"/>
      <c r="GJW152" s="22"/>
      <c r="GJX152" s="22"/>
      <c r="GJY152" s="22"/>
      <c r="GJZ152" s="22"/>
      <c r="GKA152" s="22"/>
      <c r="GKB152" s="22"/>
      <c r="GKC152" s="22"/>
      <c r="GKD152" s="22"/>
      <c r="GKE152" s="22"/>
      <c r="GKF152" s="22"/>
      <c r="GKG152" s="22"/>
      <c r="GKH152" s="22"/>
      <c r="GKI152" s="22"/>
      <c r="GKJ152" s="22"/>
      <c r="GKK152" s="22"/>
      <c r="GKL152" s="22"/>
      <c r="GKM152" s="22"/>
      <c r="GKN152" s="22"/>
      <c r="GKO152" s="22"/>
      <c r="GKP152" s="22"/>
      <c r="GKQ152" s="22"/>
      <c r="GKR152" s="22"/>
      <c r="GKS152" s="22"/>
      <c r="GKT152" s="22"/>
      <c r="GKU152" s="22"/>
      <c r="GKV152" s="22"/>
      <c r="GKW152" s="22"/>
      <c r="GKX152" s="22"/>
      <c r="GKY152" s="22"/>
      <c r="GKZ152" s="22"/>
      <c r="GLA152" s="22"/>
      <c r="GLB152" s="22"/>
      <c r="GLC152" s="22"/>
      <c r="GLD152" s="22"/>
      <c r="GLE152" s="22"/>
      <c r="GLF152" s="22"/>
      <c r="GLG152" s="22"/>
      <c r="GLH152" s="22"/>
      <c r="GLI152" s="22"/>
      <c r="GLJ152" s="22"/>
      <c r="GLK152" s="22"/>
      <c r="GLL152" s="22"/>
      <c r="GLM152" s="22"/>
      <c r="GLN152" s="22"/>
      <c r="GLO152" s="22"/>
      <c r="GLP152" s="22"/>
      <c r="GLQ152" s="22"/>
      <c r="GLR152" s="22"/>
      <c r="GLS152" s="22"/>
      <c r="GLT152" s="22"/>
      <c r="GLU152" s="22"/>
      <c r="GLV152" s="22"/>
      <c r="GLW152" s="22"/>
      <c r="GLX152" s="22"/>
      <c r="GLY152" s="22"/>
      <c r="GLZ152" s="22"/>
      <c r="GMA152" s="22"/>
      <c r="GMB152" s="22"/>
      <c r="GMC152" s="22"/>
      <c r="GMD152" s="22"/>
      <c r="GME152" s="22"/>
      <c r="GMF152" s="22"/>
      <c r="GMG152" s="22"/>
      <c r="GMH152" s="22"/>
      <c r="GMI152" s="22"/>
      <c r="GMJ152" s="22"/>
      <c r="GMK152" s="22"/>
      <c r="GML152" s="22"/>
      <c r="GMM152" s="22"/>
      <c r="GMN152" s="22"/>
      <c r="GMO152" s="22"/>
      <c r="GMP152" s="22"/>
      <c r="GMQ152" s="22"/>
      <c r="GMR152" s="22"/>
      <c r="GMS152" s="22"/>
      <c r="GMT152" s="22"/>
      <c r="GMU152" s="22"/>
      <c r="GMV152" s="22"/>
      <c r="GMW152" s="22"/>
      <c r="GMX152" s="22"/>
      <c r="GMY152" s="22"/>
      <c r="GMZ152" s="22"/>
      <c r="GNA152" s="22"/>
      <c r="GNB152" s="22"/>
      <c r="GNC152" s="22"/>
      <c r="GND152" s="22"/>
      <c r="GNE152" s="22"/>
      <c r="GNF152" s="22"/>
      <c r="GNG152" s="22"/>
      <c r="GNH152" s="22"/>
      <c r="GNI152" s="22"/>
      <c r="GNJ152" s="22"/>
      <c r="GNK152" s="22"/>
      <c r="GNL152" s="22"/>
      <c r="GNM152" s="22"/>
      <c r="GNN152" s="22"/>
      <c r="GNO152" s="22"/>
      <c r="GNP152" s="22"/>
      <c r="GNQ152" s="22"/>
      <c r="GNR152" s="22"/>
      <c r="GNS152" s="22"/>
      <c r="GNT152" s="22"/>
      <c r="GNU152" s="22"/>
      <c r="GNV152" s="22"/>
      <c r="GNW152" s="22"/>
      <c r="GNX152" s="22"/>
      <c r="GNY152" s="22"/>
      <c r="GNZ152" s="22"/>
      <c r="GOA152" s="22"/>
      <c r="GOB152" s="22"/>
      <c r="GOC152" s="22"/>
      <c r="GOD152" s="22"/>
      <c r="GOE152" s="22"/>
      <c r="GOF152" s="22"/>
      <c r="GOG152" s="22"/>
      <c r="GOH152" s="22"/>
      <c r="GOI152" s="22"/>
      <c r="GOJ152" s="22"/>
      <c r="GOK152" s="22"/>
      <c r="GOL152" s="22"/>
      <c r="GOM152" s="22"/>
      <c r="GON152" s="22"/>
      <c r="GOO152" s="22"/>
      <c r="GOP152" s="22"/>
      <c r="GOQ152" s="22"/>
      <c r="GOR152" s="22"/>
      <c r="GOS152" s="22"/>
      <c r="GOT152" s="22"/>
      <c r="GOU152" s="22"/>
      <c r="GOV152" s="22"/>
      <c r="GOW152" s="22"/>
      <c r="GOX152" s="22"/>
      <c r="GOY152" s="22"/>
      <c r="GOZ152" s="22"/>
      <c r="GPA152" s="22"/>
      <c r="GPB152" s="22"/>
      <c r="GPC152" s="22"/>
      <c r="GPD152" s="22"/>
      <c r="GPE152" s="22"/>
      <c r="GPF152" s="22"/>
      <c r="GPG152" s="22"/>
      <c r="GPH152" s="22"/>
      <c r="GPI152" s="22"/>
      <c r="GPJ152" s="22"/>
      <c r="GPK152" s="22"/>
      <c r="GPL152" s="22"/>
      <c r="GPM152" s="22"/>
      <c r="GPN152" s="22"/>
      <c r="GPO152" s="22"/>
      <c r="GPP152" s="22"/>
      <c r="GPQ152" s="22"/>
      <c r="GPR152" s="22"/>
      <c r="GPS152" s="22"/>
      <c r="GPT152" s="22"/>
      <c r="GPU152" s="22"/>
      <c r="GPV152" s="22"/>
      <c r="GPW152" s="22"/>
      <c r="GPX152" s="22"/>
      <c r="GPY152" s="22"/>
      <c r="GPZ152" s="22"/>
      <c r="GQA152" s="22"/>
      <c r="GQB152" s="22"/>
      <c r="GQC152" s="22"/>
      <c r="GQD152" s="22"/>
      <c r="GQE152" s="22"/>
      <c r="GQF152" s="22"/>
      <c r="GQG152" s="22"/>
      <c r="GQH152" s="22"/>
      <c r="GQI152" s="22"/>
      <c r="GQJ152" s="22"/>
      <c r="GQK152" s="22"/>
      <c r="GQL152" s="22"/>
      <c r="GQM152" s="22"/>
      <c r="GQN152" s="22"/>
      <c r="GQO152" s="22"/>
      <c r="GQP152" s="22"/>
      <c r="GQQ152" s="22"/>
      <c r="GQR152" s="22"/>
      <c r="GQS152" s="22"/>
      <c r="GQT152" s="22"/>
      <c r="GQU152" s="22"/>
      <c r="GQV152" s="22"/>
      <c r="GQW152" s="22"/>
      <c r="GQX152" s="22"/>
      <c r="GQY152" s="22"/>
      <c r="GQZ152" s="22"/>
      <c r="GRA152" s="22"/>
      <c r="GRB152" s="22"/>
      <c r="GRC152" s="22"/>
      <c r="GRD152" s="22"/>
      <c r="GRE152" s="22"/>
      <c r="GRF152" s="22"/>
      <c r="GRG152" s="22"/>
      <c r="GRH152" s="22"/>
      <c r="GRI152" s="22"/>
      <c r="GRJ152" s="22"/>
      <c r="GRK152" s="22"/>
      <c r="GRL152" s="22"/>
      <c r="GRM152" s="22"/>
      <c r="GRN152" s="22"/>
      <c r="GRO152" s="22"/>
      <c r="GRP152" s="22"/>
      <c r="GRQ152" s="22"/>
      <c r="GRR152" s="22"/>
      <c r="GRS152" s="22"/>
      <c r="GRT152" s="22"/>
      <c r="GRU152" s="22"/>
      <c r="GRV152" s="22"/>
      <c r="GRW152" s="22"/>
      <c r="GRX152" s="22"/>
      <c r="GRY152" s="22"/>
      <c r="GRZ152" s="22"/>
      <c r="GSA152" s="22"/>
      <c r="GSB152" s="22"/>
      <c r="GSC152" s="22"/>
      <c r="GSD152" s="22"/>
      <c r="GSE152" s="22"/>
      <c r="GSF152" s="22"/>
      <c r="GSG152" s="22"/>
      <c r="GSH152" s="22"/>
      <c r="GSI152" s="22"/>
      <c r="GSJ152" s="22"/>
      <c r="GSK152" s="22"/>
      <c r="GSL152" s="22"/>
      <c r="GSM152" s="22"/>
      <c r="GSN152" s="22"/>
      <c r="GSO152" s="22"/>
      <c r="GSP152" s="22"/>
      <c r="GSQ152" s="22"/>
      <c r="GSR152" s="22"/>
      <c r="GSS152" s="22"/>
      <c r="GST152" s="22"/>
      <c r="GSU152" s="22"/>
      <c r="GSV152" s="22"/>
      <c r="GSW152" s="22"/>
      <c r="GSX152" s="22"/>
      <c r="GSY152" s="22"/>
      <c r="GSZ152" s="22"/>
      <c r="GTA152" s="22"/>
      <c r="GTB152" s="22"/>
      <c r="GTC152" s="22"/>
      <c r="GTD152" s="22"/>
      <c r="GTE152" s="22"/>
      <c r="GTF152" s="22"/>
      <c r="GTG152" s="22"/>
      <c r="GTH152" s="22"/>
      <c r="GTI152" s="22"/>
      <c r="GTJ152" s="22"/>
      <c r="GTK152" s="22"/>
      <c r="GTL152" s="22"/>
      <c r="GTM152" s="22"/>
      <c r="GTN152" s="22"/>
      <c r="GTO152" s="22"/>
      <c r="GTP152" s="22"/>
      <c r="GTQ152" s="22"/>
      <c r="GTR152" s="22"/>
      <c r="GTS152" s="22"/>
      <c r="GTT152" s="22"/>
      <c r="GTU152" s="22"/>
      <c r="GTV152" s="22"/>
      <c r="GTW152" s="22"/>
      <c r="GTX152" s="22"/>
      <c r="GTY152" s="22"/>
      <c r="GTZ152" s="22"/>
      <c r="GUA152" s="22"/>
      <c r="GUB152" s="22"/>
      <c r="GUC152" s="22"/>
      <c r="GUD152" s="22"/>
      <c r="GUE152" s="22"/>
      <c r="GUF152" s="22"/>
      <c r="GUG152" s="22"/>
      <c r="GUH152" s="22"/>
      <c r="GUI152" s="22"/>
      <c r="GUJ152" s="22"/>
      <c r="GUK152" s="22"/>
      <c r="GUL152" s="22"/>
      <c r="GUM152" s="22"/>
      <c r="GUN152" s="22"/>
      <c r="GUO152" s="22"/>
      <c r="GUP152" s="22"/>
      <c r="GUQ152" s="22"/>
      <c r="GUR152" s="22"/>
      <c r="GUS152" s="22"/>
      <c r="GUT152" s="22"/>
      <c r="GUU152" s="22"/>
      <c r="GUV152" s="22"/>
      <c r="GUW152" s="22"/>
      <c r="GUX152" s="22"/>
      <c r="GUY152" s="22"/>
      <c r="GUZ152" s="22"/>
      <c r="GVA152" s="22"/>
      <c r="GVB152" s="22"/>
      <c r="GVC152" s="22"/>
      <c r="GVD152" s="22"/>
      <c r="GVE152" s="22"/>
      <c r="GVF152" s="22"/>
      <c r="GVG152" s="22"/>
      <c r="GVH152" s="22"/>
      <c r="GVI152" s="22"/>
      <c r="GVJ152" s="22"/>
      <c r="GVK152" s="22"/>
      <c r="GVL152" s="22"/>
      <c r="GVM152" s="22"/>
      <c r="GVN152" s="22"/>
      <c r="GVO152" s="22"/>
      <c r="GVP152" s="22"/>
      <c r="GVQ152" s="22"/>
      <c r="GVR152" s="22"/>
      <c r="GVS152" s="22"/>
      <c r="GVT152" s="22"/>
      <c r="GVU152" s="22"/>
      <c r="GVV152" s="22"/>
      <c r="GVW152" s="22"/>
      <c r="GVX152" s="22"/>
      <c r="GVY152" s="22"/>
      <c r="GVZ152" s="22"/>
      <c r="GWA152" s="22"/>
      <c r="GWB152" s="22"/>
      <c r="GWC152" s="22"/>
      <c r="GWD152" s="22"/>
      <c r="GWE152" s="22"/>
      <c r="GWF152" s="22"/>
      <c r="GWG152" s="22"/>
      <c r="GWH152" s="22"/>
      <c r="GWI152" s="22"/>
      <c r="GWJ152" s="22"/>
      <c r="GWK152" s="22"/>
      <c r="GWL152" s="22"/>
      <c r="GWM152" s="22"/>
      <c r="GWN152" s="22"/>
      <c r="GWO152" s="22"/>
      <c r="GWP152" s="22"/>
      <c r="GWQ152" s="22"/>
      <c r="GWR152" s="22"/>
      <c r="GWS152" s="22"/>
      <c r="GWT152" s="22"/>
      <c r="GWU152" s="22"/>
      <c r="GWV152" s="22"/>
      <c r="GWW152" s="22"/>
      <c r="GWX152" s="22"/>
      <c r="GWY152" s="22"/>
      <c r="GWZ152" s="22"/>
      <c r="GXA152" s="22"/>
      <c r="GXB152" s="22"/>
      <c r="GXC152" s="22"/>
      <c r="GXD152" s="22"/>
      <c r="GXE152" s="22"/>
      <c r="GXF152" s="22"/>
      <c r="GXG152" s="22"/>
      <c r="GXH152" s="22"/>
      <c r="GXI152" s="22"/>
      <c r="GXJ152" s="22"/>
      <c r="GXK152" s="22"/>
      <c r="GXL152" s="22"/>
      <c r="GXM152" s="22"/>
      <c r="GXN152" s="22"/>
      <c r="GXO152" s="22"/>
      <c r="GXP152" s="22"/>
      <c r="GXQ152" s="22"/>
      <c r="GXR152" s="22"/>
      <c r="GXS152" s="22"/>
      <c r="GXT152" s="22"/>
      <c r="GXU152" s="22"/>
      <c r="GXV152" s="22"/>
      <c r="GXW152" s="22"/>
      <c r="GXX152" s="22"/>
      <c r="GXY152" s="22"/>
      <c r="GXZ152" s="22"/>
      <c r="GYA152" s="22"/>
      <c r="GYB152" s="22"/>
      <c r="GYC152" s="22"/>
      <c r="GYD152" s="22"/>
      <c r="GYE152" s="22"/>
      <c r="GYF152" s="22"/>
      <c r="GYG152" s="22"/>
      <c r="GYH152" s="22"/>
      <c r="GYI152" s="22"/>
      <c r="GYJ152" s="22"/>
      <c r="GYK152" s="22"/>
      <c r="GYL152" s="22"/>
      <c r="GYM152" s="22"/>
      <c r="GYN152" s="22"/>
      <c r="GYO152" s="22"/>
      <c r="GYP152" s="22"/>
      <c r="GYQ152" s="22"/>
      <c r="GYR152" s="22"/>
      <c r="GYS152" s="22"/>
      <c r="GYT152" s="22"/>
      <c r="GYU152" s="22"/>
      <c r="GYV152" s="22"/>
      <c r="GYW152" s="22"/>
      <c r="GYX152" s="22"/>
      <c r="GYY152" s="22"/>
      <c r="GYZ152" s="22"/>
      <c r="GZA152" s="22"/>
      <c r="GZB152" s="22"/>
      <c r="GZC152" s="22"/>
      <c r="GZD152" s="22"/>
      <c r="GZE152" s="22"/>
      <c r="GZF152" s="22"/>
      <c r="GZG152" s="22"/>
      <c r="GZH152" s="22"/>
      <c r="GZI152" s="22"/>
      <c r="GZJ152" s="22"/>
      <c r="GZK152" s="22"/>
      <c r="GZL152" s="22"/>
      <c r="GZM152" s="22"/>
      <c r="GZN152" s="22"/>
      <c r="GZO152" s="22"/>
      <c r="GZP152" s="22"/>
      <c r="GZQ152" s="22"/>
      <c r="GZR152" s="22"/>
      <c r="GZS152" s="22"/>
      <c r="GZT152" s="22"/>
      <c r="GZU152" s="22"/>
      <c r="GZV152" s="22"/>
      <c r="GZW152" s="22"/>
      <c r="GZX152" s="22"/>
      <c r="GZY152" s="22"/>
      <c r="GZZ152" s="22"/>
      <c r="HAA152" s="22"/>
      <c r="HAB152" s="22"/>
      <c r="HAC152" s="22"/>
      <c r="HAD152" s="22"/>
      <c r="HAE152" s="22"/>
      <c r="HAF152" s="22"/>
      <c r="HAG152" s="22"/>
      <c r="HAH152" s="22"/>
      <c r="HAI152" s="22"/>
      <c r="HAJ152" s="22"/>
      <c r="HAK152" s="22"/>
      <c r="HAL152" s="22"/>
      <c r="HAM152" s="22"/>
      <c r="HAN152" s="22"/>
      <c r="HAO152" s="22"/>
      <c r="HAP152" s="22"/>
      <c r="HAQ152" s="22"/>
      <c r="HAR152" s="22"/>
      <c r="HAS152" s="22"/>
      <c r="HAT152" s="22"/>
      <c r="HAU152" s="22"/>
      <c r="HAV152" s="22"/>
      <c r="HAW152" s="22"/>
      <c r="HAX152" s="22"/>
      <c r="HAY152" s="22"/>
      <c r="HAZ152" s="22"/>
      <c r="HBA152" s="22"/>
      <c r="HBB152" s="22"/>
      <c r="HBC152" s="22"/>
      <c r="HBD152" s="22"/>
      <c r="HBE152" s="22"/>
      <c r="HBF152" s="22"/>
      <c r="HBG152" s="22"/>
      <c r="HBH152" s="22"/>
      <c r="HBI152" s="22"/>
      <c r="HBJ152" s="22"/>
      <c r="HBK152" s="22"/>
      <c r="HBL152" s="22"/>
      <c r="HBM152" s="22"/>
      <c r="HBN152" s="22"/>
      <c r="HBO152" s="22"/>
      <c r="HBP152" s="22"/>
      <c r="HBQ152" s="22"/>
      <c r="HBR152" s="22"/>
      <c r="HBS152" s="22"/>
      <c r="HBT152" s="22"/>
      <c r="HBU152" s="22"/>
      <c r="HBV152" s="22"/>
      <c r="HBW152" s="22"/>
      <c r="HBX152" s="22"/>
      <c r="HBY152" s="22"/>
      <c r="HBZ152" s="22"/>
      <c r="HCA152" s="22"/>
      <c r="HCB152" s="22"/>
      <c r="HCC152" s="22"/>
      <c r="HCD152" s="22"/>
      <c r="HCE152" s="22"/>
      <c r="HCF152" s="22"/>
      <c r="HCG152" s="22"/>
      <c r="HCH152" s="22"/>
      <c r="HCI152" s="22"/>
      <c r="HCJ152" s="22"/>
      <c r="HCK152" s="22"/>
      <c r="HCL152" s="22"/>
      <c r="HCM152" s="22"/>
      <c r="HCN152" s="22"/>
      <c r="HCO152" s="22"/>
      <c r="HCP152" s="22"/>
      <c r="HCQ152" s="22"/>
      <c r="HCR152" s="22"/>
      <c r="HCS152" s="22"/>
      <c r="HCT152" s="22"/>
      <c r="HCU152" s="22"/>
      <c r="HCV152" s="22"/>
      <c r="HCW152" s="22"/>
      <c r="HCX152" s="22"/>
      <c r="HCY152" s="22"/>
      <c r="HCZ152" s="22"/>
      <c r="HDA152" s="22"/>
      <c r="HDB152" s="22"/>
      <c r="HDC152" s="22"/>
      <c r="HDD152" s="22"/>
      <c r="HDE152" s="22"/>
      <c r="HDF152" s="22"/>
      <c r="HDG152" s="22"/>
      <c r="HDH152" s="22"/>
      <c r="HDI152" s="22"/>
      <c r="HDJ152" s="22"/>
      <c r="HDK152" s="22"/>
      <c r="HDL152" s="22"/>
      <c r="HDM152" s="22"/>
      <c r="HDN152" s="22"/>
      <c r="HDO152" s="22"/>
      <c r="HDP152" s="22"/>
      <c r="HDQ152" s="22"/>
      <c r="HDR152" s="22"/>
      <c r="HDS152" s="22"/>
      <c r="HDT152" s="22"/>
      <c r="HDU152" s="22"/>
      <c r="HDV152" s="22"/>
      <c r="HDW152" s="22"/>
      <c r="HDX152" s="22"/>
      <c r="HDY152" s="22"/>
      <c r="HDZ152" s="22"/>
      <c r="HEA152" s="22"/>
      <c r="HEB152" s="22"/>
      <c r="HEC152" s="22"/>
      <c r="HED152" s="22"/>
      <c r="HEE152" s="22"/>
      <c r="HEF152" s="22"/>
      <c r="HEG152" s="22"/>
      <c r="HEH152" s="22"/>
      <c r="HEI152" s="22"/>
      <c r="HEJ152" s="22"/>
      <c r="HEK152" s="22"/>
      <c r="HEL152" s="22"/>
      <c r="HEM152" s="22"/>
      <c r="HEN152" s="22"/>
      <c r="HEO152" s="22"/>
      <c r="HEP152" s="22"/>
      <c r="HEQ152" s="22"/>
      <c r="HER152" s="22"/>
      <c r="HES152" s="22"/>
      <c r="HET152" s="22"/>
      <c r="HEU152" s="22"/>
      <c r="HEV152" s="22"/>
      <c r="HEW152" s="22"/>
      <c r="HEX152" s="22"/>
      <c r="HEY152" s="22"/>
      <c r="HEZ152" s="22"/>
      <c r="HFA152" s="22"/>
      <c r="HFB152" s="22"/>
      <c r="HFC152" s="22"/>
      <c r="HFD152" s="22"/>
      <c r="HFE152" s="22"/>
      <c r="HFF152" s="22"/>
      <c r="HFG152" s="22"/>
      <c r="HFH152" s="22"/>
      <c r="HFI152" s="22"/>
      <c r="HFJ152" s="22"/>
      <c r="HFK152" s="22"/>
      <c r="HFL152" s="22"/>
      <c r="HFM152" s="22"/>
      <c r="HFN152" s="22"/>
      <c r="HFO152" s="22"/>
      <c r="HFP152" s="22"/>
      <c r="HFQ152" s="22"/>
      <c r="HFR152" s="22"/>
      <c r="HFS152" s="22"/>
      <c r="HFT152" s="22"/>
      <c r="HFU152" s="22"/>
      <c r="HFV152" s="22"/>
      <c r="HFW152" s="22"/>
      <c r="HFX152" s="22"/>
      <c r="HFY152" s="22"/>
      <c r="HFZ152" s="22"/>
      <c r="HGA152" s="22"/>
      <c r="HGB152" s="22"/>
      <c r="HGC152" s="22"/>
      <c r="HGD152" s="22"/>
      <c r="HGE152" s="22"/>
      <c r="HGF152" s="22"/>
      <c r="HGG152" s="22"/>
      <c r="HGH152" s="22"/>
      <c r="HGI152" s="22"/>
      <c r="HGJ152" s="22"/>
      <c r="HGK152" s="22"/>
      <c r="HGL152" s="22"/>
      <c r="HGM152" s="22"/>
      <c r="HGN152" s="22"/>
      <c r="HGO152" s="22"/>
      <c r="HGP152" s="22"/>
      <c r="HGQ152" s="22"/>
      <c r="HGR152" s="22"/>
      <c r="HGS152" s="22"/>
      <c r="HGT152" s="22"/>
      <c r="HGU152" s="22"/>
      <c r="HGV152" s="22"/>
      <c r="HGW152" s="22"/>
      <c r="HGX152" s="22"/>
      <c r="HGY152" s="22"/>
      <c r="HGZ152" s="22"/>
      <c r="HHA152" s="22"/>
      <c r="HHB152" s="22"/>
      <c r="HHC152" s="22"/>
      <c r="HHD152" s="22"/>
      <c r="HHE152" s="22"/>
      <c r="HHF152" s="22"/>
      <c r="HHG152" s="22"/>
      <c r="HHH152" s="22"/>
      <c r="HHI152" s="22"/>
      <c r="HHJ152" s="22"/>
      <c r="HHK152" s="22"/>
      <c r="HHL152" s="22"/>
      <c r="HHM152" s="22"/>
      <c r="HHN152" s="22"/>
      <c r="HHO152" s="22"/>
      <c r="HHP152" s="22"/>
      <c r="HHQ152" s="22"/>
      <c r="HHR152" s="22"/>
      <c r="HHS152" s="22"/>
      <c r="HHT152" s="22"/>
      <c r="HHU152" s="22"/>
      <c r="HHV152" s="22"/>
      <c r="HHW152" s="22"/>
      <c r="HHX152" s="22"/>
      <c r="HHY152" s="22"/>
      <c r="HHZ152" s="22"/>
      <c r="HIA152" s="22"/>
      <c r="HIB152" s="22"/>
      <c r="HIC152" s="22"/>
      <c r="HID152" s="22"/>
      <c r="HIE152" s="22"/>
      <c r="HIF152" s="22"/>
      <c r="HIG152" s="22"/>
      <c r="HIH152" s="22"/>
      <c r="HII152" s="22"/>
      <c r="HIJ152" s="22"/>
      <c r="HIK152" s="22"/>
      <c r="HIL152" s="22"/>
      <c r="HIM152" s="22"/>
      <c r="HIN152" s="22"/>
      <c r="HIO152" s="22"/>
      <c r="HIP152" s="22"/>
      <c r="HIQ152" s="22"/>
      <c r="HIR152" s="22"/>
      <c r="HIS152" s="22"/>
      <c r="HIT152" s="22"/>
      <c r="HIU152" s="22"/>
      <c r="HIV152" s="22"/>
      <c r="HIW152" s="22"/>
      <c r="HIX152" s="22"/>
      <c r="HIY152" s="22"/>
      <c r="HIZ152" s="22"/>
      <c r="HJA152" s="22"/>
      <c r="HJB152" s="22"/>
      <c r="HJC152" s="22"/>
      <c r="HJD152" s="22"/>
      <c r="HJE152" s="22"/>
      <c r="HJF152" s="22"/>
      <c r="HJG152" s="22"/>
      <c r="HJH152" s="22"/>
      <c r="HJI152" s="22"/>
      <c r="HJJ152" s="22"/>
      <c r="HJK152" s="22"/>
      <c r="HJL152" s="22"/>
      <c r="HJM152" s="22"/>
      <c r="HJN152" s="22"/>
      <c r="HJO152" s="22"/>
      <c r="HJP152" s="22"/>
      <c r="HJQ152" s="22"/>
      <c r="HJR152" s="22"/>
      <c r="HJS152" s="22"/>
      <c r="HJT152" s="22"/>
      <c r="HJU152" s="22"/>
      <c r="HJV152" s="22"/>
      <c r="HJW152" s="22"/>
      <c r="HJX152" s="22"/>
      <c r="HJY152" s="22"/>
      <c r="HJZ152" s="22"/>
      <c r="HKA152" s="22"/>
      <c r="HKB152" s="22"/>
      <c r="HKC152" s="22"/>
      <c r="HKD152" s="22"/>
      <c r="HKE152" s="22"/>
      <c r="HKF152" s="22"/>
      <c r="HKG152" s="22"/>
      <c r="HKH152" s="22"/>
      <c r="HKI152" s="22"/>
      <c r="HKJ152" s="22"/>
      <c r="HKK152" s="22"/>
      <c r="HKL152" s="22"/>
      <c r="HKM152" s="22"/>
      <c r="HKN152" s="22"/>
      <c r="HKO152" s="22"/>
      <c r="HKP152" s="22"/>
      <c r="HKQ152" s="22"/>
      <c r="HKR152" s="22"/>
      <c r="HKS152" s="22"/>
      <c r="HKT152" s="22"/>
      <c r="HKU152" s="22"/>
      <c r="HKV152" s="22"/>
      <c r="HKW152" s="22"/>
      <c r="HKX152" s="22"/>
      <c r="HKY152" s="22"/>
      <c r="HKZ152" s="22"/>
      <c r="HLA152" s="22"/>
      <c r="HLB152" s="22"/>
      <c r="HLC152" s="22"/>
      <c r="HLD152" s="22"/>
      <c r="HLE152" s="22"/>
      <c r="HLF152" s="22"/>
      <c r="HLG152" s="22"/>
      <c r="HLH152" s="22"/>
      <c r="HLI152" s="22"/>
      <c r="HLJ152" s="22"/>
      <c r="HLK152" s="22"/>
      <c r="HLL152" s="22"/>
      <c r="HLM152" s="22"/>
      <c r="HLN152" s="22"/>
      <c r="HLO152" s="22"/>
      <c r="HLP152" s="22"/>
      <c r="HLQ152" s="22"/>
      <c r="HLR152" s="22"/>
      <c r="HLS152" s="22"/>
      <c r="HLT152" s="22"/>
      <c r="HLU152" s="22"/>
      <c r="HLV152" s="22"/>
      <c r="HLW152" s="22"/>
      <c r="HLX152" s="22"/>
      <c r="HLY152" s="22"/>
      <c r="HLZ152" s="22"/>
      <c r="HMA152" s="22"/>
      <c r="HMB152" s="22"/>
      <c r="HMC152" s="22"/>
      <c r="HMD152" s="22"/>
      <c r="HME152" s="22"/>
      <c r="HMF152" s="22"/>
      <c r="HMG152" s="22"/>
      <c r="HMH152" s="22"/>
      <c r="HMI152" s="22"/>
      <c r="HMJ152" s="22"/>
      <c r="HMK152" s="22"/>
      <c r="HML152" s="22"/>
      <c r="HMM152" s="22"/>
      <c r="HMN152" s="22"/>
      <c r="HMO152" s="22"/>
      <c r="HMP152" s="22"/>
      <c r="HMQ152" s="22"/>
      <c r="HMR152" s="22"/>
      <c r="HMS152" s="22"/>
      <c r="HMT152" s="22"/>
      <c r="HMU152" s="22"/>
      <c r="HMV152" s="22"/>
      <c r="HMW152" s="22"/>
      <c r="HMX152" s="22"/>
      <c r="HMY152" s="22"/>
      <c r="HMZ152" s="22"/>
      <c r="HNA152" s="22"/>
      <c r="HNB152" s="22"/>
      <c r="HNC152" s="22"/>
      <c r="HND152" s="22"/>
      <c r="HNE152" s="22"/>
      <c r="HNF152" s="22"/>
      <c r="HNG152" s="22"/>
      <c r="HNH152" s="22"/>
      <c r="HNI152" s="22"/>
      <c r="HNJ152" s="22"/>
      <c r="HNK152" s="22"/>
      <c r="HNL152" s="22"/>
      <c r="HNM152" s="22"/>
      <c r="HNN152" s="22"/>
      <c r="HNO152" s="22"/>
      <c r="HNP152" s="22"/>
      <c r="HNQ152" s="22"/>
      <c r="HNR152" s="22"/>
      <c r="HNS152" s="22"/>
      <c r="HNT152" s="22"/>
      <c r="HNU152" s="22"/>
      <c r="HNV152" s="22"/>
      <c r="HNW152" s="22"/>
      <c r="HNX152" s="22"/>
      <c r="HNY152" s="22"/>
      <c r="HNZ152" s="22"/>
      <c r="HOA152" s="22"/>
      <c r="HOB152" s="22"/>
      <c r="HOC152" s="22"/>
      <c r="HOD152" s="22"/>
      <c r="HOE152" s="22"/>
      <c r="HOF152" s="22"/>
      <c r="HOG152" s="22"/>
      <c r="HOH152" s="22"/>
      <c r="HOI152" s="22"/>
      <c r="HOJ152" s="22"/>
      <c r="HOK152" s="22"/>
      <c r="HOL152" s="22"/>
      <c r="HOM152" s="22"/>
      <c r="HON152" s="22"/>
      <c r="HOO152" s="22"/>
      <c r="HOP152" s="22"/>
      <c r="HOQ152" s="22"/>
      <c r="HOR152" s="22"/>
      <c r="HOS152" s="22"/>
      <c r="HOT152" s="22"/>
      <c r="HOU152" s="22"/>
      <c r="HOV152" s="22"/>
      <c r="HOW152" s="22"/>
      <c r="HOX152" s="22"/>
      <c r="HOY152" s="22"/>
      <c r="HOZ152" s="22"/>
      <c r="HPA152" s="22"/>
      <c r="HPB152" s="22"/>
      <c r="HPC152" s="22"/>
      <c r="HPD152" s="22"/>
      <c r="HPE152" s="22"/>
      <c r="HPF152" s="22"/>
      <c r="HPG152" s="22"/>
      <c r="HPH152" s="22"/>
      <c r="HPI152" s="22"/>
      <c r="HPJ152" s="22"/>
      <c r="HPK152" s="22"/>
      <c r="HPL152" s="22"/>
      <c r="HPM152" s="22"/>
      <c r="HPN152" s="22"/>
      <c r="HPO152" s="22"/>
      <c r="HPP152" s="22"/>
      <c r="HPQ152" s="22"/>
      <c r="HPR152" s="22"/>
      <c r="HPS152" s="22"/>
      <c r="HPT152" s="22"/>
      <c r="HPU152" s="22"/>
      <c r="HPV152" s="22"/>
      <c r="HPW152" s="22"/>
      <c r="HPX152" s="22"/>
      <c r="HPY152" s="22"/>
      <c r="HPZ152" s="22"/>
      <c r="HQA152" s="22"/>
      <c r="HQB152" s="22"/>
      <c r="HQC152" s="22"/>
      <c r="HQD152" s="22"/>
      <c r="HQE152" s="22"/>
      <c r="HQF152" s="22"/>
      <c r="HQG152" s="22"/>
      <c r="HQH152" s="22"/>
      <c r="HQI152" s="22"/>
      <c r="HQJ152" s="22"/>
      <c r="HQK152" s="22"/>
      <c r="HQL152" s="22"/>
      <c r="HQM152" s="22"/>
      <c r="HQN152" s="22"/>
      <c r="HQO152" s="22"/>
      <c r="HQP152" s="22"/>
      <c r="HQQ152" s="22"/>
      <c r="HQR152" s="22"/>
      <c r="HQS152" s="22"/>
      <c r="HQT152" s="22"/>
      <c r="HQU152" s="22"/>
      <c r="HQV152" s="22"/>
      <c r="HQW152" s="22"/>
      <c r="HQX152" s="22"/>
      <c r="HQY152" s="22"/>
      <c r="HQZ152" s="22"/>
      <c r="HRA152" s="22"/>
      <c r="HRB152" s="22"/>
      <c r="HRC152" s="22"/>
      <c r="HRD152" s="22"/>
      <c r="HRE152" s="22"/>
      <c r="HRF152" s="22"/>
      <c r="HRG152" s="22"/>
      <c r="HRH152" s="22"/>
      <c r="HRI152" s="22"/>
      <c r="HRJ152" s="22"/>
      <c r="HRK152" s="22"/>
      <c r="HRL152" s="22"/>
      <c r="HRM152" s="22"/>
      <c r="HRN152" s="22"/>
      <c r="HRO152" s="22"/>
      <c r="HRP152" s="22"/>
      <c r="HRQ152" s="22"/>
      <c r="HRR152" s="22"/>
      <c r="HRS152" s="22"/>
      <c r="HRT152" s="22"/>
      <c r="HRU152" s="22"/>
      <c r="HRV152" s="22"/>
      <c r="HRW152" s="22"/>
      <c r="HRX152" s="22"/>
      <c r="HRY152" s="22"/>
      <c r="HRZ152" s="22"/>
      <c r="HSA152" s="22"/>
      <c r="HSB152" s="22"/>
      <c r="HSC152" s="22"/>
      <c r="HSD152" s="22"/>
      <c r="HSE152" s="22"/>
      <c r="HSF152" s="22"/>
      <c r="HSG152" s="22"/>
      <c r="HSH152" s="22"/>
      <c r="HSI152" s="22"/>
      <c r="HSJ152" s="22"/>
      <c r="HSK152" s="22"/>
      <c r="HSL152" s="22"/>
      <c r="HSM152" s="22"/>
      <c r="HSN152" s="22"/>
      <c r="HSO152" s="22"/>
      <c r="HSP152" s="22"/>
      <c r="HSQ152" s="22"/>
      <c r="HSR152" s="22"/>
      <c r="HSS152" s="22"/>
      <c r="HST152" s="22"/>
      <c r="HSU152" s="22"/>
      <c r="HSV152" s="22"/>
      <c r="HSW152" s="22"/>
      <c r="HSX152" s="22"/>
      <c r="HSY152" s="22"/>
      <c r="HSZ152" s="22"/>
      <c r="HTA152" s="22"/>
      <c r="HTB152" s="22"/>
      <c r="HTC152" s="22"/>
      <c r="HTD152" s="22"/>
      <c r="HTE152" s="22"/>
      <c r="HTF152" s="22"/>
      <c r="HTG152" s="22"/>
      <c r="HTH152" s="22"/>
      <c r="HTI152" s="22"/>
      <c r="HTJ152" s="22"/>
      <c r="HTK152" s="22"/>
      <c r="HTL152" s="22"/>
      <c r="HTM152" s="22"/>
      <c r="HTN152" s="22"/>
      <c r="HTO152" s="22"/>
      <c r="HTP152" s="22"/>
      <c r="HTQ152" s="22"/>
      <c r="HTR152" s="22"/>
      <c r="HTS152" s="22"/>
      <c r="HTT152" s="22"/>
      <c r="HTU152" s="22"/>
      <c r="HTV152" s="22"/>
      <c r="HTW152" s="22"/>
      <c r="HTX152" s="22"/>
      <c r="HTY152" s="22"/>
      <c r="HTZ152" s="22"/>
      <c r="HUA152" s="22"/>
      <c r="HUB152" s="22"/>
      <c r="HUC152" s="22"/>
      <c r="HUD152" s="22"/>
      <c r="HUE152" s="22"/>
      <c r="HUF152" s="22"/>
      <c r="HUG152" s="22"/>
      <c r="HUH152" s="22"/>
      <c r="HUI152" s="22"/>
      <c r="HUJ152" s="22"/>
      <c r="HUK152" s="22"/>
      <c r="HUL152" s="22"/>
      <c r="HUM152" s="22"/>
      <c r="HUN152" s="22"/>
      <c r="HUO152" s="22"/>
      <c r="HUP152" s="22"/>
      <c r="HUQ152" s="22"/>
      <c r="HUR152" s="22"/>
      <c r="HUS152" s="22"/>
      <c r="HUT152" s="22"/>
      <c r="HUU152" s="22"/>
      <c r="HUV152" s="22"/>
      <c r="HUW152" s="22"/>
      <c r="HUX152" s="22"/>
      <c r="HUY152" s="22"/>
      <c r="HUZ152" s="22"/>
      <c r="HVA152" s="22"/>
      <c r="HVB152" s="22"/>
      <c r="HVC152" s="22"/>
      <c r="HVD152" s="22"/>
      <c r="HVE152" s="22"/>
      <c r="HVF152" s="22"/>
      <c r="HVG152" s="22"/>
      <c r="HVH152" s="22"/>
      <c r="HVI152" s="22"/>
      <c r="HVJ152" s="22"/>
      <c r="HVK152" s="22"/>
      <c r="HVL152" s="22"/>
      <c r="HVM152" s="22"/>
      <c r="HVN152" s="22"/>
      <c r="HVO152" s="22"/>
      <c r="HVP152" s="22"/>
      <c r="HVQ152" s="22"/>
      <c r="HVR152" s="22"/>
      <c r="HVS152" s="22"/>
      <c r="HVT152" s="22"/>
      <c r="HVU152" s="22"/>
      <c r="HVV152" s="22"/>
      <c r="HVW152" s="22"/>
      <c r="HVX152" s="22"/>
      <c r="HVY152" s="22"/>
      <c r="HVZ152" s="22"/>
      <c r="HWA152" s="22"/>
      <c r="HWB152" s="22"/>
      <c r="HWC152" s="22"/>
      <c r="HWD152" s="22"/>
      <c r="HWE152" s="22"/>
      <c r="HWF152" s="22"/>
      <c r="HWG152" s="22"/>
      <c r="HWH152" s="22"/>
      <c r="HWI152" s="22"/>
      <c r="HWJ152" s="22"/>
      <c r="HWK152" s="22"/>
      <c r="HWL152" s="22"/>
      <c r="HWM152" s="22"/>
      <c r="HWN152" s="22"/>
      <c r="HWO152" s="22"/>
      <c r="HWP152" s="22"/>
      <c r="HWQ152" s="22"/>
      <c r="HWR152" s="22"/>
      <c r="HWS152" s="22"/>
      <c r="HWT152" s="22"/>
      <c r="HWU152" s="22"/>
      <c r="HWV152" s="22"/>
      <c r="HWW152" s="22"/>
      <c r="HWX152" s="22"/>
      <c r="HWY152" s="22"/>
      <c r="HWZ152" s="22"/>
      <c r="HXA152" s="22"/>
      <c r="HXB152" s="22"/>
      <c r="HXC152" s="22"/>
      <c r="HXD152" s="22"/>
      <c r="HXE152" s="22"/>
      <c r="HXF152" s="22"/>
      <c r="HXG152" s="22"/>
      <c r="HXH152" s="22"/>
      <c r="HXI152" s="22"/>
      <c r="HXJ152" s="22"/>
      <c r="HXK152" s="22"/>
      <c r="HXL152" s="22"/>
      <c r="HXM152" s="22"/>
      <c r="HXN152" s="22"/>
      <c r="HXO152" s="22"/>
      <c r="HXP152" s="22"/>
      <c r="HXQ152" s="22"/>
      <c r="HXR152" s="22"/>
      <c r="HXS152" s="22"/>
      <c r="HXT152" s="22"/>
      <c r="HXU152" s="22"/>
      <c r="HXV152" s="22"/>
      <c r="HXW152" s="22"/>
      <c r="HXX152" s="22"/>
      <c r="HXY152" s="22"/>
      <c r="HXZ152" s="22"/>
      <c r="HYA152" s="22"/>
      <c r="HYB152" s="22"/>
      <c r="HYC152" s="22"/>
      <c r="HYD152" s="22"/>
      <c r="HYE152" s="22"/>
      <c r="HYF152" s="22"/>
      <c r="HYG152" s="22"/>
      <c r="HYH152" s="22"/>
      <c r="HYI152" s="22"/>
      <c r="HYJ152" s="22"/>
      <c r="HYK152" s="22"/>
      <c r="HYL152" s="22"/>
      <c r="HYM152" s="22"/>
      <c r="HYN152" s="22"/>
      <c r="HYO152" s="22"/>
      <c r="HYP152" s="22"/>
      <c r="HYQ152" s="22"/>
      <c r="HYR152" s="22"/>
      <c r="HYS152" s="22"/>
      <c r="HYT152" s="22"/>
      <c r="HYU152" s="22"/>
      <c r="HYV152" s="22"/>
      <c r="HYW152" s="22"/>
      <c r="HYX152" s="22"/>
      <c r="HYY152" s="22"/>
      <c r="HYZ152" s="22"/>
      <c r="HZA152" s="22"/>
      <c r="HZB152" s="22"/>
      <c r="HZC152" s="22"/>
      <c r="HZD152" s="22"/>
      <c r="HZE152" s="22"/>
      <c r="HZF152" s="22"/>
      <c r="HZG152" s="22"/>
      <c r="HZH152" s="22"/>
      <c r="HZI152" s="22"/>
      <c r="HZJ152" s="22"/>
      <c r="HZK152" s="22"/>
      <c r="HZL152" s="22"/>
      <c r="HZM152" s="22"/>
      <c r="HZN152" s="22"/>
      <c r="HZO152" s="22"/>
      <c r="HZP152" s="22"/>
      <c r="HZQ152" s="22"/>
      <c r="HZR152" s="22"/>
      <c r="HZS152" s="22"/>
      <c r="HZT152" s="22"/>
      <c r="HZU152" s="22"/>
      <c r="HZV152" s="22"/>
      <c r="HZW152" s="22"/>
      <c r="HZX152" s="22"/>
      <c r="HZY152" s="22"/>
      <c r="HZZ152" s="22"/>
      <c r="IAA152" s="22"/>
      <c r="IAB152" s="22"/>
      <c r="IAC152" s="22"/>
      <c r="IAD152" s="22"/>
      <c r="IAE152" s="22"/>
      <c r="IAF152" s="22"/>
      <c r="IAG152" s="22"/>
      <c r="IAH152" s="22"/>
      <c r="IAI152" s="22"/>
      <c r="IAJ152" s="22"/>
      <c r="IAK152" s="22"/>
      <c r="IAL152" s="22"/>
      <c r="IAM152" s="22"/>
      <c r="IAN152" s="22"/>
      <c r="IAO152" s="22"/>
      <c r="IAP152" s="22"/>
      <c r="IAQ152" s="22"/>
      <c r="IAR152" s="22"/>
      <c r="IAS152" s="22"/>
      <c r="IAT152" s="22"/>
      <c r="IAU152" s="22"/>
      <c r="IAV152" s="22"/>
      <c r="IAW152" s="22"/>
      <c r="IAX152" s="22"/>
      <c r="IAY152" s="22"/>
      <c r="IAZ152" s="22"/>
      <c r="IBA152" s="22"/>
      <c r="IBB152" s="22"/>
      <c r="IBC152" s="22"/>
      <c r="IBD152" s="22"/>
      <c r="IBE152" s="22"/>
      <c r="IBF152" s="22"/>
      <c r="IBG152" s="22"/>
      <c r="IBH152" s="22"/>
      <c r="IBI152" s="22"/>
      <c r="IBJ152" s="22"/>
      <c r="IBK152" s="22"/>
      <c r="IBL152" s="22"/>
      <c r="IBM152" s="22"/>
      <c r="IBN152" s="22"/>
      <c r="IBO152" s="22"/>
      <c r="IBP152" s="22"/>
      <c r="IBQ152" s="22"/>
      <c r="IBR152" s="22"/>
      <c r="IBS152" s="22"/>
      <c r="IBT152" s="22"/>
      <c r="IBU152" s="22"/>
      <c r="IBV152" s="22"/>
      <c r="IBW152" s="22"/>
      <c r="IBX152" s="22"/>
      <c r="IBY152" s="22"/>
      <c r="IBZ152" s="22"/>
      <c r="ICA152" s="22"/>
      <c r="ICB152" s="22"/>
      <c r="ICC152" s="22"/>
      <c r="ICD152" s="22"/>
      <c r="ICE152" s="22"/>
      <c r="ICF152" s="22"/>
      <c r="ICG152" s="22"/>
      <c r="ICH152" s="22"/>
      <c r="ICI152" s="22"/>
      <c r="ICJ152" s="22"/>
      <c r="ICK152" s="22"/>
      <c r="ICL152" s="22"/>
      <c r="ICM152" s="22"/>
      <c r="ICN152" s="22"/>
      <c r="ICO152" s="22"/>
      <c r="ICP152" s="22"/>
      <c r="ICQ152" s="22"/>
      <c r="ICR152" s="22"/>
      <c r="ICS152" s="22"/>
      <c r="ICT152" s="22"/>
      <c r="ICU152" s="22"/>
      <c r="ICV152" s="22"/>
      <c r="ICW152" s="22"/>
      <c r="ICX152" s="22"/>
      <c r="ICY152" s="22"/>
      <c r="ICZ152" s="22"/>
      <c r="IDA152" s="22"/>
      <c r="IDB152" s="22"/>
      <c r="IDC152" s="22"/>
      <c r="IDD152" s="22"/>
      <c r="IDE152" s="22"/>
      <c r="IDF152" s="22"/>
      <c r="IDG152" s="22"/>
      <c r="IDH152" s="22"/>
      <c r="IDI152" s="22"/>
      <c r="IDJ152" s="22"/>
      <c r="IDK152" s="22"/>
      <c r="IDL152" s="22"/>
      <c r="IDM152" s="22"/>
      <c r="IDN152" s="22"/>
      <c r="IDO152" s="22"/>
      <c r="IDP152" s="22"/>
      <c r="IDQ152" s="22"/>
      <c r="IDR152" s="22"/>
      <c r="IDS152" s="22"/>
      <c r="IDT152" s="22"/>
      <c r="IDU152" s="22"/>
      <c r="IDV152" s="22"/>
      <c r="IDW152" s="22"/>
      <c r="IDX152" s="22"/>
      <c r="IDY152" s="22"/>
      <c r="IDZ152" s="22"/>
      <c r="IEA152" s="22"/>
      <c r="IEB152" s="22"/>
      <c r="IEC152" s="22"/>
      <c r="IED152" s="22"/>
      <c r="IEE152" s="22"/>
      <c r="IEF152" s="22"/>
      <c r="IEG152" s="22"/>
      <c r="IEH152" s="22"/>
      <c r="IEI152" s="22"/>
      <c r="IEJ152" s="22"/>
      <c r="IEK152" s="22"/>
      <c r="IEL152" s="22"/>
      <c r="IEM152" s="22"/>
      <c r="IEN152" s="22"/>
      <c r="IEO152" s="22"/>
      <c r="IEP152" s="22"/>
      <c r="IEQ152" s="22"/>
      <c r="IER152" s="22"/>
      <c r="IES152" s="22"/>
      <c r="IET152" s="22"/>
      <c r="IEU152" s="22"/>
      <c r="IEV152" s="22"/>
      <c r="IEW152" s="22"/>
      <c r="IEX152" s="22"/>
      <c r="IEY152" s="22"/>
      <c r="IEZ152" s="22"/>
      <c r="IFA152" s="22"/>
      <c r="IFB152" s="22"/>
      <c r="IFC152" s="22"/>
      <c r="IFD152" s="22"/>
      <c r="IFE152" s="22"/>
      <c r="IFF152" s="22"/>
      <c r="IFG152" s="22"/>
      <c r="IFH152" s="22"/>
      <c r="IFI152" s="22"/>
      <c r="IFJ152" s="22"/>
      <c r="IFK152" s="22"/>
      <c r="IFL152" s="22"/>
      <c r="IFM152" s="22"/>
      <c r="IFN152" s="22"/>
      <c r="IFO152" s="22"/>
      <c r="IFP152" s="22"/>
      <c r="IFQ152" s="22"/>
      <c r="IFR152" s="22"/>
      <c r="IFS152" s="22"/>
      <c r="IFT152" s="22"/>
      <c r="IFU152" s="22"/>
      <c r="IFV152" s="22"/>
      <c r="IFW152" s="22"/>
      <c r="IFX152" s="22"/>
      <c r="IFY152" s="22"/>
      <c r="IFZ152" s="22"/>
      <c r="IGA152" s="22"/>
      <c r="IGB152" s="22"/>
      <c r="IGC152" s="22"/>
      <c r="IGD152" s="22"/>
      <c r="IGE152" s="22"/>
      <c r="IGF152" s="22"/>
      <c r="IGG152" s="22"/>
      <c r="IGH152" s="22"/>
      <c r="IGI152" s="22"/>
      <c r="IGJ152" s="22"/>
      <c r="IGK152" s="22"/>
      <c r="IGL152" s="22"/>
      <c r="IGM152" s="22"/>
      <c r="IGN152" s="22"/>
      <c r="IGO152" s="22"/>
      <c r="IGP152" s="22"/>
      <c r="IGQ152" s="22"/>
      <c r="IGR152" s="22"/>
      <c r="IGS152" s="22"/>
      <c r="IGT152" s="22"/>
      <c r="IGU152" s="22"/>
      <c r="IGV152" s="22"/>
      <c r="IGW152" s="22"/>
      <c r="IGX152" s="22"/>
      <c r="IGY152" s="22"/>
      <c r="IGZ152" s="22"/>
      <c r="IHA152" s="22"/>
      <c r="IHB152" s="22"/>
      <c r="IHC152" s="22"/>
      <c r="IHD152" s="22"/>
      <c r="IHE152" s="22"/>
      <c r="IHF152" s="22"/>
      <c r="IHG152" s="22"/>
      <c r="IHH152" s="22"/>
      <c r="IHI152" s="22"/>
      <c r="IHJ152" s="22"/>
      <c r="IHK152" s="22"/>
      <c r="IHL152" s="22"/>
      <c r="IHM152" s="22"/>
      <c r="IHN152" s="22"/>
      <c r="IHO152" s="22"/>
      <c r="IHP152" s="22"/>
      <c r="IHQ152" s="22"/>
      <c r="IHR152" s="22"/>
      <c r="IHS152" s="22"/>
      <c r="IHT152" s="22"/>
      <c r="IHU152" s="22"/>
      <c r="IHV152" s="22"/>
      <c r="IHW152" s="22"/>
      <c r="IHX152" s="22"/>
      <c r="IHY152" s="22"/>
      <c r="IHZ152" s="22"/>
      <c r="IIA152" s="22"/>
      <c r="IIB152" s="22"/>
      <c r="IIC152" s="22"/>
      <c r="IID152" s="22"/>
      <c r="IIE152" s="22"/>
      <c r="IIF152" s="22"/>
      <c r="IIG152" s="22"/>
      <c r="IIH152" s="22"/>
      <c r="III152" s="22"/>
      <c r="IIJ152" s="22"/>
      <c r="IIK152" s="22"/>
      <c r="IIL152" s="22"/>
      <c r="IIM152" s="22"/>
      <c r="IIN152" s="22"/>
      <c r="IIO152" s="22"/>
      <c r="IIP152" s="22"/>
      <c r="IIQ152" s="22"/>
      <c r="IIR152" s="22"/>
      <c r="IIS152" s="22"/>
      <c r="IIT152" s="22"/>
      <c r="IIU152" s="22"/>
      <c r="IIV152" s="22"/>
      <c r="IIW152" s="22"/>
      <c r="IIX152" s="22"/>
      <c r="IIY152" s="22"/>
      <c r="IIZ152" s="22"/>
      <c r="IJA152" s="22"/>
      <c r="IJB152" s="22"/>
      <c r="IJC152" s="22"/>
      <c r="IJD152" s="22"/>
      <c r="IJE152" s="22"/>
      <c r="IJF152" s="22"/>
      <c r="IJG152" s="22"/>
      <c r="IJH152" s="22"/>
      <c r="IJI152" s="22"/>
      <c r="IJJ152" s="22"/>
      <c r="IJK152" s="22"/>
      <c r="IJL152" s="22"/>
      <c r="IJM152" s="22"/>
      <c r="IJN152" s="22"/>
      <c r="IJO152" s="22"/>
      <c r="IJP152" s="22"/>
      <c r="IJQ152" s="22"/>
      <c r="IJR152" s="22"/>
      <c r="IJS152" s="22"/>
      <c r="IJT152" s="22"/>
      <c r="IJU152" s="22"/>
      <c r="IJV152" s="22"/>
      <c r="IJW152" s="22"/>
      <c r="IJX152" s="22"/>
      <c r="IJY152" s="22"/>
      <c r="IJZ152" s="22"/>
      <c r="IKA152" s="22"/>
      <c r="IKB152" s="22"/>
      <c r="IKC152" s="22"/>
      <c r="IKD152" s="22"/>
      <c r="IKE152" s="22"/>
      <c r="IKF152" s="22"/>
      <c r="IKG152" s="22"/>
      <c r="IKH152" s="22"/>
      <c r="IKI152" s="22"/>
      <c r="IKJ152" s="22"/>
      <c r="IKK152" s="22"/>
      <c r="IKL152" s="22"/>
      <c r="IKM152" s="22"/>
      <c r="IKN152" s="22"/>
      <c r="IKO152" s="22"/>
      <c r="IKP152" s="22"/>
      <c r="IKQ152" s="22"/>
      <c r="IKR152" s="22"/>
      <c r="IKS152" s="22"/>
      <c r="IKT152" s="22"/>
      <c r="IKU152" s="22"/>
      <c r="IKV152" s="22"/>
      <c r="IKW152" s="22"/>
      <c r="IKX152" s="22"/>
      <c r="IKY152" s="22"/>
      <c r="IKZ152" s="22"/>
      <c r="ILA152" s="22"/>
      <c r="ILB152" s="22"/>
      <c r="ILC152" s="22"/>
      <c r="ILD152" s="22"/>
      <c r="ILE152" s="22"/>
      <c r="ILF152" s="22"/>
      <c r="ILG152" s="22"/>
      <c r="ILH152" s="22"/>
      <c r="ILI152" s="22"/>
      <c r="ILJ152" s="22"/>
      <c r="ILK152" s="22"/>
      <c r="ILL152" s="22"/>
      <c r="ILM152" s="22"/>
      <c r="ILN152" s="22"/>
      <c r="ILO152" s="22"/>
      <c r="ILP152" s="22"/>
      <c r="ILQ152" s="22"/>
      <c r="ILR152" s="22"/>
      <c r="ILS152" s="22"/>
      <c r="ILT152" s="22"/>
      <c r="ILU152" s="22"/>
      <c r="ILV152" s="22"/>
      <c r="ILW152" s="22"/>
      <c r="ILX152" s="22"/>
      <c r="ILY152" s="22"/>
      <c r="ILZ152" s="22"/>
      <c r="IMA152" s="22"/>
      <c r="IMB152" s="22"/>
      <c r="IMC152" s="22"/>
      <c r="IMD152" s="22"/>
      <c r="IME152" s="22"/>
      <c r="IMF152" s="22"/>
      <c r="IMG152" s="22"/>
      <c r="IMH152" s="22"/>
      <c r="IMI152" s="22"/>
      <c r="IMJ152" s="22"/>
      <c r="IMK152" s="22"/>
      <c r="IML152" s="22"/>
      <c r="IMM152" s="22"/>
      <c r="IMN152" s="22"/>
      <c r="IMO152" s="22"/>
      <c r="IMP152" s="22"/>
      <c r="IMQ152" s="22"/>
      <c r="IMR152" s="22"/>
      <c r="IMS152" s="22"/>
      <c r="IMT152" s="22"/>
      <c r="IMU152" s="22"/>
      <c r="IMV152" s="22"/>
      <c r="IMW152" s="22"/>
      <c r="IMX152" s="22"/>
      <c r="IMY152" s="22"/>
      <c r="IMZ152" s="22"/>
      <c r="INA152" s="22"/>
      <c r="INB152" s="22"/>
      <c r="INC152" s="22"/>
      <c r="IND152" s="22"/>
      <c r="INE152" s="22"/>
      <c r="INF152" s="22"/>
      <c r="ING152" s="22"/>
      <c r="INH152" s="22"/>
      <c r="INI152" s="22"/>
      <c r="INJ152" s="22"/>
      <c r="INK152" s="22"/>
      <c r="INL152" s="22"/>
      <c r="INM152" s="22"/>
      <c r="INN152" s="22"/>
      <c r="INO152" s="22"/>
      <c r="INP152" s="22"/>
      <c r="INQ152" s="22"/>
      <c r="INR152" s="22"/>
      <c r="INS152" s="22"/>
      <c r="INT152" s="22"/>
      <c r="INU152" s="22"/>
      <c r="INV152" s="22"/>
      <c r="INW152" s="22"/>
      <c r="INX152" s="22"/>
      <c r="INY152" s="22"/>
      <c r="INZ152" s="22"/>
      <c r="IOA152" s="22"/>
      <c r="IOB152" s="22"/>
      <c r="IOC152" s="22"/>
      <c r="IOD152" s="22"/>
      <c r="IOE152" s="22"/>
      <c r="IOF152" s="22"/>
      <c r="IOG152" s="22"/>
      <c r="IOH152" s="22"/>
      <c r="IOI152" s="22"/>
      <c r="IOJ152" s="22"/>
      <c r="IOK152" s="22"/>
      <c r="IOL152" s="22"/>
      <c r="IOM152" s="22"/>
      <c r="ION152" s="22"/>
      <c r="IOO152" s="22"/>
      <c r="IOP152" s="22"/>
      <c r="IOQ152" s="22"/>
      <c r="IOR152" s="22"/>
      <c r="IOS152" s="22"/>
      <c r="IOT152" s="22"/>
      <c r="IOU152" s="22"/>
      <c r="IOV152" s="22"/>
      <c r="IOW152" s="22"/>
      <c r="IOX152" s="22"/>
      <c r="IOY152" s="22"/>
      <c r="IOZ152" s="22"/>
      <c r="IPA152" s="22"/>
      <c r="IPB152" s="22"/>
      <c r="IPC152" s="22"/>
      <c r="IPD152" s="22"/>
      <c r="IPE152" s="22"/>
      <c r="IPF152" s="22"/>
      <c r="IPG152" s="22"/>
      <c r="IPH152" s="22"/>
      <c r="IPI152" s="22"/>
      <c r="IPJ152" s="22"/>
      <c r="IPK152" s="22"/>
      <c r="IPL152" s="22"/>
      <c r="IPM152" s="22"/>
      <c r="IPN152" s="22"/>
      <c r="IPO152" s="22"/>
      <c r="IPP152" s="22"/>
      <c r="IPQ152" s="22"/>
      <c r="IPR152" s="22"/>
      <c r="IPS152" s="22"/>
      <c r="IPT152" s="22"/>
      <c r="IPU152" s="22"/>
      <c r="IPV152" s="22"/>
      <c r="IPW152" s="22"/>
      <c r="IPX152" s="22"/>
      <c r="IPY152" s="22"/>
      <c r="IPZ152" s="22"/>
      <c r="IQA152" s="22"/>
      <c r="IQB152" s="22"/>
      <c r="IQC152" s="22"/>
      <c r="IQD152" s="22"/>
      <c r="IQE152" s="22"/>
      <c r="IQF152" s="22"/>
      <c r="IQG152" s="22"/>
      <c r="IQH152" s="22"/>
      <c r="IQI152" s="22"/>
      <c r="IQJ152" s="22"/>
      <c r="IQK152" s="22"/>
      <c r="IQL152" s="22"/>
      <c r="IQM152" s="22"/>
      <c r="IQN152" s="22"/>
      <c r="IQO152" s="22"/>
      <c r="IQP152" s="22"/>
      <c r="IQQ152" s="22"/>
      <c r="IQR152" s="22"/>
      <c r="IQS152" s="22"/>
      <c r="IQT152" s="22"/>
      <c r="IQU152" s="22"/>
      <c r="IQV152" s="22"/>
      <c r="IQW152" s="22"/>
      <c r="IQX152" s="22"/>
      <c r="IQY152" s="22"/>
      <c r="IQZ152" s="22"/>
      <c r="IRA152" s="22"/>
      <c r="IRB152" s="22"/>
      <c r="IRC152" s="22"/>
      <c r="IRD152" s="22"/>
      <c r="IRE152" s="22"/>
      <c r="IRF152" s="22"/>
      <c r="IRG152" s="22"/>
      <c r="IRH152" s="22"/>
      <c r="IRI152" s="22"/>
      <c r="IRJ152" s="22"/>
      <c r="IRK152" s="22"/>
      <c r="IRL152" s="22"/>
      <c r="IRM152" s="22"/>
      <c r="IRN152" s="22"/>
      <c r="IRO152" s="22"/>
      <c r="IRP152" s="22"/>
      <c r="IRQ152" s="22"/>
      <c r="IRR152" s="22"/>
      <c r="IRS152" s="22"/>
      <c r="IRT152" s="22"/>
      <c r="IRU152" s="22"/>
      <c r="IRV152" s="22"/>
      <c r="IRW152" s="22"/>
      <c r="IRX152" s="22"/>
      <c r="IRY152" s="22"/>
      <c r="IRZ152" s="22"/>
      <c r="ISA152" s="22"/>
      <c r="ISB152" s="22"/>
      <c r="ISC152" s="22"/>
      <c r="ISD152" s="22"/>
      <c r="ISE152" s="22"/>
      <c r="ISF152" s="22"/>
      <c r="ISG152" s="22"/>
      <c r="ISH152" s="22"/>
      <c r="ISI152" s="22"/>
      <c r="ISJ152" s="22"/>
      <c r="ISK152" s="22"/>
      <c r="ISL152" s="22"/>
      <c r="ISM152" s="22"/>
      <c r="ISN152" s="22"/>
      <c r="ISO152" s="22"/>
      <c r="ISP152" s="22"/>
      <c r="ISQ152" s="22"/>
      <c r="ISR152" s="22"/>
      <c r="ISS152" s="22"/>
      <c r="IST152" s="22"/>
      <c r="ISU152" s="22"/>
      <c r="ISV152" s="22"/>
      <c r="ISW152" s="22"/>
      <c r="ISX152" s="22"/>
      <c r="ISY152" s="22"/>
      <c r="ISZ152" s="22"/>
      <c r="ITA152" s="22"/>
      <c r="ITB152" s="22"/>
      <c r="ITC152" s="22"/>
      <c r="ITD152" s="22"/>
      <c r="ITE152" s="22"/>
      <c r="ITF152" s="22"/>
      <c r="ITG152" s="22"/>
      <c r="ITH152" s="22"/>
      <c r="ITI152" s="22"/>
      <c r="ITJ152" s="22"/>
      <c r="ITK152" s="22"/>
      <c r="ITL152" s="22"/>
      <c r="ITM152" s="22"/>
      <c r="ITN152" s="22"/>
      <c r="ITO152" s="22"/>
      <c r="ITP152" s="22"/>
      <c r="ITQ152" s="22"/>
      <c r="ITR152" s="22"/>
      <c r="ITS152" s="22"/>
      <c r="ITT152" s="22"/>
      <c r="ITU152" s="22"/>
      <c r="ITV152" s="22"/>
      <c r="ITW152" s="22"/>
      <c r="ITX152" s="22"/>
      <c r="ITY152" s="22"/>
      <c r="ITZ152" s="22"/>
      <c r="IUA152" s="22"/>
      <c r="IUB152" s="22"/>
      <c r="IUC152" s="22"/>
      <c r="IUD152" s="22"/>
      <c r="IUE152" s="22"/>
      <c r="IUF152" s="22"/>
      <c r="IUG152" s="22"/>
      <c r="IUH152" s="22"/>
      <c r="IUI152" s="22"/>
      <c r="IUJ152" s="22"/>
      <c r="IUK152" s="22"/>
      <c r="IUL152" s="22"/>
      <c r="IUM152" s="22"/>
      <c r="IUN152" s="22"/>
      <c r="IUO152" s="22"/>
      <c r="IUP152" s="22"/>
      <c r="IUQ152" s="22"/>
      <c r="IUR152" s="22"/>
      <c r="IUS152" s="22"/>
      <c r="IUT152" s="22"/>
      <c r="IUU152" s="22"/>
      <c r="IUV152" s="22"/>
      <c r="IUW152" s="22"/>
      <c r="IUX152" s="22"/>
      <c r="IUY152" s="22"/>
      <c r="IUZ152" s="22"/>
      <c r="IVA152" s="22"/>
      <c r="IVB152" s="22"/>
      <c r="IVC152" s="22"/>
      <c r="IVD152" s="22"/>
      <c r="IVE152" s="22"/>
      <c r="IVF152" s="22"/>
      <c r="IVG152" s="22"/>
      <c r="IVH152" s="22"/>
      <c r="IVI152" s="22"/>
      <c r="IVJ152" s="22"/>
      <c r="IVK152" s="22"/>
      <c r="IVL152" s="22"/>
      <c r="IVM152" s="22"/>
      <c r="IVN152" s="22"/>
      <c r="IVO152" s="22"/>
      <c r="IVP152" s="22"/>
      <c r="IVQ152" s="22"/>
      <c r="IVR152" s="22"/>
      <c r="IVS152" s="22"/>
      <c r="IVT152" s="22"/>
      <c r="IVU152" s="22"/>
      <c r="IVV152" s="22"/>
      <c r="IVW152" s="22"/>
      <c r="IVX152" s="22"/>
      <c r="IVY152" s="22"/>
      <c r="IVZ152" s="22"/>
      <c r="IWA152" s="22"/>
      <c r="IWB152" s="22"/>
      <c r="IWC152" s="22"/>
      <c r="IWD152" s="22"/>
      <c r="IWE152" s="22"/>
      <c r="IWF152" s="22"/>
      <c r="IWG152" s="22"/>
      <c r="IWH152" s="22"/>
      <c r="IWI152" s="22"/>
      <c r="IWJ152" s="22"/>
      <c r="IWK152" s="22"/>
      <c r="IWL152" s="22"/>
      <c r="IWM152" s="22"/>
      <c r="IWN152" s="22"/>
      <c r="IWO152" s="22"/>
      <c r="IWP152" s="22"/>
      <c r="IWQ152" s="22"/>
      <c r="IWR152" s="22"/>
      <c r="IWS152" s="22"/>
      <c r="IWT152" s="22"/>
      <c r="IWU152" s="22"/>
      <c r="IWV152" s="22"/>
      <c r="IWW152" s="22"/>
      <c r="IWX152" s="22"/>
      <c r="IWY152" s="22"/>
      <c r="IWZ152" s="22"/>
      <c r="IXA152" s="22"/>
      <c r="IXB152" s="22"/>
      <c r="IXC152" s="22"/>
      <c r="IXD152" s="22"/>
      <c r="IXE152" s="22"/>
      <c r="IXF152" s="22"/>
      <c r="IXG152" s="22"/>
      <c r="IXH152" s="22"/>
      <c r="IXI152" s="22"/>
      <c r="IXJ152" s="22"/>
      <c r="IXK152" s="22"/>
      <c r="IXL152" s="22"/>
      <c r="IXM152" s="22"/>
      <c r="IXN152" s="22"/>
      <c r="IXO152" s="22"/>
      <c r="IXP152" s="22"/>
      <c r="IXQ152" s="22"/>
      <c r="IXR152" s="22"/>
      <c r="IXS152" s="22"/>
      <c r="IXT152" s="22"/>
      <c r="IXU152" s="22"/>
      <c r="IXV152" s="22"/>
      <c r="IXW152" s="22"/>
      <c r="IXX152" s="22"/>
      <c r="IXY152" s="22"/>
      <c r="IXZ152" s="22"/>
      <c r="IYA152" s="22"/>
      <c r="IYB152" s="22"/>
      <c r="IYC152" s="22"/>
      <c r="IYD152" s="22"/>
      <c r="IYE152" s="22"/>
      <c r="IYF152" s="22"/>
      <c r="IYG152" s="22"/>
      <c r="IYH152" s="22"/>
      <c r="IYI152" s="22"/>
      <c r="IYJ152" s="22"/>
      <c r="IYK152" s="22"/>
      <c r="IYL152" s="22"/>
      <c r="IYM152" s="22"/>
      <c r="IYN152" s="22"/>
      <c r="IYO152" s="22"/>
      <c r="IYP152" s="22"/>
      <c r="IYQ152" s="22"/>
      <c r="IYR152" s="22"/>
      <c r="IYS152" s="22"/>
      <c r="IYT152" s="22"/>
      <c r="IYU152" s="22"/>
      <c r="IYV152" s="22"/>
      <c r="IYW152" s="22"/>
      <c r="IYX152" s="22"/>
      <c r="IYY152" s="22"/>
      <c r="IYZ152" s="22"/>
      <c r="IZA152" s="22"/>
      <c r="IZB152" s="22"/>
      <c r="IZC152" s="22"/>
      <c r="IZD152" s="22"/>
      <c r="IZE152" s="22"/>
      <c r="IZF152" s="22"/>
      <c r="IZG152" s="22"/>
      <c r="IZH152" s="22"/>
      <c r="IZI152" s="22"/>
      <c r="IZJ152" s="22"/>
      <c r="IZK152" s="22"/>
      <c r="IZL152" s="22"/>
      <c r="IZM152" s="22"/>
      <c r="IZN152" s="22"/>
      <c r="IZO152" s="22"/>
      <c r="IZP152" s="22"/>
      <c r="IZQ152" s="22"/>
      <c r="IZR152" s="22"/>
      <c r="IZS152" s="22"/>
      <c r="IZT152" s="22"/>
      <c r="IZU152" s="22"/>
      <c r="IZV152" s="22"/>
      <c r="IZW152" s="22"/>
      <c r="IZX152" s="22"/>
      <c r="IZY152" s="22"/>
      <c r="IZZ152" s="22"/>
      <c r="JAA152" s="22"/>
      <c r="JAB152" s="22"/>
      <c r="JAC152" s="22"/>
      <c r="JAD152" s="22"/>
      <c r="JAE152" s="22"/>
      <c r="JAF152" s="22"/>
      <c r="JAG152" s="22"/>
      <c r="JAH152" s="22"/>
      <c r="JAI152" s="22"/>
      <c r="JAJ152" s="22"/>
      <c r="JAK152" s="22"/>
      <c r="JAL152" s="22"/>
      <c r="JAM152" s="22"/>
      <c r="JAN152" s="22"/>
      <c r="JAO152" s="22"/>
      <c r="JAP152" s="22"/>
      <c r="JAQ152" s="22"/>
      <c r="JAR152" s="22"/>
      <c r="JAS152" s="22"/>
      <c r="JAT152" s="22"/>
      <c r="JAU152" s="22"/>
      <c r="JAV152" s="22"/>
      <c r="JAW152" s="22"/>
      <c r="JAX152" s="22"/>
      <c r="JAY152" s="22"/>
      <c r="JAZ152" s="22"/>
      <c r="JBA152" s="22"/>
      <c r="JBB152" s="22"/>
      <c r="JBC152" s="22"/>
      <c r="JBD152" s="22"/>
      <c r="JBE152" s="22"/>
      <c r="JBF152" s="22"/>
      <c r="JBG152" s="22"/>
      <c r="JBH152" s="22"/>
      <c r="JBI152" s="22"/>
      <c r="JBJ152" s="22"/>
      <c r="JBK152" s="22"/>
      <c r="JBL152" s="22"/>
      <c r="JBM152" s="22"/>
      <c r="JBN152" s="22"/>
      <c r="JBO152" s="22"/>
      <c r="JBP152" s="22"/>
      <c r="JBQ152" s="22"/>
      <c r="JBR152" s="22"/>
      <c r="JBS152" s="22"/>
      <c r="JBT152" s="22"/>
      <c r="JBU152" s="22"/>
      <c r="JBV152" s="22"/>
      <c r="JBW152" s="22"/>
      <c r="JBX152" s="22"/>
      <c r="JBY152" s="22"/>
      <c r="JBZ152" s="22"/>
      <c r="JCA152" s="22"/>
      <c r="JCB152" s="22"/>
      <c r="JCC152" s="22"/>
      <c r="JCD152" s="22"/>
      <c r="JCE152" s="22"/>
      <c r="JCF152" s="22"/>
      <c r="JCG152" s="22"/>
      <c r="JCH152" s="22"/>
      <c r="JCI152" s="22"/>
      <c r="JCJ152" s="22"/>
      <c r="JCK152" s="22"/>
      <c r="JCL152" s="22"/>
      <c r="JCM152" s="22"/>
      <c r="JCN152" s="22"/>
      <c r="JCO152" s="22"/>
      <c r="JCP152" s="22"/>
      <c r="JCQ152" s="22"/>
      <c r="JCR152" s="22"/>
      <c r="JCS152" s="22"/>
      <c r="JCT152" s="22"/>
      <c r="JCU152" s="22"/>
      <c r="JCV152" s="22"/>
      <c r="JCW152" s="22"/>
      <c r="JCX152" s="22"/>
      <c r="JCY152" s="22"/>
      <c r="JCZ152" s="22"/>
      <c r="JDA152" s="22"/>
      <c r="JDB152" s="22"/>
      <c r="JDC152" s="22"/>
      <c r="JDD152" s="22"/>
      <c r="JDE152" s="22"/>
      <c r="JDF152" s="22"/>
      <c r="JDG152" s="22"/>
      <c r="JDH152" s="22"/>
      <c r="JDI152" s="22"/>
      <c r="JDJ152" s="22"/>
      <c r="JDK152" s="22"/>
      <c r="JDL152" s="22"/>
      <c r="JDM152" s="22"/>
      <c r="JDN152" s="22"/>
      <c r="JDO152" s="22"/>
      <c r="JDP152" s="22"/>
      <c r="JDQ152" s="22"/>
      <c r="JDR152" s="22"/>
      <c r="JDS152" s="22"/>
      <c r="JDT152" s="22"/>
      <c r="JDU152" s="22"/>
      <c r="JDV152" s="22"/>
      <c r="JDW152" s="22"/>
      <c r="JDX152" s="22"/>
      <c r="JDY152" s="22"/>
      <c r="JDZ152" s="22"/>
      <c r="JEA152" s="22"/>
      <c r="JEB152" s="22"/>
      <c r="JEC152" s="22"/>
      <c r="JED152" s="22"/>
      <c r="JEE152" s="22"/>
      <c r="JEF152" s="22"/>
      <c r="JEG152" s="22"/>
      <c r="JEH152" s="22"/>
      <c r="JEI152" s="22"/>
      <c r="JEJ152" s="22"/>
      <c r="JEK152" s="22"/>
      <c r="JEL152" s="22"/>
      <c r="JEM152" s="22"/>
      <c r="JEN152" s="22"/>
      <c r="JEO152" s="22"/>
      <c r="JEP152" s="22"/>
      <c r="JEQ152" s="22"/>
      <c r="JER152" s="22"/>
      <c r="JES152" s="22"/>
      <c r="JET152" s="22"/>
      <c r="JEU152" s="22"/>
      <c r="JEV152" s="22"/>
      <c r="JEW152" s="22"/>
      <c r="JEX152" s="22"/>
      <c r="JEY152" s="22"/>
      <c r="JEZ152" s="22"/>
      <c r="JFA152" s="22"/>
      <c r="JFB152" s="22"/>
      <c r="JFC152" s="22"/>
      <c r="JFD152" s="22"/>
      <c r="JFE152" s="22"/>
      <c r="JFF152" s="22"/>
      <c r="JFG152" s="22"/>
      <c r="JFH152" s="22"/>
      <c r="JFI152" s="22"/>
      <c r="JFJ152" s="22"/>
      <c r="JFK152" s="22"/>
      <c r="JFL152" s="22"/>
      <c r="JFM152" s="22"/>
      <c r="JFN152" s="22"/>
      <c r="JFO152" s="22"/>
      <c r="JFP152" s="22"/>
      <c r="JFQ152" s="22"/>
      <c r="JFR152" s="22"/>
      <c r="JFS152" s="22"/>
      <c r="JFT152" s="22"/>
      <c r="JFU152" s="22"/>
      <c r="JFV152" s="22"/>
      <c r="JFW152" s="22"/>
      <c r="JFX152" s="22"/>
      <c r="JFY152" s="22"/>
      <c r="JFZ152" s="22"/>
      <c r="JGA152" s="22"/>
      <c r="JGB152" s="22"/>
      <c r="JGC152" s="22"/>
      <c r="JGD152" s="22"/>
      <c r="JGE152" s="22"/>
      <c r="JGF152" s="22"/>
      <c r="JGG152" s="22"/>
      <c r="JGH152" s="22"/>
      <c r="JGI152" s="22"/>
      <c r="JGJ152" s="22"/>
      <c r="JGK152" s="22"/>
      <c r="JGL152" s="22"/>
      <c r="JGM152" s="22"/>
      <c r="JGN152" s="22"/>
      <c r="JGO152" s="22"/>
      <c r="JGP152" s="22"/>
      <c r="JGQ152" s="22"/>
      <c r="JGR152" s="22"/>
      <c r="JGS152" s="22"/>
      <c r="JGT152" s="22"/>
      <c r="JGU152" s="22"/>
      <c r="JGV152" s="22"/>
      <c r="JGW152" s="22"/>
      <c r="JGX152" s="22"/>
      <c r="JGY152" s="22"/>
      <c r="JGZ152" s="22"/>
      <c r="JHA152" s="22"/>
      <c r="JHB152" s="22"/>
      <c r="JHC152" s="22"/>
      <c r="JHD152" s="22"/>
      <c r="JHE152" s="22"/>
      <c r="JHF152" s="22"/>
      <c r="JHG152" s="22"/>
      <c r="JHH152" s="22"/>
      <c r="JHI152" s="22"/>
      <c r="JHJ152" s="22"/>
      <c r="JHK152" s="22"/>
      <c r="JHL152" s="22"/>
      <c r="JHM152" s="22"/>
      <c r="JHN152" s="22"/>
      <c r="JHO152" s="22"/>
      <c r="JHP152" s="22"/>
      <c r="JHQ152" s="22"/>
      <c r="JHR152" s="22"/>
      <c r="JHS152" s="22"/>
      <c r="JHT152" s="22"/>
      <c r="JHU152" s="22"/>
      <c r="JHV152" s="22"/>
      <c r="JHW152" s="22"/>
      <c r="JHX152" s="22"/>
      <c r="JHY152" s="22"/>
      <c r="JHZ152" s="22"/>
      <c r="JIA152" s="22"/>
      <c r="JIB152" s="22"/>
      <c r="JIC152" s="22"/>
      <c r="JID152" s="22"/>
      <c r="JIE152" s="22"/>
      <c r="JIF152" s="22"/>
      <c r="JIG152" s="22"/>
      <c r="JIH152" s="22"/>
      <c r="JII152" s="22"/>
      <c r="JIJ152" s="22"/>
      <c r="JIK152" s="22"/>
      <c r="JIL152" s="22"/>
      <c r="JIM152" s="22"/>
      <c r="JIN152" s="22"/>
      <c r="JIO152" s="22"/>
      <c r="JIP152" s="22"/>
      <c r="JIQ152" s="22"/>
      <c r="JIR152" s="22"/>
      <c r="JIS152" s="22"/>
      <c r="JIT152" s="22"/>
      <c r="JIU152" s="22"/>
      <c r="JIV152" s="22"/>
      <c r="JIW152" s="22"/>
      <c r="JIX152" s="22"/>
      <c r="JIY152" s="22"/>
      <c r="JIZ152" s="22"/>
      <c r="JJA152" s="22"/>
      <c r="JJB152" s="22"/>
      <c r="JJC152" s="22"/>
      <c r="JJD152" s="22"/>
      <c r="JJE152" s="22"/>
      <c r="JJF152" s="22"/>
      <c r="JJG152" s="22"/>
      <c r="JJH152" s="22"/>
      <c r="JJI152" s="22"/>
      <c r="JJJ152" s="22"/>
      <c r="JJK152" s="22"/>
      <c r="JJL152" s="22"/>
      <c r="JJM152" s="22"/>
      <c r="JJN152" s="22"/>
      <c r="JJO152" s="22"/>
      <c r="JJP152" s="22"/>
      <c r="JJQ152" s="22"/>
      <c r="JJR152" s="22"/>
      <c r="JJS152" s="22"/>
      <c r="JJT152" s="22"/>
      <c r="JJU152" s="22"/>
      <c r="JJV152" s="22"/>
      <c r="JJW152" s="22"/>
      <c r="JJX152" s="22"/>
      <c r="JJY152" s="22"/>
      <c r="JJZ152" s="22"/>
      <c r="JKA152" s="22"/>
      <c r="JKB152" s="22"/>
      <c r="JKC152" s="22"/>
      <c r="JKD152" s="22"/>
      <c r="JKE152" s="22"/>
      <c r="JKF152" s="22"/>
      <c r="JKG152" s="22"/>
      <c r="JKH152" s="22"/>
      <c r="JKI152" s="22"/>
      <c r="JKJ152" s="22"/>
      <c r="JKK152" s="22"/>
      <c r="JKL152" s="22"/>
      <c r="JKM152" s="22"/>
      <c r="JKN152" s="22"/>
      <c r="JKO152" s="22"/>
      <c r="JKP152" s="22"/>
      <c r="JKQ152" s="22"/>
      <c r="JKR152" s="22"/>
      <c r="JKS152" s="22"/>
      <c r="JKT152" s="22"/>
      <c r="JKU152" s="22"/>
      <c r="JKV152" s="22"/>
      <c r="JKW152" s="22"/>
      <c r="JKX152" s="22"/>
      <c r="JKY152" s="22"/>
      <c r="JKZ152" s="22"/>
      <c r="JLA152" s="22"/>
      <c r="JLB152" s="22"/>
      <c r="JLC152" s="22"/>
      <c r="JLD152" s="22"/>
      <c r="JLE152" s="22"/>
      <c r="JLF152" s="22"/>
      <c r="JLG152" s="22"/>
      <c r="JLH152" s="22"/>
      <c r="JLI152" s="22"/>
      <c r="JLJ152" s="22"/>
      <c r="JLK152" s="22"/>
      <c r="JLL152" s="22"/>
      <c r="JLM152" s="22"/>
      <c r="JLN152" s="22"/>
      <c r="JLO152" s="22"/>
      <c r="JLP152" s="22"/>
      <c r="JLQ152" s="22"/>
      <c r="JLR152" s="22"/>
      <c r="JLS152" s="22"/>
      <c r="JLT152" s="22"/>
      <c r="JLU152" s="22"/>
      <c r="JLV152" s="22"/>
      <c r="JLW152" s="22"/>
      <c r="JLX152" s="22"/>
      <c r="JLY152" s="22"/>
      <c r="JLZ152" s="22"/>
      <c r="JMA152" s="22"/>
      <c r="JMB152" s="22"/>
      <c r="JMC152" s="22"/>
      <c r="JMD152" s="22"/>
      <c r="JME152" s="22"/>
      <c r="JMF152" s="22"/>
      <c r="JMG152" s="22"/>
      <c r="JMH152" s="22"/>
      <c r="JMI152" s="22"/>
      <c r="JMJ152" s="22"/>
      <c r="JMK152" s="22"/>
      <c r="JML152" s="22"/>
      <c r="JMM152" s="22"/>
      <c r="JMN152" s="22"/>
      <c r="JMO152" s="22"/>
      <c r="JMP152" s="22"/>
      <c r="JMQ152" s="22"/>
      <c r="JMR152" s="22"/>
      <c r="JMS152" s="22"/>
      <c r="JMT152" s="22"/>
      <c r="JMU152" s="22"/>
      <c r="JMV152" s="22"/>
      <c r="JMW152" s="22"/>
      <c r="JMX152" s="22"/>
      <c r="JMY152" s="22"/>
      <c r="JMZ152" s="22"/>
      <c r="JNA152" s="22"/>
      <c r="JNB152" s="22"/>
      <c r="JNC152" s="22"/>
      <c r="JND152" s="22"/>
      <c r="JNE152" s="22"/>
      <c r="JNF152" s="22"/>
      <c r="JNG152" s="22"/>
      <c r="JNH152" s="22"/>
      <c r="JNI152" s="22"/>
      <c r="JNJ152" s="22"/>
      <c r="JNK152" s="22"/>
      <c r="JNL152" s="22"/>
      <c r="JNM152" s="22"/>
      <c r="JNN152" s="22"/>
      <c r="JNO152" s="22"/>
      <c r="JNP152" s="22"/>
      <c r="JNQ152" s="22"/>
      <c r="JNR152" s="22"/>
      <c r="JNS152" s="22"/>
      <c r="JNT152" s="22"/>
      <c r="JNU152" s="22"/>
      <c r="JNV152" s="22"/>
      <c r="JNW152" s="22"/>
      <c r="JNX152" s="22"/>
      <c r="JNY152" s="22"/>
      <c r="JNZ152" s="22"/>
      <c r="JOA152" s="22"/>
      <c r="JOB152" s="22"/>
      <c r="JOC152" s="22"/>
      <c r="JOD152" s="22"/>
      <c r="JOE152" s="22"/>
      <c r="JOF152" s="22"/>
      <c r="JOG152" s="22"/>
      <c r="JOH152" s="22"/>
      <c r="JOI152" s="22"/>
      <c r="JOJ152" s="22"/>
      <c r="JOK152" s="22"/>
      <c r="JOL152" s="22"/>
      <c r="JOM152" s="22"/>
      <c r="JON152" s="22"/>
      <c r="JOO152" s="22"/>
      <c r="JOP152" s="22"/>
      <c r="JOQ152" s="22"/>
      <c r="JOR152" s="22"/>
      <c r="JOS152" s="22"/>
      <c r="JOT152" s="22"/>
      <c r="JOU152" s="22"/>
      <c r="JOV152" s="22"/>
      <c r="JOW152" s="22"/>
      <c r="JOX152" s="22"/>
      <c r="JOY152" s="22"/>
      <c r="JOZ152" s="22"/>
      <c r="JPA152" s="22"/>
      <c r="JPB152" s="22"/>
      <c r="JPC152" s="22"/>
      <c r="JPD152" s="22"/>
      <c r="JPE152" s="22"/>
      <c r="JPF152" s="22"/>
      <c r="JPG152" s="22"/>
      <c r="JPH152" s="22"/>
      <c r="JPI152" s="22"/>
      <c r="JPJ152" s="22"/>
      <c r="JPK152" s="22"/>
      <c r="JPL152" s="22"/>
      <c r="JPM152" s="22"/>
      <c r="JPN152" s="22"/>
      <c r="JPO152" s="22"/>
      <c r="JPP152" s="22"/>
      <c r="JPQ152" s="22"/>
      <c r="JPR152" s="22"/>
      <c r="JPS152" s="22"/>
      <c r="JPT152" s="22"/>
      <c r="JPU152" s="22"/>
      <c r="JPV152" s="22"/>
      <c r="JPW152" s="22"/>
      <c r="JPX152" s="22"/>
      <c r="JPY152" s="22"/>
      <c r="JPZ152" s="22"/>
      <c r="JQA152" s="22"/>
      <c r="JQB152" s="22"/>
      <c r="JQC152" s="22"/>
      <c r="JQD152" s="22"/>
      <c r="JQE152" s="22"/>
      <c r="JQF152" s="22"/>
      <c r="JQG152" s="22"/>
      <c r="JQH152" s="22"/>
      <c r="JQI152" s="22"/>
      <c r="JQJ152" s="22"/>
      <c r="JQK152" s="22"/>
      <c r="JQL152" s="22"/>
      <c r="JQM152" s="22"/>
      <c r="JQN152" s="22"/>
      <c r="JQO152" s="22"/>
      <c r="JQP152" s="22"/>
      <c r="JQQ152" s="22"/>
      <c r="JQR152" s="22"/>
      <c r="JQS152" s="22"/>
      <c r="JQT152" s="22"/>
      <c r="JQU152" s="22"/>
      <c r="JQV152" s="22"/>
      <c r="JQW152" s="22"/>
      <c r="JQX152" s="22"/>
      <c r="JQY152" s="22"/>
      <c r="JQZ152" s="22"/>
      <c r="JRA152" s="22"/>
      <c r="JRB152" s="22"/>
      <c r="JRC152" s="22"/>
      <c r="JRD152" s="22"/>
      <c r="JRE152" s="22"/>
      <c r="JRF152" s="22"/>
      <c r="JRG152" s="22"/>
      <c r="JRH152" s="22"/>
      <c r="JRI152" s="22"/>
      <c r="JRJ152" s="22"/>
      <c r="JRK152" s="22"/>
      <c r="JRL152" s="22"/>
      <c r="JRM152" s="22"/>
      <c r="JRN152" s="22"/>
      <c r="JRO152" s="22"/>
      <c r="JRP152" s="22"/>
      <c r="JRQ152" s="22"/>
      <c r="JRR152" s="22"/>
      <c r="JRS152" s="22"/>
      <c r="JRT152" s="22"/>
      <c r="JRU152" s="22"/>
      <c r="JRV152" s="22"/>
      <c r="JRW152" s="22"/>
      <c r="JRX152" s="22"/>
      <c r="JRY152" s="22"/>
      <c r="JRZ152" s="22"/>
      <c r="JSA152" s="22"/>
      <c r="JSB152" s="22"/>
      <c r="JSC152" s="22"/>
      <c r="JSD152" s="22"/>
      <c r="JSE152" s="22"/>
      <c r="JSF152" s="22"/>
      <c r="JSG152" s="22"/>
      <c r="JSH152" s="22"/>
      <c r="JSI152" s="22"/>
      <c r="JSJ152" s="22"/>
      <c r="JSK152" s="22"/>
      <c r="JSL152" s="22"/>
      <c r="JSM152" s="22"/>
      <c r="JSN152" s="22"/>
      <c r="JSO152" s="22"/>
      <c r="JSP152" s="22"/>
      <c r="JSQ152" s="22"/>
      <c r="JSR152" s="22"/>
      <c r="JSS152" s="22"/>
      <c r="JST152" s="22"/>
      <c r="JSU152" s="22"/>
      <c r="JSV152" s="22"/>
      <c r="JSW152" s="22"/>
      <c r="JSX152" s="22"/>
      <c r="JSY152" s="22"/>
      <c r="JSZ152" s="22"/>
      <c r="JTA152" s="22"/>
      <c r="JTB152" s="22"/>
      <c r="JTC152" s="22"/>
      <c r="JTD152" s="22"/>
      <c r="JTE152" s="22"/>
      <c r="JTF152" s="22"/>
      <c r="JTG152" s="22"/>
      <c r="JTH152" s="22"/>
      <c r="JTI152" s="22"/>
      <c r="JTJ152" s="22"/>
      <c r="JTK152" s="22"/>
      <c r="JTL152" s="22"/>
      <c r="JTM152" s="22"/>
      <c r="JTN152" s="22"/>
      <c r="JTO152" s="22"/>
      <c r="JTP152" s="22"/>
      <c r="JTQ152" s="22"/>
      <c r="JTR152" s="22"/>
      <c r="JTS152" s="22"/>
      <c r="JTT152" s="22"/>
      <c r="JTU152" s="22"/>
      <c r="JTV152" s="22"/>
      <c r="JTW152" s="22"/>
      <c r="JTX152" s="22"/>
      <c r="JTY152" s="22"/>
      <c r="JTZ152" s="22"/>
      <c r="JUA152" s="22"/>
      <c r="JUB152" s="22"/>
      <c r="JUC152" s="22"/>
      <c r="JUD152" s="22"/>
      <c r="JUE152" s="22"/>
      <c r="JUF152" s="22"/>
      <c r="JUG152" s="22"/>
      <c r="JUH152" s="22"/>
      <c r="JUI152" s="22"/>
      <c r="JUJ152" s="22"/>
      <c r="JUK152" s="22"/>
      <c r="JUL152" s="22"/>
      <c r="JUM152" s="22"/>
      <c r="JUN152" s="22"/>
      <c r="JUO152" s="22"/>
      <c r="JUP152" s="22"/>
      <c r="JUQ152" s="22"/>
      <c r="JUR152" s="22"/>
      <c r="JUS152" s="22"/>
      <c r="JUT152" s="22"/>
      <c r="JUU152" s="22"/>
      <c r="JUV152" s="22"/>
      <c r="JUW152" s="22"/>
      <c r="JUX152" s="22"/>
      <c r="JUY152" s="22"/>
      <c r="JUZ152" s="22"/>
      <c r="JVA152" s="22"/>
      <c r="JVB152" s="22"/>
      <c r="JVC152" s="22"/>
      <c r="JVD152" s="22"/>
      <c r="JVE152" s="22"/>
      <c r="JVF152" s="22"/>
      <c r="JVG152" s="22"/>
      <c r="JVH152" s="22"/>
      <c r="JVI152" s="22"/>
      <c r="JVJ152" s="22"/>
      <c r="JVK152" s="22"/>
      <c r="JVL152" s="22"/>
      <c r="JVM152" s="22"/>
      <c r="JVN152" s="22"/>
      <c r="JVO152" s="22"/>
      <c r="JVP152" s="22"/>
      <c r="JVQ152" s="22"/>
      <c r="JVR152" s="22"/>
      <c r="JVS152" s="22"/>
      <c r="JVT152" s="22"/>
      <c r="JVU152" s="22"/>
      <c r="JVV152" s="22"/>
      <c r="JVW152" s="22"/>
      <c r="JVX152" s="22"/>
      <c r="JVY152" s="22"/>
      <c r="JVZ152" s="22"/>
      <c r="JWA152" s="22"/>
      <c r="JWB152" s="22"/>
      <c r="JWC152" s="22"/>
      <c r="JWD152" s="22"/>
      <c r="JWE152" s="22"/>
      <c r="JWF152" s="22"/>
      <c r="JWG152" s="22"/>
      <c r="JWH152" s="22"/>
      <c r="JWI152" s="22"/>
      <c r="JWJ152" s="22"/>
      <c r="JWK152" s="22"/>
      <c r="JWL152" s="22"/>
      <c r="JWM152" s="22"/>
      <c r="JWN152" s="22"/>
      <c r="JWO152" s="22"/>
      <c r="JWP152" s="22"/>
      <c r="JWQ152" s="22"/>
      <c r="JWR152" s="22"/>
      <c r="JWS152" s="22"/>
      <c r="JWT152" s="22"/>
      <c r="JWU152" s="22"/>
      <c r="JWV152" s="22"/>
      <c r="JWW152" s="22"/>
      <c r="JWX152" s="22"/>
      <c r="JWY152" s="22"/>
      <c r="JWZ152" s="22"/>
      <c r="JXA152" s="22"/>
      <c r="JXB152" s="22"/>
      <c r="JXC152" s="22"/>
      <c r="JXD152" s="22"/>
      <c r="JXE152" s="22"/>
      <c r="JXF152" s="22"/>
      <c r="JXG152" s="22"/>
      <c r="JXH152" s="22"/>
      <c r="JXI152" s="22"/>
      <c r="JXJ152" s="22"/>
      <c r="JXK152" s="22"/>
      <c r="JXL152" s="22"/>
      <c r="JXM152" s="22"/>
      <c r="JXN152" s="22"/>
      <c r="JXO152" s="22"/>
      <c r="JXP152" s="22"/>
      <c r="JXQ152" s="22"/>
      <c r="JXR152" s="22"/>
      <c r="JXS152" s="22"/>
      <c r="JXT152" s="22"/>
      <c r="JXU152" s="22"/>
      <c r="JXV152" s="22"/>
      <c r="JXW152" s="22"/>
      <c r="JXX152" s="22"/>
      <c r="JXY152" s="22"/>
      <c r="JXZ152" s="22"/>
      <c r="JYA152" s="22"/>
      <c r="JYB152" s="22"/>
      <c r="JYC152" s="22"/>
      <c r="JYD152" s="22"/>
      <c r="JYE152" s="22"/>
      <c r="JYF152" s="22"/>
      <c r="JYG152" s="22"/>
      <c r="JYH152" s="22"/>
      <c r="JYI152" s="22"/>
      <c r="JYJ152" s="22"/>
      <c r="JYK152" s="22"/>
      <c r="JYL152" s="22"/>
      <c r="JYM152" s="22"/>
      <c r="JYN152" s="22"/>
      <c r="JYO152" s="22"/>
      <c r="JYP152" s="22"/>
      <c r="JYQ152" s="22"/>
      <c r="JYR152" s="22"/>
      <c r="JYS152" s="22"/>
      <c r="JYT152" s="22"/>
      <c r="JYU152" s="22"/>
      <c r="JYV152" s="22"/>
      <c r="JYW152" s="22"/>
      <c r="JYX152" s="22"/>
      <c r="JYY152" s="22"/>
      <c r="JYZ152" s="22"/>
      <c r="JZA152" s="22"/>
      <c r="JZB152" s="22"/>
      <c r="JZC152" s="22"/>
      <c r="JZD152" s="22"/>
      <c r="JZE152" s="22"/>
      <c r="JZF152" s="22"/>
      <c r="JZG152" s="22"/>
      <c r="JZH152" s="22"/>
      <c r="JZI152" s="22"/>
      <c r="JZJ152" s="22"/>
      <c r="JZK152" s="22"/>
      <c r="JZL152" s="22"/>
      <c r="JZM152" s="22"/>
      <c r="JZN152" s="22"/>
      <c r="JZO152" s="22"/>
      <c r="JZP152" s="22"/>
      <c r="JZQ152" s="22"/>
      <c r="JZR152" s="22"/>
      <c r="JZS152" s="22"/>
      <c r="JZT152" s="22"/>
      <c r="JZU152" s="22"/>
      <c r="JZV152" s="22"/>
      <c r="JZW152" s="22"/>
      <c r="JZX152" s="22"/>
      <c r="JZY152" s="22"/>
      <c r="JZZ152" s="22"/>
      <c r="KAA152" s="22"/>
      <c r="KAB152" s="22"/>
      <c r="KAC152" s="22"/>
      <c r="KAD152" s="22"/>
      <c r="KAE152" s="22"/>
      <c r="KAF152" s="22"/>
      <c r="KAG152" s="22"/>
      <c r="KAH152" s="22"/>
      <c r="KAI152" s="22"/>
      <c r="KAJ152" s="22"/>
      <c r="KAK152" s="22"/>
      <c r="KAL152" s="22"/>
      <c r="KAM152" s="22"/>
      <c r="KAN152" s="22"/>
      <c r="KAO152" s="22"/>
      <c r="KAP152" s="22"/>
      <c r="KAQ152" s="22"/>
      <c r="KAR152" s="22"/>
      <c r="KAS152" s="22"/>
      <c r="KAT152" s="22"/>
      <c r="KAU152" s="22"/>
      <c r="KAV152" s="22"/>
      <c r="KAW152" s="22"/>
      <c r="KAX152" s="22"/>
      <c r="KAY152" s="22"/>
      <c r="KAZ152" s="22"/>
      <c r="KBA152" s="22"/>
      <c r="KBB152" s="22"/>
      <c r="KBC152" s="22"/>
      <c r="KBD152" s="22"/>
      <c r="KBE152" s="22"/>
      <c r="KBF152" s="22"/>
      <c r="KBG152" s="22"/>
      <c r="KBH152" s="22"/>
      <c r="KBI152" s="22"/>
      <c r="KBJ152" s="22"/>
      <c r="KBK152" s="22"/>
      <c r="KBL152" s="22"/>
      <c r="KBM152" s="22"/>
      <c r="KBN152" s="22"/>
      <c r="KBO152" s="22"/>
      <c r="KBP152" s="22"/>
      <c r="KBQ152" s="22"/>
      <c r="KBR152" s="22"/>
      <c r="KBS152" s="22"/>
      <c r="KBT152" s="22"/>
      <c r="KBU152" s="22"/>
      <c r="KBV152" s="22"/>
      <c r="KBW152" s="22"/>
      <c r="KBX152" s="22"/>
      <c r="KBY152" s="22"/>
      <c r="KBZ152" s="22"/>
      <c r="KCA152" s="22"/>
      <c r="KCB152" s="22"/>
      <c r="KCC152" s="22"/>
      <c r="KCD152" s="22"/>
      <c r="KCE152" s="22"/>
      <c r="KCF152" s="22"/>
      <c r="KCG152" s="22"/>
      <c r="KCH152" s="22"/>
      <c r="KCI152" s="22"/>
      <c r="KCJ152" s="22"/>
      <c r="KCK152" s="22"/>
      <c r="KCL152" s="22"/>
      <c r="KCM152" s="22"/>
      <c r="KCN152" s="22"/>
      <c r="KCO152" s="22"/>
      <c r="KCP152" s="22"/>
      <c r="KCQ152" s="22"/>
      <c r="KCR152" s="22"/>
      <c r="KCS152" s="22"/>
      <c r="KCT152" s="22"/>
      <c r="KCU152" s="22"/>
      <c r="KCV152" s="22"/>
      <c r="KCW152" s="22"/>
      <c r="KCX152" s="22"/>
      <c r="KCY152" s="22"/>
      <c r="KCZ152" s="22"/>
      <c r="KDA152" s="22"/>
      <c r="KDB152" s="22"/>
      <c r="KDC152" s="22"/>
      <c r="KDD152" s="22"/>
      <c r="KDE152" s="22"/>
      <c r="KDF152" s="22"/>
      <c r="KDG152" s="22"/>
      <c r="KDH152" s="22"/>
      <c r="KDI152" s="22"/>
      <c r="KDJ152" s="22"/>
      <c r="KDK152" s="22"/>
      <c r="KDL152" s="22"/>
      <c r="KDM152" s="22"/>
      <c r="KDN152" s="22"/>
      <c r="KDO152" s="22"/>
      <c r="KDP152" s="22"/>
      <c r="KDQ152" s="22"/>
      <c r="KDR152" s="22"/>
      <c r="KDS152" s="22"/>
      <c r="KDT152" s="22"/>
      <c r="KDU152" s="22"/>
      <c r="KDV152" s="22"/>
      <c r="KDW152" s="22"/>
      <c r="KDX152" s="22"/>
      <c r="KDY152" s="22"/>
      <c r="KDZ152" s="22"/>
      <c r="KEA152" s="22"/>
      <c r="KEB152" s="22"/>
      <c r="KEC152" s="22"/>
      <c r="KED152" s="22"/>
      <c r="KEE152" s="22"/>
      <c r="KEF152" s="22"/>
      <c r="KEG152" s="22"/>
      <c r="KEH152" s="22"/>
      <c r="KEI152" s="22"/>
      <c r="KEJ152" s="22"/>
      <c r="KEK152" s="22"/>
      <c r="KEL152" s="22"/>
      <c r="KEM152" s="22"/>
      <c r="KEN152" s="22"/>
      <c r="KEO152" s="22"/>
      <c r="KEP152" s="22"/>
      <c r="KEQ152" s="22"/>
      <c r="KER152" s="22"/>
      <c r="KES152" s="22"/>
      <c r="KET152" s="22"/>
      <c r="KEU152" s="22"/>
      <c r="KEV152" s="22"/>
      <c r="KEW152" s="22"/>
      <c r="KEX152" s="22"/>
      <c r="KEY152" s="22"/>
      <c r="KEZ152" s="22"/>
      <c r="KFA152" s="22"/>
      <c r="KFB152" s="22"/>
      <c r="KFC152" s="22"/>
      <c r="KFD152" s="22"/>
      <c r="KFE152" s="22"/>
      <c r="KFF152" s="22"/>
      <c r="KFG152" s="22"/>
      <c r="KFH152" s="22"/>
      <c r="KFI152" s="22"/>
      <c r="KFJ152" s="22"/>
      <c r="KFK152" s="22"/>
      <c r="KFL152" s="22"/>
      <c r="KFM152" s="22"/>
      <c r="KFN152" s="22"/>
      <c r="KFO152" s="22"/>
      <c r="KFP152" s="22"/>
      <c r="KFQ152" s="22"/>
      <c r="KFR152" s="22"/>
      <c r="KFS152" s="22"/>
      <c r="KFT152" s="22"/>
      <c r="KFU152" s="22"/>
      <c r="KFV152" s="22"/>
      <c r="KFW152" s="22"/>
      <c r="KFX152" s="22"/>
      <c r="KFY152" s="22"/>
      <c r="KFZ152" s="22"/>
      <c r="KGA152" s="22"/>
      <c r="KGB152" s="22"/>
      <c r="KGC152" s="22"/>
      <c r="KGD152" s="22"/>
      <c r="KGE152" s="22"/>
      <c r="KGF152" s="22"/>
      <c r="KGG152" s="22"/>
      <c r="KGH152" s="22"/>
      <c r="KGI152" s="22"/>
      <c r="KGJ152" s="22"/>
      <c r="KGK152" s="22"/>
      <c r="KGL152" s="22"/>
      <c r="KGM152" s="22"/>
      <c r="KGN152" s="22"/>
      <c r="KGO152" s="22"/>
      <c r="KGP152" s="22"/>
      <c r="KGQ152" s="22"/>
      <c r="KGR152" s="22"/>
      <c r="KGS152" s="22"/>
      <c r="KGT152" s="22"/>
      <c r="KGU152" s="22"/>
      <c r="KGV152" s="22"/>
      <c r="KGW152" s="22"/>
      <c r="KGX152" s="22"/>
      <c r="KGY152" s="22"/>
      <c r="KGZ152" s="22"/>
      <c r="KHA152" s="22"/>
      <c r="KHB152" s="22"/>
      <c r="KHC152" s="22"/>
      <c r="KHD152" s="22"/>
      <c r="KHE152" s="22"/>
      <c r="KHF152" s="22"/>
      <c r="KHG152" s="22"/>
      <c r="KHH152" s="22"/>
      <c r="KHI152" s="22"/>
      <c r="KHJ152" s="22"/>
      <c r="KHK152" s="22"/>
      <c r="KHL152" s="22"/>
      <c r="KHM152" s="22"/>
      <c r="KHN152" s="22"/>
      <c r="KHO152" s="22"/>
      <c r="KHP152" s="22"/>
      <c r="KHQ152" s="22"/>
      <c r="KHR152" s="22"/>
      <c r="KHS152" s="22"/>
      <c r="KHT152" s="22"/>
      <c r="KHU152" s="22"/>
      <c r="KHV152" s="22"/>
      <c r="KHW152" s="22"/>
      <c r="KHX152" s="22"/>
      <c r="KHY152" s="22"/>
      <c r="KHZ152" s="22"/>
      <c r="KIA152" s="22"/>
      <c r="KIB152" s="22"/>
      <c r="KIC152" s="22"/>
      <c r="KID152" s="22"/>
      <c r="KIE152" s="22"/>
      <c r="KIF152" s="22"/>
      <c r="KIG152" s="22"/>
      <c r="KIH152" s="22"/>
      <c r="KII152" s="22"/>
      <c r="KIJ152" s="22"/>
      <c r="KIK152" s="22"/>
      <c r="KIL152" s="22"/>
      <c r="KIM152" s="22"/>
      <c r="KIN152" s="22"/>
      <c r="KIO152" s="22"/>
      <c r="KIP152" s="22"/>
      <c r="KIQ152" s="22"/>
      <c r="KIR152" s="22"/>
      <c r="KIS152" s="22"/>
      <c r="KIT152" s="22"/>
      <c r="KIU152" s="22"/>
      <c r="KIV152" s="22"/>
      <c r="KIW152" s="22"/>
      <c r="KIX152" s="22"/>
      <c r="KIY152" s="22"/>
      <c r="KIZ152" s="22"/>
      <c r="KJA152" s="22"/>
      <c r="KJB152" s="22"/>
      <c r="KJC152" s="22"/>
      <c r="KJD152" s="22"/>
      <c r="KJE152" s="22"/>
      <c r="KJF152" s="22"/>
      <c r="KJG152" s="22"/>
      <c r="KJH152" s="22"/>
      <c r="KJI152" s="22"/>
      <c r="KJJ152" s="22"/>
      <c r="KJK152" s="22"/>
      <c r="KJL152" s="22"/>
      <c r="KJM152" s="22"/>
      <c r="KJN152" s="22"/>
      <c r="KJO152" s="22"/>
      <c r="KJP152" s="22"/>
      <c r="KJQ152" s="22"/>
      <c r="KJR152" s="22"/>
      <c r="KJS152" s="22"/>
      <c r="KJT152" s="22"/>
      <c r="KJU152" s="22"/>
      <c r="KJV152" s="22"/>
      <c r="KJW152" s="22"/>
      <c r="KJX152" s="22"/>
      <c r="KJY152" s="22"/>
      <c r="KJZ152" s="22"/>
      <c r="KKA152" s="22"/>
      <c r="KKB152" s="22"/>
      <c r="KKC152" s="22"/>
      <c r="KKD152" s="22"/>
      <c r="KKE152" s="22"/>
      <c r="KKF152" s="22"/>
      <c r="KKG152" s="22"/>
      <c r="KKH152" s="22"/>
      <c r="KKI152" s="22"/>
      <c r="KKJ152" s="22"/>
      <c r="KKK152" s="22"/>
      <c r="KKL152" s="22"/>
      <c r="KKM152" s="22"/>
      <c r="KKN152" s="22"/>
      <c r="KKO152" s="22"/>
      <c r="KKP152" s="22"/>
      <c r="KKQ152" s="22"/>
      <c r="KKR152" s="22"/>
      <c r="KKS152" s="22"/>
      <c r="KKT152" s="22"/>
      <c r="KKU152" s="22"/>
      <c r="KKV152" s="22"/>
      <c r="KKW152" s="22"/>
      <c r="KKX152" s="22"/>
      <c r="KKY152" s="22"/>
      <c r="KKZ152" s="22"/>
      <c r="KLA152" s="22"/>
      <c r="KLB152" s="22"/>
      <c r="KLC152" s="22"/>
      <c r="KLD152" s="22"/>
      <c r="KLE152" s="22"/>
      <c r="KLF152" s="22"/>
      <c r="KLG152" s="22"/>
      <c r="KLH152" s="22"/>
      <c r="KLI152" s="22"/>
      <c r="KLJ152" s="22"/>
      <c r="KLK152" s="22"/>
      <c r="KLL152" s="22"/>
      <c r="KLM152" s="22"/>
      <c r="KLN152" s="22"/>
      <c r="KLO152" s="22"/>
      <c r="KLP152" s="22"/>
      <c r="KLQ152" s="22"/>
      <c r="KLR152" s="22"/>
      <c r="KLS152" s="22"/>
      <c r="KLT152" s="22"/>
      <c r="KLU152" s="22"/>
      <c r="KLV152" s="22"/>
      <c r="KLW152" s="22"/>
      <c r="KLX152" s="22"/>
      <c r="KLY152" s="22"/>
      <c r="KLZ152" s="22"/>
      <c r="KMA152" s="22"/>
      <c r="KMB152" s="22"/>
      <c r="KMC152" s="22"/>
      <c r="KMD152" s="22"/>
      <c r="KME152" s="22"/>
      <c r="KMF152" s="22"/>
      <c r="KMG152" s="22"/>
      <c r="KMH152" s="22"/>
      <c r="KMI152" s="22"/>
      <c r="KMJ152" s="22"/>
      <c r="KMK152" s="22"/>
      <c r="KML152" s="22"/>
      <c r="KMM152" s="22"/>
      <c r="KMN152" s="22"/>
      <c r="KMO152" s="22"/>
      <c r="KMP152" s="22"/>
      <c r="KMQ152" s="22"/>
      <c r="KMR152" s="22"/>
      <c r="KMS152" s="22"/>
      <c r="KMT152" s="22"/>
      <c r="KMU152" s="22"/>
      <c r="KMV152" s="22"/>
      <c r="KMW152" s="22"/>
      <c r="KMX152" s="22"/>
      <c r="KMY152" s="22"/>
      <c r="KMZ152" s="22"/>
      <c r="KNA152" s="22"/>
      <c r="KNB152" s="22"/>
      <c r="KNC152" s="22"/>
      <c r="KND152" s="22"/>
      <c r="KNE152" s="22"/>
      <c r="KNF152" s="22"/>
      <c r="KNG152" s="22"/>
      <c r="KNH152" s="22"/>
      <c r="KNI152" s="22"/>
      <c r="KNJ152" s="22"/>
      <c r="KNK152" s="22"/>
      <c r="KNL152" s="22"/>
      <c r="KNM152" s="22"/>
      <c r="KNN152" s="22"/>
      <c r="KNO152" s="22"/>
      <c r="KNP152" s="22"/>
      <c r="KNQ152" s="22"/>
      <c r="KNR152" s="22"/>
      <c r="KNS152" s="22"/>
      <c r="KNT152" s="22"/>
      <c r="KNU152" s="22"/>
      <c r="KNV152" s="22"/>
      <c r="KNW152" s="22"/>
      <c r="KNX152" s="22"/>
      <c r="KNY152" s="22"/>
      <c r="KNZ152" s="22"/>
      <c r="KOA152" s="22"/>
      <c r="KOB152" s="22"/>
      <c r="KOC152" s="22"/>
      <c r="KOD152" s="22"/>
      <c r="KOE152" s="22"/>
      <c r="KOF152" s="22"/>
      <c r="KOG152" s="22"/>
      <c r="KOH152" s="22"/>
      <c r="KOI152" s="22"/>
      <c r="KOJ152" s="22"/>
      <c r="KOK152" s="22"/>
      <c r="KOL152" s="22"/>
      <c r="KOM152" s="22"/>
      <c r="KON152" s="22"/>
      <c r="KOO152" s="22"/>
      <c r="KOP152" s="22"/>
      <c r="KOQ152" s="22"/>
      <c r="KOR152" s="22"/>
      <c r="KOS152" s="22"/>
      <c r="KOT152" s="22"/>
      <c r="KOU152" s="22"/>
      <c r="KOV152" s="22"/>
      <c r="KOW152" s="22"/>
      <c r="KOX152" s="22"/>
      <c r="KOY152" s="22"/>
      <c r="KOZ152" s="22"/>
      <c r="KPA152" s="22"/>
      <c r="KPB152" s="22"/>
      <c r="KPC152" s="22"/>
      <c r="KPD152" s="22"/>
      <c r="KPE152" s="22"/>
      <c r="KPF152" s="22"/>
      <c r="KPG152" s="22"/>
      <c r="KPH152" s="22"/>
      <c r="KPI152" s="22"/>
      <c r="KPJ152" s="22"/>
      <c r="KPK152" s="22"/>
      <c r="KPL152" s="22"/>
      <c r="KPM152" s="22"/>
      <c r="KPN152" s="22"/>
      <c r="KPO152" s="22"/>
      <c r="KPP152" s="22"/>
      <c r="KPQ152" s="22"/>
      <c r="KPR152" s="22"/>
      <c r="KPS152" s="22"/>
      <c r="KPT152" s="22"/>
      <c r="KPU152" s="22"/>
      <c r="KPV152" s="22"/>
      <c r="KPW152" s="22"/>
      <c r="KPX152" s="22"/>
      <c r="KPY152" s="22"/>
      <c r="KPZ152" s="22"/>
      <c r="KQA152" s="22"/>
      <c r="KQB152" s="22"/>
      <c r="KQC152" s="22"/>
      <c r="KQD152" s="22"/>
      <c r="KQE152" s="22"/>
      <c r="KQF152" s="22"/>
      <c r="KQG152" s="22"/>
      <c r="KQH152" s="22"/>
      <c r="KQI152" s="22"/>
      <c r="KQJ152" s="22"/>
      <c r="KQK152" s="22"/>
      <c r="KQL152" s="22"/>
      <c r="KQM152" s="22"/>
      <c r="KQN152" s="22"/>
      <c r="KQO152" s="22"/>
      <c r="KQP152" s="22"/>
      <c r="KQQ152" s="22"/>
      <c r="KQR152" s="22"/>
      <c r="KQS152" s="22"/>
      <c r="KQT152" s="22"/>
      <c r="KQU152" s="22"/>
      <c r="KQV152" s="22"/>
      <c r="KQW152" s="22"/>
      <c r="KQX152" s="22"/>
      <c r="KQY152" s="22"/>
      <c r="KQZ152" s="22"/>
      <c r="KRA152" s="22"/>
      <c r="KRB152" s="22"/>
      <c r="KRC152" s="22"/>
      <c r="KRD152" s="22"/>
      <c r="KRE152" s="22"/>
      <c r="KRF152" s="22"/>
      <c r="KRG152" s="22"/>
      <c r="KRH152" s="22"/>
      <c r="KRI152" s="22"/>
      <c r="KRJ152" s="22"/>
      <c r="KRK152" s="22"/>
      <c r="KRL152" s="22"/>
      <c r="KRM152" s="22"/>
      <c r="KRN152" s="22"/>
      <c r="KRO152" s="22"/>
      <c r="KRP152" s="22"/>
      <c r="KRQ152" s="22"/>
      <c r="KRR152" s="22"/>
      <c r="KRS152" s="22"/>
      <c r="KRT152" s="22"/>
      <c r="KRU152" s="22"/>
      <c r="KRV152" s="22"/>
      <c r="KRW152" s="22"/>
      <c r="KRX152" s="22"/>
      <c r="KRY152" s="22"/>
      <c r="KRZ152" s="22"/>
      <c r="KSA152" s="22"/>
      <c r="KSB152" s="22"/>
      <c r="KSC152" s="22"/>
      <c r="KSD152" s="22"/>
      <c r="KSE152" s="22"/>
      <c r="KSF152" s="22"/>
      <c r="KSG152" s="22"/>
      <c r="KSH152" s="22"/>
      <c r="KSI152" s="22"/>
      <c r="KSJ152" s="22"/>
      <c r="KSK152" s="22"/>
      <c r="KSL152" s="22"/>
      <c r="KSM152" s="22"/>
      <c r="KSN152" s="22"/>
      <c r="KSO152" s="22"/>
      <c r="KSP152" s="22"/>
      <c r="KSQ152" s="22"/>
      <c r="KSR152" s="22"/>
      <c r="KSS152" s="22"/>
      <c r="KST152" s="22"/>
      <c r="KSU152" s="22"/>
      <c r="KSV152" s="22"/>
      <c r="KSW152" s="22"/>
      <c r="KSX152" s="22"/>
      <c r="KSY152" s="22"/>
      <c r="KSZ152" s="22"/>
      <c r="KTA152" s="22"/>
      <c r="KTB152" s="22"/>
      <c r="KTC152" s="22"/>
      <c r="KTD152" s="22"/>
      <c r="KTE152" s="22"/>
      <c r="KTF152" s="22"/>
      <c r="KTG152" s="22"/>
      <c r="KTH152" s="22"/>
      <c r="KTI152" s="22"/>
      <c r="KTJ152" s="22"/>
      <c r="KTK152" s="22"/>
      <c r="KTL152" s="22"/>
      <c r="KTM152" s="22"/>
      <c r="KTN152" s="22"/>
      <c r="KTO152" s="22"/>
      <c r="KTP152" s="22"/>
      <c r="KTQ152" s="22"/>
      <c r="KTR152" s="22"/>
      <c r="KTS152" s="22"/>
      <c r="KTT152" s="22"/>
      <c r="KTU152" s="22"/>
      <c r="KTV152" s="22"/>
      <c r="KTW152" s="22"/>
      <c r="KTX152" s="22"/>
      <c r="KTY152" s="22"/>
      <c r="KTZ152" s="22"/>
      <c r="KUA152" s="22"/>
      <c r="KUB152" s="22"/>
      <c r="KUC152" s="22"/>
      <c r="KUD152" s="22"/>
      <c r="KUE152" s="22"/>
      <c r="KUF152" s="22"/>
      <c r="KUG152" s="22"/>
      <c r="KUH152" s="22"/>
      <c r="KUI152" s="22"/>
      <c r="KUJ152" s="22"/>
      <c r="KUK152" s="22"/>
      <c r="KUL152" s="22"/>
      <c r="KUM152" s="22"/>
      <c r="KUN152" s="22"/>
      <c r="KUO152" s="22"/>
      <c r="KUP152" s="22"/>
      <c r="KUQ152" s="22"/>
      <c r="KUR152" s="22"/>
      <c r="KUS152" s="22"/>
      <c r="KUT152" s="22"/>
      <c r="KUU152" s="22"/>
      <c r="KUV152" s="22"/>
      <c r="KUW152" s="22"/>
      <c r="KUX152" s="22"/>
      <c r="KUY152" s="22"/>
      <c r="KUZ152" s="22"/>
      <c r="KVA152" s="22"/>
      <c r="KVB152" s="22"/>
      <c r="KVC152" s="22"/>
      <c r="KVD152" s="22"/>
      <c r="KVE152" s="22"/>
      <c r="KVF152" s="22"/>
      <c r="KVG152" s="22"/>
      <c r="KVH152" s="22"/>
      <c r="KVI152" s="22"/>
      <c r="KVJ152" s="22"/>
      <c r="KVK152" s="22"/>
      <c r="KVL152" s="22"/>
      <c r="KVM152" s="22"/>
      <c r="KVN152" s="22"/>
      <c r="KVO152" s="22"/>
      <c r="KVP152" s="22"/>
      <c r="KVQ152" s="22"/>
      <c r="KVR152" s="22"/>
      <c r="KVS152" s="22"/>
      <c r="KVT152" s="22"/>
      <c r="KVU152" s="22"/>
      <c r="KVV152" s="22"/>
      <c r="KVW152" s="22"/>
      <c r="KVX152" s="22"/>
      <c r="KVY152" s="22"/>
      <c r="KVZ152" s="22"/>
      <c r="KWA152" s="22"/>
      <c r="KWB152" s="22"/>
      <c r="KWC152" s="22"/>
      <c r="KWD152" s="22"/>
      <c r="KWE152" s="22"/>
      <c r="KWF152" s="22"/>
      <c r="KWG152" s="22"/>
      <c r="KWH152" s="22"/>
      <c r="KWI152" s="22"/>
      <c r="KWJ152" s="22"/>
      <c r="KWK152" s="22"/>
      <c r="KWL152" s="22"/>
      <c r="KWM152" s="22"/>
      <c r="KWN152" s="22"/>
      <c r="KWO152" s="22"/>
      <c r="KWP152" s="22"/>
      <c r="KWQ152" s="22"/>
      <c r="KWR152" s="22"/>
      <c r="KWS152" s="22"/>
      <c r="KWT152" s="22"/>
      <c r="KWU152" s="22"/>
      <c r="KWV152" s="22"/>
      <c r="KWW152" s="22"/>
      <c r="KWX152" s="22"/>
      <c r="KWY152" s="22"/>
      <c r="KWZ152" s="22"/>
      <c r="KXA152" s="22"/>
      <c r="KXB152" s="22"/>
      <c r="KXC152" s="22"/>
      <c r="KXD152" s="22"/>
      <c r="KXE152" s="22"/>
      <c r="KXF152" s="22"/>
      <c r="KXG152" s="22"/>
      <c r="KXH152" s="22"/>
      <c r="KXI152" s="22"/>
      <c r="KXJ152" s="22"/>
      <c r="KXK152" s="22"/>
      <c r="KXL152" s="22"/>
      <c r="KXM152" s="22"/>
      <c r="KXN152" s="22"/>
      <c r="KXO152" s="22"/>
      <c r="KXP152" s="22"/>
      <c r="KXQ152" s="22"/>
      <c r="KXR152" s="22"/>
      <c r="KXS152" s="22"/>
      <c r="KXT152" s="22"/>
      <c r="KXU152" s="22"/>
      <c r="KXV152" s="22"/>
      <c r="KXW152" s="22"/>
      <c r="KXX152" s="22"/>
      <c r="KXY152" s="22"/>
      <c r="KXZ152" s="22"/>
      <c r="KYA152" s="22"/>
      <c r="KYB152" s="22"/>
      <c r="KYC152" s="22"/>
      <c r="KYD152" s="22"/>
      <c r="KYE152" s="22"/>
      <c r="KYF152" s="22"/>
      <c r="KYG152" s="22"/>
      <c r="KYH152" s="22"/>
      <c r="KYI152" s="22"/>
      <c r="KYJ152" s="22"/>
      <c r="KYK152" s="22"/>
      <c r="KYL152" s="22"/>
      <c r="KYM152" s="22"/>
      <c r="KYN152" s="22"/>
      <c r="KYO152" s="22"/>
      <c r="KYP152" s="22"/>
      <c r="KYQ152" s="22"/>
      <c r="KYR152" s="22"/>
      <c r="KYS152" s="22"/>
      <c r="KYT152" s="22"/>
      <c r="KYU152" s="22"/>
      <c r="KYV152" s="22"/>
      <c r="KYW152" s="22"/>
      <c r="KYX152" s="22"/>
      <c r="KYY152" s="22"/>
      <c r="KYZ152" s="22"/>
      <c r="KZA152" s="22"/>
      <c r="KZB152" s="22"/>
      <c r="KZC152" s="22"/>
      <c r="KZD152" s="22"/>
      <c r="KZE152" s="22"/>
      <c r="KZF152" s="22"/>
      <c r="KZG152" s="22"/>
      <c r="KZH152" s="22"/>
      <c r="KZI152" s="22"/>
      <c r="KZJ152" s="22"/>
      <c r="KZK152" s="22"/>
      <c r="KZL152" s="22"/>
      <c r="KZM152" s="22"/>
      <c r="KZN152" s="22"/>
      <c r="KZO152" s="22"/>
      <c r="KZP152" s="22"/>
      <c r="KZQ152" s="22"/>
      <c r="KZR152" s="22"/>
      <c r="KZS152" s="22"/>
      <c r="KZT152" s="22"/>
      <c r="KZU152" s="22"/>
      <c r="KZV152" s="22"/>
      <c r="KZW152" s="22"/>
      <c r="KZX152" s="22"/>
      <c r="KZY152" s="22"/>
      <c r="KZZ152" s="22"/>
      <c r="LAA152" s="22"/>
      <c r="LAB152" s="22"/>
      <c r="LAC152" s="22"/>
      <c r="LAD152" s="22"/>
      <c r="LAE152" s="22"/>
      <c r="LAF152" s="22"/>
      <c r="LAG152" s="22"/>
      <c r="LAH152" s="22"/>
      <c r="LAI152" s="22"/>
      <c r="LAJ152" s="22"/>
      <c r="LAK152" s="22"/>
      <c r="LAL152" s="22"/>
      <c r="LAM152" s="22"/>
      <c r="LAN152" s="22"/>
      <c r="LAO152" s="22"/>
      <c r="LAP152" s="22"/>
      <c r="LAQ152" s="22"/>
      <c r="LAR152" s="22"/>
      <c r="LAS152" s="22"/>
      <c r="LAT152" s="22"/>
      <c r="LAU152" s="22"/>
      <c r="LAV152" s="22"/>
      <c r="LAW152" s="22"/>
      <c r="LAX152" s="22"/>
      <c r="LAY152" s="22"/>
      <c r="LAZ152" s="22"/>
      <c r="LBA152" s="22"/>
      <c r="LBB152" s="22"/>
      <c r="LBC152" s="22"/>
      <c r="LBD152" s="22"/>
      <c r="LBE152" s="22"/>
      <c r="LBF152" s="22"/>
      <c r="LBG152" s="22"/>
      <c r="LBH152" s="22"/>
      <c r="LBI152" s="22"/>
      <c r="LBJ152" s="22"/>
      <c r="LBK152" s="22"/>
      <c r="LBL152" s="22"/>
      <c r="LBM152" s="22"/>
      <c r="LBN152" s="22"/>
      <c r="LBO152" s="22"/>
      <c r="LBP152" s="22"/>
      <c r="LBQ152" s="22"/>
      <c r="LBR152" s="22"/>
      <c r="LBS152" s="22"/>
      <c r="LBT152" s="22"/>
      <c r="LBU152" s="22"/>
      <c r="LBV152" s="22"/>
      <c r="LBW152" s="22"/>
      <c r="LBX152" s="22"/>
      <c r="LBY152" s="22"/>
      <c r="LBZ152" s="22"/>
      <c r="LCA152" s="22"/>
      <c r="LCB152" s="22"/>
      <c r="LCC152" s="22"/>
      <c r="LCD152" s="22"/>
      <c r="LCE152" s="22"/>
      <c r="LCF152" s="22"/>
      <c r="LCG152" s="22"/>
      <c r="LCH152" s="22"/>
      <c r="LCI152" s="22"/>
      <c r="LCJ152" s="22"/>
      <c r="LCK152" s="22"/>
      <c r="LCL152" s="22"/>
      <c r="LCM152" s="22"/>
      <c r="LCN152" s="22"/>
      <c r="LCO152" s="22"/>
      <c r="LCP152" s="22"/>
      <c r="LCQ152" s="22"/>
      <c r="LCR152" s="22"/>
      <c r="LCS152" s="22"/>
      <c r="LCT152" s="22"/>
      <c r="LCU152" s="22"/>
      <c r="LCV152" s="22"/>
      <c r="LCW152" s="22"/>
      <c r="LCX152" s="22"/>
      <c r="LCY152" s="22"/>
      <c r="LCZ152" s="22"/>
      <c r="LDA152" s="22"/>
      <c r="LDB152" s="22"/>
      <c r="LDC152" s="22"/>
      <c r="LDD152" s="22"/>
      <c r="LDE152" s="22"/>
      <c r="LDF152" s="22"/>
      <c r="LDG152" s="22"/>
      <c r="LDH152" s="22"/>
      <c r="LDI152" s="22"/>
      <c r="LDJ152" s="22"/>
      <c r="LDK152" s="22"/>
      <c r="LDL152" s="22"/>
      <c r="LDM152" s="22"/>
      <c r="LDN152" s="22"/>
      <c r="LDO152" s="22"/>
      <c r="LDP152" s="22"/>
      <c r="LDQ152" s="22"/>
      <c r="LDR152" s="22"/>
      <c r="LDS152" s="22"/>
      <c r="LDT152" s="22"/>
      <c r="LDU152" s="22"/>
      <c r="LDV152" s="22"/>
      <c r="LDW152" s="22"/>
      <c r="LDX152" s="22"/>
      <c r="LDY152" s="22"/>
      <c r="LDZ152" s="22"/>
      <c r="LEA152" s="22"/>
      <c r="LEB152" s="22"/>
      <c r="LEC152" s="22"/>
      <c r="LED152" s="22"/>
      <c r="LEE152" s="22"/>
      <c r="LEF152" s="22"/>
      <c r="LEG152" s="22"/>
      <c r="LEH152" s="22"/>
      <c r="LEI152" s="22"/>
      <c r="LEJ152" s="22"/>
      <c r="LEK152" s="22"/>
      <c r="LEL152" s="22"/>
      <c r="LEM152" s="22"/>
      <c r="LEN152" s="22"/>
      <c r="LEO152" s="22"/>
      <c r="LEP152" s="22"/>
      <c r="LEQ152" s="22"/>
      <c r="LER152" s="22"/>
      <c r="LES152" s="22"/>
      <c r="LET152" s="22"/>
      <c r="LEU152" s="22"/>
      <c r="LEV152" s="22"/>
      <c r="LEW152" s="22"/>
      <c r="LEX152" s="22"/>
      <c r="LEY152" s="22"/>
      <c r="LEZ152" s="22"/>
      <c r="LFA152" s="22"/>
      <c r="LFB152" s="22"/>
      <c r="LFC152" s="22"/>
      <c r="LFD152" s="22"/>
      <c r="LFE152" s="22"/>
      <c r="LFF152" s="22"/>
      <c r="LFG152" s="22"/>
      <c r="LFH152" s="22"/>
      <c r="LFI152" s="22"/>
      <c r="LFJ152" s="22"/>
      <c r="LFK152" s="22"/>
      <c r="LFL152" s="22"/>
      <c r="LFM152" s="22"/>
      <c r="LFN152" s="22"/>
      <c r="LFO152" s="22"/>
      <c r="LFP152" s="22"/>
      <c r="LFQ152" s="22"/>
      <c r="LFR152" s="22"/>
      <c r="LFS152" s="22"/>
      <c r="LFT152" s="22"/>
      <c r="LFU152" s="22"/>
      <c r="LFV152" s="22"/>
      <c r="LFW152" s="22"/>
      <c r="LFX152" s="22"/>
      <c r="LFY152" s="22"/>
      <c r="LFZ152" s="22"/>
      <c r="LGA152" s="22"/>
      <c r="LGB152" s="22"/>
      <c r="LGC152" s="22"/>
      <c r="LGD152" s="22"/>
      <c r="LGE152" s="22"/>
      <c r="LGF152" s="22"/>
      <c r="LGG152" s="22"/>
      <c r="LGH152" s="22"/>
      <c r="LGI152" s="22"/>
      <c r="LGJ152" s="22"/>
      <c r="LGK152" s="22"/>
      <c r="LGL152" s="22"/>
      <c r="LGM152" s="22"/>
      <c r="LGN152" s="22"/>
      <c r="LGO152" s="22"/>
      <c r="LGP152" s="22"/>
      <c r="LGQ152" s="22"/>
      <c r="LGR152" s="22"/>
      <c r="LGS152" s="22"/>
      <c r="LGT152" s="22"/>
      <c r="LGU152" s="22"/>
      <c r="LGV152" s="22"/>
      <c r="LGW152" s="22"/>
      <c r="LGX152" s="22"/>
      <c r="LGY152" s="22"/>
      <c r="LGZ152" s="22"/>
      <c r="LHA152" s="22"/>
      <c r="LHB152" s="22"/>
      <c r="LHC152" s="22"/>
      <c r="LHD152" s="22"/>
      <c r="LHE152" s="22"/>
      <c r="LHF152" s="22"/>
      <c r="LHG152" s="22"/>
      <c r="LHH152" s="22"/>
      <c r="LHI152" s="22"/>
      <c r="LHJ152" s="22"/>
      <c r="LHK152" s="22"/>
      <c r="LHL152" s="22"/>
      <c r="LHM152" s="22"/>
      <c r="LHN152" s="22"/>
      <c r="LHO152" s="22"/>
      <c r="LHP152" s="22"/>
      <c r="LHQ152" s="22"/>
      <c r="LHR152" s="22"/>
      <c r="LHS152" s="22"/>
      <c r="LHT152" s="22"/>
      <c r="LHU152" s="22"/>
      <c r="LHV152" s="22"/>
      <c r="LHW152" s="22"/>
      <c r="LHX152" s="22"/>
      <c r="LHY152" s="22"/>
      <c r="LHZ152" s="22"/>
      <c r="LIA152" s="22"/>
      <c r="LIB152" s="22"/>
      <c r="LIC152" s="22"/>
      <c r="LID152" s="22"/>
      <c r="LIE152" s="22"/>
      <c r="LIF152" s="22"/>
      <c r="LIG152" s="22"/>
      <c r="LIH152" s="22"/>
      <c r="LII152" s="22"/>
      <c r="LIJ152" s="22"/>
      <c r="LIK152" s="22"/>
      <c r="LIL152" s="22"/>
      <c r="LIM152" s="22"/>
      <c r="LIN152" s="22"/>
      <c r="LIO152" s="22"/>
      <c r="LIP152" s="22"/>
      <c r="LIQ152" s="22"/>
      <c r="LIR152" s="22"/>
      <c r="LIS152" s="22"/>
      <c r="LIT152" s="22"/>
      <c r="LIU152" s="22"/>
      <c r="LIV152" s="22"/>
      <c r="LIW152" s="22"/>
      <c r="LIX152" s="22"/>
      <c r="LIY152" s="22"/>
      <c r="LIZ152" s="22"/>
      <c r="LJA152" s="22"/>
      <c r="LJB152" s="22"/>
      <c r="LJC152" s="22"/>
      <c r="LJD152" s="22"/>
      <c r="LJE152" s="22"/>
      <c r="LJF152" s="22"/>
      <c r="LJG152" s="22"/>
      <c r="LJH152" s="22"/>
      <c r="LJI152" s="22"/>
      <c r="LJJ152" s="22"/>
      <c r="LJK152" s="22"/>
      <c r="LJL152" s="22"/>
      <c r="LJM152" s="22"/>
      <c r="LJN152" s="22"/>
      <c r="LJO152" s="22"/>
      <c r="LJP152" s="22"/>
      <c r="LJQ152" s="22"/>
      <c r="LJR152" s="22"/>
      <c r="LJS152" s="22"/>
      <c r="LJT152" s="22"/>
      <c r="LJU152" s="22"/>
      <c r="LJV152" s="22"/>
      <c r="LJW152" s="22"/>
      <c r="LJX152" s="22"/>
      <c r="LJY152" s="22"/>
      <c r="LJZ152" s="22"/>
      <c r="LKA152" s="22"/>
      <c r="LKB152" s="22"/>
      <c r="LKC152" s="22"/>
      <c r="LKD152" s="22"/>
      <c r="LKE152" s="22"/>
      <c r="LKF152" s="22"/>
      <c r="LKG152" s="22"/>
      <c r="LKH152" s="22"/>
      <c r="LKI152" s="22"/>
      <c r="LKJ152" s="22"/>
      <c r="LKK152" s="22"/>
      <c r="LKL152" s="22"/>
      <c r="LKM152" s="22"/>
      <c r="LKN152" s="22"/>
      <c r="LKO152" s="22"/>
      <c r="LKP152" s="22"/>
      <c r="LKQ152" s="22"/>
      <c r="LKR152" s="22"/>
      <c r="LKS152" s="22"/>
      <c r="LKT152" s="22"/>
      <c r="LKU152" s="22"/>
      <c r="LKV152" s="22"/>
      <c r="LKW152" s="22"/>
      <c r="LKX152" s="22"/>
      <c r="LKY152" s="22"/>
      <c r="LKZ152" s="22"/>
      <c r="LLA152" s="22"/>
      <c r="LLB152" s="22"/>
      <c r="LLC152" s="22"/>
      <c r="LLD152" s="22"/>
      <c r="LLE152" s="22"/>
      <c r="LLF152" s="22"/>
      <c r="LLG152" s="22"/>
      <c r="LLH152" s="22"/>
      <c r="LLI152" s="22"/>
      <c r="LLJ152" s="22"/>
      <c r="LLK152" s="22"/>
      <c r="LLL152" s="22"/>
      <c r="LLM152" s="22"/>
      <c r="LLN152" s="22"/>
      <c r="LLO152" s="22"/>
      <c r="LLP152" s="22"/>
      <c r="LLQ152" s="22"/>
      <c r="LLR152" s="22"/>
      <c r="LLS152" s="22"/>
      <c r="LLT152" s="22"/>
      <c r="LLU152" s="22"/>
      <c r="LLV152" s="22"/>
      <c r="LLW152" s="22"/>
      <c r="LLX152" s="22"/>
      <c r="LLY152" s="22"/>
      <c r="LLZ152" s="22"/>
      <c r="LMA152" s="22"/>
      <c r="LMB152" s="22"/>
      <c r="LMC152" s="22"/>
      <c r="LMD152" s="22"/>
      <c r="LME152" s="22"/>
      <c r="LMF152" s="22"/>
      <c r="LMG152" s="22"/>
      <c r="LMH152" s="22"/>
      <c r="LMI152" s="22"/>
      <c r="LMJ152" s="22"/>
      <c r="LMK152" s="22"/>
      <c r="LML152" s="22"/>
      <c r="LMM152" s="22"/>
      <c r="LMN152" s="22"/>
      <c r="LMO152" s="22"/>
      <c r="LMP152" s="22"/>
      <c r="LMQ152" s="22"/>
      <c r="LMR152" s="22"/>
      <c r="LMS152" s="22"/>
      <c r="LMT152" s="22"/>
      <c r="LMU152" s="22"/>
      <c r="LMV152" s="22"/>
      <c r="LMW152" s="22"/>
      <c r="LMX152" s="22"/>
      <c r="LMY152" s="22"/>
      <c r="LMZ152" s="22"/>
      <c r="LNA152" s="22"/>
      <c r="LNB152" s="22"/>
      <c r="LNC152" s="22"/>
      <c r="LND152" s="22"/>
      <c r="LNE152" s="22"/>
      <c r="LNF152" s="22"/>
      <c r="LNG152" s="22"/>
      <c r="LNH152" s="22"/>
      <c r="LNI152" s="22"/>
      <c r="LNJ152" s="22"/>
      <c r="LNK152" s="22"/>
      <c r="LNL152" s="22"/>
      <c r="LNM152" s="22"/>
      <c r="LNN152" s="22"/>
      <c r="LNO152" s="22"/>
      <c r="LNP152" s="22"/>
      <c r="LNQ152" s="22"/>
      <c r="LNR152" s="22"/>
      <c r="LNS152" s="22"/>
      <c r="LNT152" s="22"/>
      <c r="LNU152" s="22"/>
      <c r="LNV152" s="22"/>
      <c r="LNW152" s="22"/>
      <c r="LNX152" s="22"/>
      <c r="LNY152" s="22"/>
      <c r="LNZ152" s="22"/>
      <c r="LOA152" s="22"/>
      <c r="LOB152" s="22"/>
      <c r="LOC152" s="22"/>
      <c r="LOD152" s="22"/>
      <c r="LOE152" s="22"/>
      <c r="LOF152" s="22"/>
      <c r="LOG152" s="22"/>
      <c r="LOH152" s="22"/>
      <c r="LOI152" s="22"/>
      <c r="LOJ152" s="22"/>
      <c r="LOK152" s="22"/>
      <c r="LOL152" s="22"/>
      <c r="LOM152" s="22"/>
      <c r="LON152" s="22"/>
      <c r="LOO152" s="22"/>
      <c r="LOP152" s="22"/>
      <c r="LOQ152" s="22"/>
      <c r="LOR152" s="22"/>
      <c r="LOS152" s="22"/>
      <c r="LOT152" s="22"/>
      <c r="LOU152" s="22"/>
      <c r="LOV152" s="22"/>
      <c r="LOW152" s="22"/>
      <c r="LOX152" s="22"/>
      <c r="LOY152" s="22"/>
      <c r="LOZ152" s="22"/>
      <c r="LPA152" s="22"/>
      <c r="LPB152" s="22"/>
      <c r="LPC152" s="22"/>
      <c r="LPD152" s="22"/>
      <c r="LPE152" s="22"/>
      <c r="LPF152" s="22"/>
      <c r="LPG152" s="22"/>
      <c r="LPH152" s="22"/>
      <c r="LPI152" s="22"/>
      <c r="LPJ152" s="22"/>
      <c r="LPK152" s="22"/>
      <c r="LPL152" s="22"/>
      <c r="LPM152" s="22"/>
      <c r="LPN152" s="22"/>
      <c r="LPO152" s="22"/>
      <c r="LPP152" s="22"/>
      <c r="LPQ152" s="22"/>
      <c r="LPR152" s="22"/>
      <c r="LPS152" s="22"/>
      <c r="LPT152" s="22"/>
      <c r="LPU152" s="22"/>
      <c r="LPV152" s="22"/>
      <c r="LPW152" s="22"/>
      <c r="LPX152" s="22"/>
      <c r="LPY152" s="22"/>
      <c r="LPZ152" s="22"/>
      <c r="LQA152" s="22"/>
      <c r="LQB152" s="22"/>
      <c r="LQC152" s="22"/>
      <c r="LQD152" s="22"/>
      <c r="LQE152" s="22"/>
      <c r="LQF152" s="22"/>
      <c r="LQG152" s="22"/>
      <c r="LQH152" s="22"/>
      <c r="LQI152" s="22"/>
      <c r="LQJ152" s="22"/>
      <c r="LQK152" s="22"/>
      <c r="LQL152" s="22"/>
      <c r="LQM152" s="22"/>
      <c r="LQN152" s="22"/>
      <c r="LQO152" s="22"/>
      <c r="LQP152" s="22"/>
      <c r="LQQ152" s="22"/>
      <c r="LQR152" s="22"/>
      <c r="LQS152" s="22"/>
      <c r="LQT152" s="22"/>
      <c r="LQU152" s="22"/>
      <c r="LQV152" s="22"/>
      <c r="LQW152" s="22"/>
      <c r="LQX152" s="22"/>
      <c r="LQY152" s="22"/>
      <c r="LQZ152" s="22"/>
      <c r="LRA152" s="22"/>
      <c r="LRB152" s="22"/>
      <c r="LRC152" s="22"/>
      <c r="LRD152" s="22"/>
      <c r="LRE152" s="22"/>
      <c r="LRF152" s="22"/>
      <c r="LRG152" s="22"/>
      <c r="LRH152" s="22"/>
      <c r="LRI152" s="22"/>
      <c r="LRJ152" s="22"/>
      <c r="LRK152" s="22"/>
      <c r="LRL152" s="22"/>
      <c r="LRM152" s="22"/>
      <c r="LRN152" s="22"/>
      <c r="LRO152" s="22"/>
      <c r="LRP152" s="22"/>
      <c r="LRQ152" s="22"/>
      <c r="LRR152" s="22"/>
      <c r="LRS152" s="22"/>
      <c r="LRT152" s="22"/>
      <c r="LRU152" s="22"/>
      <c r="LRV152" s="22"/>
      <c r="LRW152" s="22"/>
      <c r="LRX152" s="22"/>
      <c r="LRY152" s="22"/>
      <c r="LRZ152" s="22"/>
      <c r="LSA152" s="22"/>
      <c r="LSB152" s="22"/>
      <c r="LSC152" s="22"/>
      <c r="LSD152" s="22"/>
      <c r="LSE152" s="22"/>
      <c r="LSF152" s="22"/>
      <c r="LSG152" s="22"/>
      <c r="LSH152" s="22"/>
      <c r="LSI152" s="22"/>
      <c r="LSJ152" s="22"/>
      <c r="LSK152" s="22"/>
      <c r="LSL152" s="22"/>
      <c r="LSM152" s="22"/>
      <c r="LSN152" s="22"/>
      <c r="LSO152" s="22"/>
      <c r="LSP152" s="22"/>
      <c r="LSQ152" s="22"/>
      <c r="LSR152" s="22"/>
      <c r="LSS152" s="22"/>
      <c r="LST152" s="22"/>
      <c r="LSU152" s="22"/>
      <c r="LSV152" s="22"/>
      <c r="LSW152" s="22"/>
      <c r="LSX152" s="22"/>
      <c r="LSY152" s="22"/>
      <c r="LSZ152" s="22"/>
      <c r="LTA152" s="22"/>
      <c r="LTB152" s="22"/>
      <c r="LTC152" s="22"/>
      <c r="LTD152" s="22"/>
      <c r="LTE152" s="22"/>
      <c r="LTF152" s="22"/>
      <c r="LTG152" s="22"/>
      <c r="LTH152" s="22"/>
      <c r="LTI152" s="22"/>
      <c r="LTJ152" s="22"/>
      <c r="LTK152" s="22"/>
      <c r="LTL152" s="22"/>
      <c r="LTM152" s="22"/>
      <c r="LTN152" s="22"/>
      <c r="LTO152" s="22"/>
      <c r="LTP152" s="22"/>
      <c r="LTQ152" s="22"/>
      <c r="LTR152" s="22"/>
      <c r="LTS152" s="22"/>
      <c r="LTT152" s="22"/>
      <c r="LTU152" s="22"/>
      <c r="LTV152" s="22"/>
      <c r="LTW152" s="22"/>
      <c r="LTX152" s="22"/>
      <c r="LTY152" s="22"/>
      <c r="LTZ152" s="22"/>
      <c r="LUA152" s="22"/>
      <c r="LUB152" s="22"/>
      <c r="LUC152" s="22"/>
      <c r="LUD152" s="22"/>
      <c r="LUE152" s="22"/>
      <c r="LUF152" s="22"/>
      <c r="LUG152" s="22"/>
      <c r="LUH152" s="22"/>
      <c r="LUI152" s="22"/>
      <c r="LUJ152" s="22"/>
      <c r="LUK152" s="22"/>
      <c r="LUL152" s="22"/>
      <c r="LUM152" s="22"/>
      <c r="LUN152" s="22"/>
      <c r="LUO152" s="22"/>
      <c r="LUP152" s="22"/>
      <c r="LUQ152" s="22"/>
      <c r="LUR152" s="22"/>
      <c r="LUS152" s="22"/>
      <c r="LUT152" s="22"/>
      <c r="LUU152" s="22"/>
      <c r="LUV152" s="22"/>
      <c r="LUW152" s="22"/>
      <c r="LUX152" s="22"/>
      <c r="LUY152" s="22"/>
      <c r="LUZ152" s="22"/>
      <c r="LVA152" s="22"/>
      <c r="LVB152" s="22"/>
      <c r="LVC152" s="22"/>
      <c r="LVD152" s="22"/>
      <c r="LVE152" s="22"/>
      <c r="LVF152" s="22"/>
      <c r="LVG152" s="22"/>
      <c r="LVH152" s="22"/>
      <c r="LVI152" s="22"/>
      <c r="LVJ152" s="22"/>
      <c r="LVK152" s="22"/>
      <c r="LVL152" s="22"/>
      <c r="LVM152" s="22"/>
      <c r="LVN152" s="22"/>
      <c r="LVO152" s="22"/>
      <c r="LVP152" s="22"/>
      <c r="LVQ152" s="22"/>
      <c r="LVR152" s="22"/>
      <c r="LVS152" s="22"/>
      <c r="LVT152" s="22"/>
      <c r="LVU152" s="22"/>
      <c r="LVV152" s="22"/>
      <c r="LVW152" s="22"/>
      <c r="LVX152" s="22"/>
      <c r="LVY152" s="22"/>
      <c r="LVZ152" s="22"/>
      <c r="LWA152" s="22"/>
      <c r="LWB152" s="22"/>
      <c r="LWC152" s="22"/>
      <c r="LWD152" s="22"/>
      <c r="LWE152" s="22"/>
      <c r="LWF152" s="22"/>
      <c r="LWG152" s="22"/>
      <c r="LWH152" s="22"/>
      <c r="LWI152" s="22"/>
      <c r="LWJ152" s="22"/>
      <c r="LWK152" s="22"/>
      <c r="LWL152" s="22"/>
      <c r="LWM152" s="22"/>
      <c r="LWN152" s="22"/>
      <c r="LWO152" s="22"/>
      <c r="LWP152" s="22"/>
      <c r="LWQ152" s="22"/>
      <c r="LWR152" s="22"/>
      <c r="LWS152" s="22"/>
      <c r="LWT152" s="22"/>
      <c r="LWU152" s="22"/>
      <c r="LWV152" s="22"/>
      <c r="LWW152" s="22"/>
      <c r="LWX152" s="22"/>
      <c r="LWY152" s="22"/>
      <c r="LWZ152" s="22"/>
      <c r="LXA152" s="22"/>
      <c r="LXB152" s="22"/>
      <c r="LXC152" s="22"/>
      <c r="LXD152" s="22"/>
      <c r="LXE152" s="22"/>
      <c r="LXF152" s="22"/>
      <c r="LXG152" s="22"/>
      <c r="LXH152" s="22"/>
      <c r="LXI152" s="22"/>
      <c r="LXJ152" s="22"/>
      <c r="LXK152" s="22"/>
      <c r="LXL152" s="22"/>
      <c r="LXM152" s="22"/>
      <c r="LXN152" s="22"/>
      <c r="LXO152" s="22"/>
      <c r="LXP152" s="22"/>
      <c r="LXQ152" s="22"/>
      <c r="LXR152" s="22"/>
      <c r="LXS152" s="22"/>
      <c r="LXT152" s="22"/>
      <c r="LXU152" s="22"/>
      <c r="LXV152" s="22"/>
      <c r="LXW152" s="22"/>
      <c r="LXX152" s="22"/>
      <c r="LXY152" s="22"/>
      <c r="LXZ152" s="22"/>
      <c r="LYA152" s="22"/>
      <c r="LYB152" s="22"/>
      <c r="LYC152" s="22"/>
      <c r="LYD152" s="22"/>
      <c r="LYE152" s="22"/>
      <c r="LYF152" s="22"/>
      <c r="LYG152" s="22"/>
      <c r="LYH152" s="22"/>
      <c r="LYI152" s="22"/>
      <c r="LYJ152" s="22"/>
      <c r="LYK152" s="22"/>
      <c r="LYL152" s="22"/>
      <c r="LYM152" s="22"/>
      <c r="LYN152" s="22"/>
      <c r="LYO152" s="22"/>
      <c r="LYP152" s="22"/>
      <c r="LYQ152" s="22"/>
      <c r="LYR152" s="22"/>
      <c r="LYS152" s="22"/>
      <c r="LYT152" s="22"/>
      <c r="LYU152" s="22"/>
      <c r="LYV152" s="22"/>
      <c r="LYW152" s="22"/>
      <c r="LYX152" s="22"/>
      <c r="LYY152" s="22"/>
      <c r="LYZ152" s="22"/>
      <c r="LZA152" s="22"/>
      <c r="LZB152" s="22"/>
      <c r="LZC152" s="22"/>
      <c r="LZD152" s="22"/>
      <c r="LZE152" s="22"/>
      <c r="LZF152" s="22"/>
      <c r="LZG152" s="22"/>
      <c r="LZH152" s="22"/>
      <c r="LZI152" s="22"/>
      <c r="LZJ152" s="22"/>
      <c r="LZK152" s="22"/>
      <c r="LZL152" s="22"/>
      <c r="LZM152" s="22"/>
      <c r="LZN152" s="22"/>
      <c r="LZO152" s="22"/>
      <c r="LZP152" s="22"/>
      <c r="LZQ152" s="22"/>
      <c r="LZR152" s="22"/>
      <c r="LZS152" s="22"/>
      <c r="LZT152" s="22"/>
      <c r="LZU152" s="22"/>
      <c r="LZV152" s="22"/>
      <c r="LZW152" s="22"/>
      <c r="LZX152" s="22"/>
      <c r="LZY152" s="22"/>
      <c r="LZZ152" s="22"/>
      <c r="MAA152" s="22"/>
      <c r="MAB152" s="22"/>
      <c r="MAC152" s="22"/>
      <c r="MAD152" s="22"/>
      <c r="MAE152" s="22"/>
      <c r="MAF152" s="22"/>
      <c r="MAG152" s="22"/>
      <c r="MAH152" s="22"/>
      <c r="MAI152" s="22"/>
      <c r="MAJ152" s="22"/>
      <c r="MAK152" s="22"/>
      <c r="MAL152" s="22"/>
      <c r="MAM152" s="22"/>
      <c r="MAN152" s="22"/>
      <c r="MAO152" s="22"/>
      <c r="MAP152" s="22"/>
      <c r="MAQ152" s="22"/>
      <c r="MAR152" s="22"/>
      <c r="MAS152" s="22"/>
      <c r="MAT152" s="22"/>
      <c r="MAU152" s="22"/>
      <c r="MAV152" s="22"/>
      <c r="MAW152" s="22"/>
      <c r="MAX152" s="22"/>
      <c r="MAY152" s="22"/>
      <c r="MAZ152" s="22"/>
      <c r="MBA152" s="22"/>
      <c r="MBB152" s="22"/>
      <c r="MBC152" s="22"/>
      <c r="MBD152" s="22"/>
      <c r="MBE152" s="22"/>
      <c r="MBF152" s="22"/>
      <c r="MBG152" s="22"/>
      <c r="MBH152" s="22"/>
      <c r="MBI152" s="22"/>
      <c r="MBJ152" s="22"/>
      <c r="MBK152" s="22"/>
      <c r="MBL152" s="22"/>
      <c r="MBM152" s="22"/>
      <c r="MBN152" s="22"/>
      <c r="MBO152" s="22"/>
      <c r="MBP152" s="22"/>
      <c r="MBQ152" s="22"/>
      <c r="MBR152" s="22"/>
      <c r="MBS152" s="22"/>
      <c r="MBT152" s="22"/>
      <c r="MBU152" s="22"/>
      <c r="MBV152" s="22"/>
      <c r="MBW152" s="22"/>
      <c r="MBX152" s="22"/>
      <c r="MBY152" s="22"/>
      <c r="MBZ152" s="22"/>
      <c r="MCA152" s="22"/>
      <c r="MCB152" s="22"/>
      <c r="MCC152" s="22"/>
      <c r="MCD152" s="22"/>
      <c r="MCE152" s="22"/>
      <c r="MCF152" s="22"/>
      <c r="MCG152" s="22"/>
      <c r="MCH152" s="22"/>
      <c r="MCI152" s="22"/>
      <c r="MCJ152" s="22"/>
      <c r="MCK152" s="22"/>
      <c r="MCL152" s="22"/>
      <c r="MCM152" s="22"/>
      <c r="MCN152" s="22"/>
      <c r="MCO152" s="22"/>
      <c r="MCP152" s="22"/>
      <c r="MCQ152" s="22"/>
      <c r="MCR152" s="22"/>
      <c r="MCS152" s="22"/>
      <c r="MCT152" s="22"/>
      <c r="MCU152" s="22"/>
      <c r="MCV152" s="22"/>
      <c r="MCW152" s="22"/>
      <c r="MCX152" s="22"/>
      <c r="MCY152" s="22"/>
      <c r="MCZ152" s="22"/>
      <c r="MDA152" s="22"/>
      <c r="MDB152" s="22"/>
      <c r="MDC152" s="22"/>
      <c r="MDD152" s="22"/>
      <c r="MDE152" s="22"/>
      <c r="MDF152" s="22"/>
      <c r="MDG152" s="22"/>
      <c r="MDH152" s="22"/>
      <c r="MDI152" s="22"/>
      <c r="MDJ152" s="22"/>
      <c r="MDK152" s="22"/>
      <c r="MDL152" s="22"/>
      <c r="MDM152" s="22"/>
      <c r="MDN152" s="22"/>
      <c r="MDO152" s="22"/>
      <c r="MDP152" s="22"/>
      <c r="MDQ152" s="22"/>
      <c r="MDR152" s="22"/>
      <c r="MDS152" s="22"/>
      <c r="MDT152" s="22"/>
      <c r="MDU152" s="22"/>
      <c r="MDV152" s="22"/>
      <c r="MDW152" s="22"/>
      <c r="MDX152" s="22"/>
      <c r="MDY152" s="22"/>
      <c r="MDZ152" s="22"/>
      <c r="MEA152" s="22"/>
      <c r="MEB152" s="22"/>
      <c r="MEC152" s="22"/>
      <c r="MED152" s="22"/>
      <c r="MEE152" s="22"/>
      <c r="MEF152" s="22"/>
      <c r="MEG152" s="22"/>
      <c r="MEH152" s="22"/>
      <c r="MEI152" s="22"/>
      <c r="MEJ152" s="22"/>
      <c r="MEK152" s="22"/>
      <c r="MEL152" s="22"/>
      <c r="MEM152" s="22"/>
      <c r="MEN152" s="22"/>
      <c r="MEO152" s="22"/>
      <c r="MEP152" s="22"/>
      <c r="MEQ152" s="22"/>
      <c r="MER152" s="22"/>
      <c r="MES152" s="22"/>
      <c r="MET152" s="22"/>
      <c r="MEU152" s="22"/>
      <c r="MEV152" s="22"/>
      <c r="MEW152" s="22"/>
      <c r="MEX152" s="22"/>
      <c r="MEY152" s="22"/>
      <c r="MEZ152" s="22"/>
      <c r="MFA152" s="22"/>
      <c r="MFB152" s="22"/>
      <c r="MFC152" s="22"/>
      <c r="MFD152" s="22"/>
      <c r="MFE152" s="22"/>
      <c r="MFF152" s="22"/>
      <c r="MFG152" s="22"/>
      <c r="MFH152" s="22"/>
      <c r="MFI152" s="22"/>
      <c r="MFJ152" s="22"/>
      <c r="MFK152" s="22"/>
      <c r="MFL152" s="22"/>
      <c r="MFM152" s="22"/>
      <c r="MFN152" s="22"/>
      <c r="MFO152" s="22"/>
      <c r="MFP152" s="22"/>
      <c r="MFQ152" s="22"/>
      <c r="MFR152" s="22"/>
      <c r="MFS152" s="22"/>
      <c r="MFT152" s="22"/>
      <c r="MFU152" s="22"/>
      <c r="MFV152" s="22"/>
      <c r="MFW152" s="22"/>
      <c r="MFX152" s="22"/>
      <c r="MFY152" s="22"/>
      <c r="MFZ152" s="22"/>
      <c r="MGA152" s="22"/>
      <c r="MGB152" s="22"/>
      <c r="MGC152" s="22"/>
      <c r="MGD152" s="22"/>
      <c r="MGE152" s="22"/>
      <c r="MGF152" s="22"/>
      <c r="MGG152" s="22"/>
      <c r="MGH152" s="22"/>
      <c r="MGI152" s="22"/>
      <c r="MGJ152" s="22"/>
      <c r="MGK152" s="22"/>
      <c r="MGL152" s="22"/>
      <c r="MGM152" s="22"/>
      <c r="MGN152" s="22"/>
      <c r="MGO152" s="22"/>
      <c r="MGP152" s="22"/>
      <c r="MGQ152" s="22"/>
      <c r="MGR152" s="22"/>
      <c r="MGS152" s="22"/>
      <c r="MGT152" s="22"/>
      <c r="MGU152" s="22"/>
      <c r="MGV152" s="22"/>
      <c r="MGW152" s="22"/>
      <c r="MGX152" s="22"/>
      <c r="MGY152" s="22"/>
      <c r="MGZ152" s="22"/>
      <c r="MHA152" s="22"/>
      <c r="MHB152" s="22"/>
      <c r="MHC152" s="22"/>
      <c r="MHD152" s="22"/>
      <c r="MHE152" s="22"/>
      <c r="MHF152" s="22"/>
      <c r="MHG152" s="22"/>
      <c r="MHH152" s="22"/>
      <c r="MHI152" s="22"/>
      <c r="MHJ152" s="22"/>
      <c r="MHK152" s="22"/>
      <c r="MHL152" s="22"/>
      <c r="MHM152" s="22"/>
      <c r="MHN152" s="22"/>
      <c r="MHO152" s="22"/>
      <c r="MHP152" s="22"/>
      <c r="MHQ152" s="22"/>
      <c r="MHR152" s="22"/>
      <c r="MHS152" s="22"/>
      <c r="MHT152" s="22"/>
      <c r="MHU152" s="22"/>
      <c r="MHV152" s="22"/>
      <c r="MHW152" s="22"/>
      <c r="MHX152" s="22"/>
      <c r="MHY152" s="22"/>
      <c r="MHZ152" s="22"/>
      <c r="MIA152" s="22"/>
      <c r="MIB152" s="22"/>
      <c r="MIC152" s="22"/>
      <c r="MID152" s="22"/>
      <c r="MIE152" s="22"/>
      <c r="MIF152" s="22"/>
      <c r="MIG152" s="22"/>
      <c r="MIH152" s="22"/>
      <c r="MII152" s="22"/>
      <c r="MIJ152" s="22"/>
      <c r="MIK152" s="22"/>
      <c r="MIL152" s="22"/>
      <c r="MIM152" s="22"/>
      <c r="MIN152" s="22"/>
      <c r="MIO152" s="22"/>
      <c r="MIP152" s="22"/>
      <c r="MIQ152" s="22"/>
      <c r="MIR152" s="22"/>
      <c r="MIS152" s="22"/>
      <c r="MIT152" s="22"/>
      <c r="MIU152" s="22"/>
      <c r="MIV152" s="22"/>
      <c r="MIW152" s="22"/>
      <c r="MIX152" s="22"/>
      <c r="MIY152" s="22"/>
      <c r="MIZ152" s="22"/>
      <c r="MJA152" s="22"/>
      <c r="MJB152" s="22"/>
      <c r="MJC152" s="22"/>
      <c r="MJD152" s="22"/>
      <c r="MJE152" s="22"/>
      <c r="MJF152" s="22"/>
      <c r="MJG152" s="22"/>
      <c r="MJH152" s="22"/>
      <c r="MJI152" s="22"/>
      <c r="MJJ152" s="22"/>
      <c r="MJK152" s="22"/>
      <c r="MJL152" s="22"/>
      <c r="MJM152" s="22"/>
      <c r="MJN152" s="22"/>
      <c r="MJO152" s="22"/>
      <c r="MJP152" s="22"/>
      <c r="MJQ152" s="22"/>
      <c r="MJR152" s="22"/>
      <c r="MJS152" s="22"/>
      <c r="MJT152" s="22"/>
      <c r="MJU152" s="22"/>
      <c r="MJV152" s="22"/>
      <c r="MJW152" s="22"/>
      <c r="MJX152" s="22"/>
      <c r="MJY152" s="22"/>
      <c r="MJZ152" s="22"/>
      <c r="MKA152" s="22"/>
      <c r="MKB152" s="22"/>
      <c r="MKC152" s="22"/>
      <c r="MKD152" s="22"/>
      <c r="MKE152" s="22"/>
      <c r="MKF152" s="22"/>
      <c r="MKG152" s="22"/>
      <c r="MKH152" s="22"/>
      <c r="MKI152" s="22"/>
      <c r="MKJ152" s="22"/>
      <c r="MKK152" s="22"/>
      <c r="MKL152" s="22"/>
      <c r="MKM152" s="22"/>
      <c r="MKN152" s="22"/>
      <c r="MKO152" s="22"/>
      <c r="MKP152" s="22"/>
      <c r="MKQ152" s="22"/>
      <c r="MKR152" s="22"/>
      <c r="MKS152" s="22"/>
      <c r="MKT152" s="22"/>
      <c r="MKU152" s="22"/>
      <c r="MKV152" s="22"/>
      <c r="MKW152" s="22"/>
      <c r="MKX152" s="22"/>
      <c r="MKY152" s="22"/>
      <c r="MKZ152" s="22"/>
      <c r="MLA152" s="22"/>
      <c r="MLB152" s="22"/>
      <c r="MLC152" s="22"/>
      <c r="MLD152" s="22"/>
      <c r="MLE152" s="22"/>
      <c r="MLF152" s="22"/>
      <c r="MLG152" s="22"/>
      <c r="MLH152" s="22"/>
      <c r="MLI152" s="22"/>
      <c r="MLJ152" s="22"/>
      <c r="MLK152" s="22"/>
      <c r="MLL152" s="22"/>
      <c r="MLM152" s="22"/>
      <c r="MLN152" s="22"/>
      <c r="MLO152" s="22"/>
      <c r="MLP152" s="22"/>
      <c r="MLQ152" s="22"/>
      <c r="MLR152" s="22"/>
      <c r="MLS152" s="22"/>
      <c r="MLT152" s="22"/>
      <c r="MLU152" s="22"/>
      <c r="MLV152" s="22"/>
      <c r="MLW152" s="22"/>
      <c r="MLX152" s="22"/>
      <c r="MLY152" s="22"/>
      <c r="MLZ152" s="22"/>
      <c r="MMA152" s="22"/>
      <c r="MMB152" s="22"/>
      <c r="MMC152" s="22"/>
      <c r="MMD152" s="22"/>
      <c r="MME152" s="22"/>
      <c r="MMF152" s="22"/>
      <c r="MMG152" s="22"/>
      <c r="MMH152" s="22"/>
      <c r="MMI152" s="22"/>
      <c r="MMJ152" s="22"/>
      <c r="MMK152" s="22"/>
      <c r="MML152" s="22"/>
      <c r="MMM152" s="22"/>
      <c r="MMN152" s="22"/>
      <c r="MMO152" s="22"/>
      <c r="MMP152" s="22"/>
      <c r="MMQ152" s="22"/>
      <c r="MMR152" s="22"/>
      <c r="MMS152" s="22"/>
      <c r="MMT152" s="22"/>
      <c r="MMU152" s="22"/>
      <c r="MMV152" s="22"/>
      <c r="MMW152" s="22"/>
      <c r="MMX152" s="22"/>
      <c r="MMY152" s="22"/>
      <c r="MMZ152" s="22"/>
      <c r="MNA152" s="22"/>
      <c r="MNB152" s="22"/>
      <c r="MNC152" s="22"/>
      <c r="MND152" s="22"/>
      <c r="MNE152" s="22"/>
      <c r="MNF152" s="22"/>
      <c r="MNG152" s="22"/>
      <c r="MNH152" s="22"/>
      <c r="MNI152" s="22"/>
      <c r="MNJ152" s="22"/>
      <c r="MNK152" s="22"/>
      <c r="MNL152" s="22"/>
      <c r="MNM152" s="22"/>
      <c r="MNN152" s="22"/>
      <c r="MNO152" s="22"/>
      <c r="MNP152" s="22"/>
      <c r="MNQ152" s="22"/>
      <c r="MNR152" s="22"/>
      <c r="MNS152" s="22"/>
      <c r="MNT152" s="22"/>
      <c r="MNU152" s="22"/>
      <c r="MNV152" s="22"/>
      <c r="MNW152" s="22"/>
      <c r="MNX152" s="22"/>
      <c r="MNY152" s="22"/>
      <c r="MNZ152" s="22"/>
      <c r="MOA152" s="22"/>
      <c r="MOB152" s="22"/>
      <c r="MOC152" s="22"/>
      <c r="MOD152" s="22"/>
      <c r="MOE152" s="22"/>
      <c r="MOF152" s="22"/>
      <c r="MOG152" s="22"/>
      <c r="MOH152" s="22"/>
      <c r="MOI152" s="22"/>
      <c r="MOJ152" s="22"/>
      <c r="MOK152" s="22"/>
      <c r="MOL152" s="22"/>
      <c r="MOM152" s="22"/>
      <c r="MON152" s="22"/>
      <c r="MOO152" s="22"/>
      <c r="MOP152" s="22"/>
      <c r="MOQ152" s="22"/>
      <c r="MOR152" s="22"/>
      <c r="MOS152" s="22"/>
      <c r="MOT152" s="22"/>
      <c r="MOU152" s="22"/>
      <c r="MOV152" s="22"/>
      <c r="MOW152" s="22"/>
      <c r="MOX152" s="22"/>
      <c r="MOY152" s="22"/>
      <c r="MOZ152" s="22"/>
      <c r="MPA152" s="22"/>
      <c r="MPB152" s="22"/>
      <c r="MPC152" s="22"/>
      <c r="MPD152" s="22"/>
      <c r="MPE152" s="22"/>
      <c r="MPF152" s="22"/>
      <c r="MPG152" s="22"/>
      <c r="MPH152" s="22"/>
      <c r="MPI152" s="22"/>
      <c r="MPJ152" s="22"/>
      <c r="MPK152" s="22"/>
      <c r="MPL152" s="22"/>
      <c r="MPM152" s="22"/>
      <c r="MPN152" s="22"/>
      <c r="MPO152" s="22"/>
      <c r="MPP152" s="22"/>
      <c r="MPQ152" s="22"/>
      <c r="MPR152" s="22"/>
      <c r="MPS152" s="22"/>
      <c r="MPT152" s="22"/>
      <c r="MPU152" s="22"/>
      <c r="MPV152" s="22"/>
      <c r="MPW152" s="22"/>
      <c r="MPX152" s="22"/>
      <c r="MPY152" s="22"/>
      <c r="MPZ152" s="22"/>
      <c r="MQA152" s="22"/>
      <c r="MQB152" s="22"/>
      <c r="MQC152" s="22"/>
      <c r="MQD152" s="22"/>
      <c r="MQE152" s="22"/>
      <c r="MQF152" s="22"/>
      <c r="MQG152" s="22"/>
      <c r="MQH152" s="22"/>
      <c r="MQI152" s="22"/>
      <c r="MQJ152" s="22"/>
      <c r="MQK152" s="22"/>
      <c r="MQL152" s="22"/>
      <c r="MQM152" s="22"/>
      <c r="MQN152" s="22"/>
      <c r="MQO152" s="22"/>
      <c r="MQP152" s="22"/>
      <c r="MQQ152" s="22"/>
      <c r="MQR152" s="22"/>
      <c r="MQS152" s="22"/>
      <c r="MQT152" s="22"/>
      <c r="MQU152" s="22"/>
      <c r="MQV152" s="22"/>
      <c r="MQW152" s="22"/>
      <c r="MQX152" s="22"/>
      <c r="MQY152" s="22"/>
      <c r="MQZ152" s="22"/>
      <c r="MRA152" s="22"/>
      <c r="MRB152" s="22"/>
      <c r="MRC152" s="22"/>
      <c r="MRD152" s="22"/>
      <c r="MRE152" s="22"/>
      <c r="MRF152" s="22"/>
      <c r="MRG152" s="22"/>
      <c r="MRH152" s="22"/>
      <c r="MRI152" s="22"/>
      <c r="MRJ152" s="22"/>
      <c r="MRK152" s="22"/>
      <c r="MRL152" s="22"/>
      <c r="MRM152" s="22"/>
      <c r="MRN152" s="22"/>
      <c r="MRO152" s="22"/>
      <c r="MRP152" s="22"/>
      <c r="MRQ152" s="22"/>
      <c r="MRR152" s="22"/>
      <c r="MRS152" s="22"/>
      <c r="MRT152" s="22"/>
      <c r="MRU152" s="22"/>
      <c r="MRV152" s="22"/>
      <c r="MRW152" s="22"/>
      <c r="MRX152" s="22"/>
      <c r="MRY152" s="22"/>
      <c r="MRZ152" s="22"/>
      <c r="MSA152" s="22"/>
      <c r="MSB152" s="22"/>
      <c r="MSC152" s="22"/>
      <c r="MSD152" s="22"/>
      <c r="MSE152" s="22"/>
      <c r="MSF152" s="22"/>
      <c r="MSG152" s="22"/>
      <c r="MSH152" s="22"/>
      <c r="MSI152" s="22"/>
      <c r="MSJ152" s="22"/>
      <c r="MSK152" s="22"/>
      <c r="MSL152" s="22"/>
      <c r="MSM152" s="22"/>
      <c r="MSN152" s="22"/>
      <c r="MSO152" s="22"/>
      <c r="MSP152" s="22"/>
      <c r="MSQ152" s="22"/>
      <c r="MSR152" s="22"/>
      <c r="MSS152" s="22"/>
      <c r="MST152" s="22"/>
      <c r="MSU152" s="22"/>
      <c r="MSV152" s="22"/>
      <c r="MSW152" s="22"/>
      <c r="MSX152" s="22"/>
      <c r="MSY152" s="22"/>
      <c r="MSZ152" s="22"/>
      <c r="MTA152" s="22"/>
      <c r="MTB152" s="22"/>
      <c r="MTC152" s="22"/>
      <c r="MTD152" s="22"/>
      <c r="MTE152" s="22"/>
      <c r="MTF152" s="22"/>
      <c r="MTG152" s="22"/>
      <c r="MTH152" s="22"/>
      <c r="MTI152" s="22"/>
      <c r="MTJ152" s="22"/>
      <c r="MTK152" s="22"/>
      <c r="MTL152" s="22"/>
      <c r="MTM152" s="22"/>
      <c r="MTN152" s="22"/>
      <c r="MTO152" s="22"/>
      <c r="MTP152" s="22"/>
      <c r="MTQ152" s="22"/>
      <c r="MTR152" s="22"/>
      <c r="MTS152" s="22"/>
      <c r="MTT152" s="22"/>
      <c r="MTU152" s="22"/>
      <c r="MTV152" s="22"/>
      <c r="MTW152" s="22"/>
      <c r="MTX152" s="22"/>
      <c r="MTY152" s="22"/>
      <c r="MTZ152" s="22"/>
      <c r="MUA152" s="22"/>
      <c r="MUB152" s="22"/>
      <c r="MUC152" s="22"/>
      <c r="MUD152" s="22"/>
      <c r="MUE152" s="22"/>
      <c r="MUF152" s="22"/>
      <c r="MUG152" s="22"/>
      <c r="MUH152" s="22"/>
      <c r="MUI152" s="22"/>
      <c r="MUJ152" s="22"/>
      <c r="MUK152" s="22"/>
      <c r="MUL152" s="22"/>
      <c r="MUM152" s="22"/>
      <c r="MUN152" s="22"/>
      <c r="MUO152" s="22"/>
      <c r="MUP152" s="22"/>
      <c r="MUQ152" s="22"/>
      <c r="MUR152" s="22"/>
      <c r="MUS152" s="22"/>
      <c r="MUT152" s="22"/>
      <c r="MUU152" s="22"/>
      <c r="MUV152" s="22"/>
      <c r="MUW152" s="22"/>
      <c r="MUX152" s="22"/>
      <c r="MUY152" s="22"/>
      <c r="MUZ152" s="22"/>
      <c r="MVA152" s="22"/>
      <c r="MVB152" s="22"/>
      <c r="MVC152" s="22"/>
      <c r="MVD152" s="22"/>
      <c r="MVE152" s="22"/>
      <c r="MVF152" s="22"/>
      <c r="MVG152" s="22"/>
      <c r="MVH152" s="22"/>
      <c r="MVI152" s="22"/>
      <c r="MVJ152" s="22"/>
      <c r="MVK152" s="22"/>
      <c r="MVL152" s="22"/>
      <c r="MVM152" s="22"/>
      <c r="MVN152" s="22"/>
      <c r="MVO152" s="22"/>
      <c r="MVP152" s="22"/>
      <c r="MVQ152" s="22"/>
      <c r="MVR152" s="22"/>
      <c r="MVS152" s="22"/>
      <c r="MVT152" s="22"/>
      <c r="MVU152" s="22"/>
      <c r="MVV152" s="22"/>
      <c r="MVW152" s="22"/>
      <c r="MVX152" s="22"/>
      <c r="MVY152" s="22"/>
      <c r="MVZ152" s="22"/>
      <c r="MWA152" s="22"/>
      <c r="MWB152" s="22"/>
      <c r="MWC152" s="22"/>
      <c r="MWD152" s="22"/>
      <c r="MWE152" s="22"/>
      <c r="MWF152" s="22"/>
      <c r="MWG152" s="22"/>
      <c r="MWH152" s="22"/>
      <c r="MWI152" s="22"/>
      <c r="MWJ152" s="22"/>
      <c r="MWK152" s="22"/>
      <c r="MWL152" s="22"/>
      <c r="MWM152" s="22"/>
      <c r="MWN152" s="22"/>
      <c r="MWO152" s="22"/>
      <c r="MWP152" s="22"/>
      <c r="MWQ152" s="22"/>
      <c r="MWR152" s="22"/>
      <c r="MWS152" s="22"/>
      <c r="MWT152" s="22"/>
      <c r="MWU152" s="22"/>
      <c r="MWV152" s="22"/>
      <c r="MWW152" s="22"/>
      <c r="MWX152" s="22"/>
      <c r="MWY152" s="22"/>
      <c r="MWZ152" s="22"/>
      <c r="MXA152" s="22"/>
      <c r="MXB152" s="22"/>
      <c r="MXC152" s="22"/>
      <c r="MXD152" s="22"/>
      <c r="MXE152" s="22"/>
      <c r="MXF152" s="22"/>
      <c r="MXG152" s="22"/>
      <c r="MXH152" s="22"/>
      <c r="MXI152" s="22"/>
      <c r="MXJ152" s="22"/>
      <c r="MXK152" s="22"/>
      <c r="MXL152" s="22"/>
      <c r="MXM152" s="22"/>
      <c r="MXN152" s="22"/>
      <c r="MXO152" s="22"/>
      <c r="MXP152" s="22"/>
      <c r="MXQ152" s="22"/>
      <c r="MXR152" s="22"/>
      <c r="MXS152" s="22"/>
      <c r="MXT152" s="22"/>
      <c r="MXU152" s="22"/>
      <c r="MXV152" s="22"/>
      <c r="MXW152" s="22"/>
      <c r="MXX152" s="22"/>
      <c r="MXY152" s="22"/>
      <c r="MXZ152" s="22"/>
      <c r="MYA152" s="22"/>
      <c r="MYB152" s="22"/>
      <c r="MYC152" s="22"/>
      <c r="MYD152" s="22"/>
      <c r="MYE152" s="22"/>
      <c r="MYF152" s="22"/>
      <c r="MYG152" s="22"/>
      <c r="MYH152" s="22"/>
      <c r="MYI152" s="22"/>
      <c r="MYJ152" s="22"/>
      <c r="MYK152" s="22"/>
      <c r="MYL152" s="22"/>
      <c r="MYM152" s="22"/>
      <c r="MYN152" s="22"/>
      <c r="MYO152" s="22"/>
      <c r="MYP152" s="22"/>
      <c r="MYQ152" s="22"/>
      <c r="MYR152" s="22"/>
      <c r="MYS152" s="22"/>
      <c r="MYT152" s="22"/>
      <c r="MYU152" s="22"/>
      <c r="MYV152" s="22"/>
      <c r="MYW152" s="22"/>
      <c r="MYX152" s="22"/>
      <c r="MYY152" s="22"/>
      <c r="MYZ152" s="22"/>
      <c r="MZA152" s="22"/>
      <c r="MZB152" s="22"/>
      <c r="MZC152" s="22"/>
      <c r="MZD152" s="22"/>
      <c r="MZE152" s="22"/>
      <c r="MZF152" s="22"/>
      <c r="MZG152" s="22"/>
      <c r="MZH152" s="22"/>
      <c r="MZI152" s="22"/>
      <c r="MZJ152" s="22"/>
      <c r="MZK152" s="22"/>
      <c r="MZL152" s="22"/>
      <c r="MZM152" s="22"/>
      <c r="MZN152" s="22"/>
      <c r="MZO152" s="22"/>
      <c r="MZP152" s="22"/>
      <c r="MZQ152" s="22"/>
      <c r="MZR152" s="22"/>
      <c r="MZS152" s="22"/>
      <c r="MZT152" s="22"/>
      <c r="MZU152" s="22"/>
      <c r="MZV152" s="22"/>
      <c r="MZW152" s="22"/>
      <c r="MZX152" s="22"/>
      <c r="MZY152" s="22"/>
      <c r="MZZ152" s="22"/>
      <c r="NAA152" s="22"/>
      <c r="NAB152" s="22"/>
      <c r="NAC152" s="22"/>
      <c r="NAD152" s="22"/>
      <c r="NAE152" s="22"/>
      <c r="NAF152" s="22"/>
      <c r="NAG152" s="22"/>
      <c r="NAH152" s="22"/>
      <c r="NAI152" s="22"/>
      <c r="NAJ152" s="22"/>
      <c r="NAK152" s="22"/>
      <c r="NAL152" s="22"/>
      <c r="NAM152" s="22"/>
      <c r="NAN152" s="22"/>
      <c r="NAO152" s="22"/>
      <c r="NAP152" s="22"/>
      <c r="NAQ152" s="22"/>
      <c r="NAR152" s="22"/>
      <c r="NAS152" s="22"/>
      <c r="NAT152" s="22"/>
      <c r="NAU152" s="22"/>
      <c r="NAV152" s="22"/>
      <c r="NAW152" s="22"/>
      <c r="NAX152" s="22"/>
      <c r="NAY152" s="22"/>
      <c r="NAZ152" s="22"/>
      <c r="NBA152" s="22"/>
      <c r="NBB152" s="22"/>
      <c r="NBC152" s="22"/>
      <c r="NBD152" s="22"/>
      <c r="NBE152" s="22"/>
      <c r="NBF152" s="22"/>
      <c r="NBG152" s="22"/>
      <c r="NBH152" s="22"/>
      <c r="NBI152" s="22"/>
      <c r="NBJ152" s="22"/>
      <c r="NBK152" s="22"/>
      <c r="NBL152" s="22"/>
      <c r="NBM152" s="22"/>
      <c r="NBN152" s="22"/>
      <c r="NBO152" s="22"/>
      <c r="NBP152" s="22"/>
      <c r="NBQ152" s="22"/>
      <c r="NBR152" s="22"/>
      <c r="NBS152" s="22"/>
      <c r="NBT152" s="22"/>
      <c r="NBU152" s="22"/>
      <c r="NBV152" s="22"/>
      <c r="NBW152" s="22"/>
      <c r="NBX152" s="22"/>
      <c r="NBY152" s="22"/>
      <c r="NBZ152" s="22"/>
      <c r="NCA152" s="22"/>
      <c r="NCB152" s="22"/>
      <c r="NCC152" s="22"/>
      <c r="NCD152" s="22"/>
      <c r="NCE152" s="22"/>
      <c r="NCF152" s="22"/>
      <c r="NCG152" s="22"/>
      <c r="NCH152" s="22"/>
      <c r="NCI152" s="22"/>
      <c r="NCJ152" s="22"/>
      <c r="NCK152" s="22"/>
      <c r="NCL152" s="22"/>
      <c r="NCM152" s="22"/>
      <c r="NCN152" s="22"/>
      <c r="NCO152" s="22"/>
      <c r="NCP152" s="22"/>
      <c r="NCQ152" s="22"/>
      <c r="NCR152" s="22"/>
      <c r="NCS152" s="22"/>
      <c r="NCT152" s="22"/>
      <c r="NCU152" s="22"/>
      <c r="NCV152" s="22"/>
      <c r="NCW152" s="22"/>
      <c r="NCX152" s="22"/>
      <c r="NCY152" s="22"/>
      <c r="NCZ152" s="22"/>
      <c r="NDA152" s="22"/>
      <c r="NDB152" s="22"/>
      <c r="NDC152" s="22"/>
      <c r="NDD152" s="22"/>
      <c r="NDE152" s="22"/>
      <c r="NDF152" s="22"/>
      <c r="NDG152" s="22"/>
      <c r="NDH152" s="22"/>
      <c r="NDI152" s="22"/>
      <c r="NDJ152" s="22"/>
      <c r="NDK152" s="22"/>
      <c r="NDL152" s="22"/>
      <c r="NDM152" s="22"/>
      <c r="NDN152" s="22"/>
      <c r="NDO152" s="22"/>
      <c r="NDP152" s="22"/>
      <c r="NDQ152" s="22"/>
      <c r="NDR152" s="22"/>
      <c r="NDS152" s="22"/>
      <c r="NDT152" s="22"/>
      <c r="NDU152" s="22"/>
      <c r="NDV152" s="22"/>
      <c r="NDW152" s="22"/>
      <c r="NDX152" s="22"/>
      <c r="NDY152" s="22"/>
      <c r="NDZ152" s="22"/>
      <c r="NEA152" s="22"/>
      <c r="NEB152" s="22"/>
      <c r="NEC152" s="22"/>
      <c r="NED152" s="22"/>
      <c r="NEE152" s="22"/>
      <c r="NEF152" s="22"/>
      <c r="NEG152" s="22"/>
      <c r="NEH152" s="22"/>
      <c r="NEI152" s="22"/>
      <c r="NEJ152" s="22"/>
      <c r="NEK152" s="22"/>
      <c r="NEL152" s="22"/>
      <c r="NEM152" s="22"/>
      <c r="NEN152" s="22"/>
      <c r="NEO152" s="22"/>
      <c r="NEP152" s="22"/>
      <c r="NEQ152" s="22"/>
      <c r="NER152" s="22"/>
      <c r="NES152" s="22"/>
      <c r="NET152" s="22"/>
      <c r="NEU152" s="22"/>
      <c r="NEV152" s="22"/>
      <c r="NEW152" s="22"/>
      <c r="NEX152" s="22"/>
      <c r="NEY152" s="22"/>
      <c r="NEZ152" s="22"/>
      <c r="NFA152" s="22"/>
      <c r="NFB152" s="22"/>
      <c r="NFC152" s="22"/>
      <c r="NFD152" s="22"/>
      <c r="NFE152" s="22"/>
      <c r="NFF152" s="22"/>
      <c r="NFG152" s="22"/>
      <c r="NFH152" s="22"/>
      <c r="NFI152" s="22"/>
      <c r="NFJ152" s="22"/>
      <c r="NFK152" s="22"/>
      <c r="NFL152" s="22"/>
      <c r="NFM152" s="22"/>
      <c r="NFN152" s="22"/>
      <c r="NFO152" s="22"/>
      <c r="NFP152" s="22"/>
      <c r="NFQ152" s="22"/>
      <c r="NFR152" s="22"/>
      <c r="NFS152" s="22"/>
      <c r="NFT152" s="22"/>
      <c r="NFU152" s="22"/>
      <c r="NFV152" s="22"/>
      <c r="NFW152" s="22"/>
      <c r="NFX152" s="22"/>
      <c r="NFY152" s="22"/>
      <c r="NFZ152" s="22"/>
      <c r="NGA152" s="22"/>
      <c r="NGB152" s="22"/>
      <c r="NGC152" s="22"/>
      <c r="NGD152" s="22"/>
      <c r="NGE152" s="22"/>
      <c r="NGF152" s="22"/>
      <c r="NGG152" s="22"/>
      <c r="NGH152" s="22"/>
      <c r="NGI152" s="22"/>
      <c r="NGJ152" s="22"/>
      <c r="NGK152" s="22"/>
      <c r="NGL152" s="22"/>
      <c r="NGM152" s="22"/>
      <c r="NGN152" s="22"/>
      <c r="NGO152" s="22"/>
      <c r="NGP152" s="22"/>
      <c r="NGQ152" s="22"/>
      <c r="NGR152" s="22"/>
      <c r="NGS152" s="22"/>
      <c r="NGT152" s="22"/>
      <c r="NGU152" s="22"/>
      <c r="NGV152" s="22"/>
      <c r="NGW152" s="22"/>
      <c r="NGX152" s="22"/>
      <c r="NGY152" s="22"/>
      <c r="NGZ152" s="22"/>
      <c r="NHA152" s="22"/>
      <c r="NHB152" s="22"/>
      <c r="NHC152" s="22"/>
      <c r="NHD152" s="22"/>
      <c r="NHE152" s="22"/>
      <c r="NHF152" s="22"/>
      <c r="NHG152" s="22"/>
      <c r="NHH152" s="22"/>
      <c r="NHI152" s="22"/>
      <c r="NHJ152" s="22"/>
      <c r="NHK152" s="22"/>
      <c r="NHL152" s="22"/>
      <c r="NHM152" s="22"/>
      <c r="NHN152" s="22"/>
      <c r="NHO152" s="22"/>
      <c r="NHP152" s="22"/>
      <c r="NHQ152" s="22"/>
      <c r="NHR152" s="22"/>
      <c r="NHS152" s="22"/>
      <c r="NHT152" s="22"/>
      <c r="NHU152" s="22"/>
      <c r="NHV152" s="22"/>
      <c r="NHW152" s="22"/>
      <c r="NHX152" s="22"/>
      <c r="NHY152" s="22"/>
      <c r="NHZ152" s="22"/>
      <c r="NIA152" s="22"/>
      <c r="NIB152" s="22"/>
      <c r="NIC152" s="22"/>
      <c r="NID152" s="22"/>
      <c r="NIE152" s="22"/>
      <c r="NIF152" s="22"/>
      <c r="NIG152" s="22"/>
      <c r="NIH152" s="22"/>
      <c r="NII152" s="22"/>
      <c r="NIJ152" s="22"/>
      <c r="NIK152" s="22"/>
      <c r="NIL152" s="22"/>
      <c r="NIM152" s="22"/>
      <c r="NIN152" s="22"/>
      <c r="NIO152" s="22"/>
      <c r="NIP152" s="22"/>
      <c r="NIQ152" s="22"/>
      <c r="NIR152" s="22"/>
      <c r="NIS152" s="22"/>
      <c r="NIT152" s="22"/>
      <c r="NIU152" s="22"/>
      <c r="NIV152" s="22"/>
      <c r="NIW152" s="22"/>
      <c r="NIX152" s="22"/>
      <c r="NIY152" s="22"/>
      <c r="NIZ152" s="22"/>
      <c r="NJA152" s="22"/>
      <c r="NJB152" s="22"/>
      <c r="NJC152" s="22"/>
      <c r="NJD152" s="22"/>
      <c r="NJE152" s="22"/>
      <c r="NJF152" s="22"/>
      <c r="NJG152" s="22"/>
      <c r="NJH152" s="22"/>
      <c r="NJI152" s="22"/>
      <c r="NJJ152" s="22"/>
      <c r="NJK152" s="22"/>
      <c r="NJL152" s="22"/>
      <c r="NJM152" s="22"/>
      <c r="NJN152" s="22"/>
      <c r="NJO152" s="22"/>
      <c r="NJP152" s="22"/>
      <c r="NJQ152" s="22"/>
      <c r="NJR152" s="22"/>
      <c r="NJS152" s="22"/>
      <c r="NJT152" s="22"/>
      <c r="NJU152" s="22"/>
      <c r="NJV152" s="22"/>
      <c r="NJW152" s="22"/>
      <c r="NJX152" s="22"/>
      <c r="NJY152" s="22"/>
      <c r="NJZ152" s="22"/>
      <c r="NKA152" s="22"/>
      <c r="NKB152" s="22"/>
      <c r="NKC152" s="22"/>
      <c r="NKD152" s="22"/>
      <c r="NKE152" s="22"/>
      <c r="NKF152" s="22"/>
      <c r="NKG152" s="22"/>
      <c r="NKH152" s="22"/>
      <c r="NKI152" s="22"/>
      <c r="NKJ152" s="22"/>
      <c r="NKK152" s="22"/>
      <c r="NKL152" s="22"/>
      <c r="NKM152" s="22"/>
      <c r="NKN152" s="22"/>
      <c r="NKO152" s="22"/>
      <c r="NKP152" s="22"/>
      <c r="NKQ152" s="22"/>
      <c r="NKR152" s="22"/>
      <c r="NKS152" s="22"/>
      <c r="NKT152" s="22"/>
      <c r="NKU152" s="22"/>
      <c r="NKV152" s="22"/>
      <c r="NKW152" s="22"/>
      <c r="NKX152" s="22"/>
      <c r="NKY152" s="22"/>
      <c r="NKZ152" s="22"/>
      <c r="NLA152" s="22"/>
      <c r="NLB152" s="22"/>
      <c r="NLC152" s="22"/>
      <c r="NLD152" s="22"/>
      <c r="NLE152" s="22"/>
      <c r="NLF152" s="22"/>
      <c r="NLG152" s="22"/>
      <c r="NLH152" s="22"/>
      <c r="NLI152" s="22"/>
      <c r="NLJ152" s="22"/>
      <c r="NLK152" s="22"/>
      <c r="NLL152" s="22"/>
      <c r="NLM152" s="22"/>
      <c r="NLN152" s="22"/>
      <c r="NLO152" s="22"/>
      <c r="NLP152" s="22"/>
      <c r="NLQ152" s="22"/>
      <c r="NLR152" s="22"/>
      <c r="NLS152" s="22"/>
      <c r="NLT152" s="22"/>
      <c r="NLU152" s="22"/>
      <c r="NLV152" s="22"/>
      <c r="NLW152" s="22"/>
      <c r="NLX152" s="22"/>
      <c r="NLY152" s="22"/>
      <c r="NLZ152" s="22"/>
      <c r="NMA152" s="22"/>
      <c r="NMB152" s="22"/>
      <c r="NMC152" s="22"/>
      <c r="NMD152" s="22"/>
      <c r="NME152" s="22"/>
      <c r="NMF152" s="22"/>
      <c r="NMG152" s="22"/>
      <c r="NMH152" s="22"/>
      <c r="NMI152" s="22"/>
      <c r="NMJ152" s="22"/>
      <c r="NMK152" s="22"/>
      <c r="NML152" s="22"/>
      <c r="NMM152" s="22"/>
      <c r="NMN152" s="22"/>
      <c r="NMO152" s="22"/>
      <c r="NMP152" s="22"/>
      <c r="NMQ152" s="22"/>
      <c r="NMR152" s="22"/>
      <c r="NMS152" s="22"/>
      <c r="NMT152" s="22"/>
      <c r="NMU152" s="22"/>
      <c r="NMV152" s="22"/>
      <c r="NMW152" s="22"/>
      <c r="NMX152" s="22"/>
      <c r="NMY152" s="22"/>
      <c r="NMZ152" s="22"/>
      <c r="NNA152" s="22"/>
      <c r="NNB152" s="22"/>
      <c r="NNC152" s="22"/>
      <c r="NND152" s="22"/>
      <c r="NNE152" s="22"/>
      <c r="NNF152" s="22"/>
      <c r="NNG152" s="22"/>
      <c r="NNH152" s="22"/>
      <c r="NNI152" s="22"/>
      <c r="NNJ152" s="22"/>
      <c r="NNK152" s="22"/>
      <c r="NNL152" s="22"/>
      <c r="NNM152" s="22"/>
      <c r="NNN152" s="22"/>
      <c r="NNO152" s="22"/>
      <c r="NNP152" s="22"/>
      <c r="NNQ152" s="22"/>
      <c r="NNR152" s="22"/>
      <c r="NNS152" s="22"/>
      <c r="NNT152" s="22"/>
      <c r="NNU152" s="22"/>
      <c r="NNV152" s="22"/>
      <c r="NNW152" s="22"/>
      <c r="NNX152" s="22"/>
      <c r="NNY152" s="22"/>
      <c r="NNZ152" s="22"/>
      <c r="NOA152" s="22"/>
      <c r="NOB152" s="22"/>
      <c r="NOC152" s="22"/>
      <c r="NOD152" s="22"/>
      <c r="NOE152" s="22"/>
      <c r="NOF152" s="22"/>
      <c r="NOG152" s="22"/>
      <c r="NOH152" s="22"/>
      <c r="NOI152" s="22"/>
      <c r="NOJ152" s="22"/>
      <c r="NOK152" s="22"/>
      <c r="NOL152" s="22"/>
      <c r="NOM152" s="22"/>
      <c r="NON152" s="22"/>
      <c r="NOO152" s="22"/>
      <c r="NOP152" s="22"/>
      <c r="NOQ152" s="22"/>
      <c r="NOR152" s="22"/>
      <c r="NOS152" s="22"/>
      <c r="NOT152" s="22"/>
      <c r="NOU152" s="22"/>
      <c r="NOV152" s="22"/>
      <c r="NOW152" s="22"/>
      <c r="NOX152" s="22"/>
      <c r="NOY152" s="22"/>
      <c r="NOZ152" s="22"/>
      <c r="NPA152" s="22"/>
      <c r="NPB152" s="22"/>
      <c r="NPC152" s="22"/>
      <c r="NPD152" s="22"/>
      <c r="NPE152" s="22"/>
      <c r="NPF152" s="22"/>
      <c r="NPG152" s="22"/>
      <c r="NPH152" s="22"/>
      <c r="NPI152" s="22"/>
      <c r="NPJ152" s="22"/>
      <c r="NPK152" s="22"/>
      <c r="NPL152" s="22"/>
      <c r="NPM152" s="22"/>
      <c r="NPN152" s="22"/>
      <c r="NPO152" s="22"/>
      <c r="NPP152" s="22"/>
      <c r="NPQ152" s="22"/>
      <c r="NPR152" s="22"/>
      <c r="NPS152" s="22"/>
      <c r="NPT152" s="22"/>
      <c r="NPU152" s="22"/>
      <c r="NPV152" s="22"/>
      <c r="NPW152" s="22"/>
      <c r="NPX152" s="22"/>
      <c r="NPY152" s="22"/>
      <c r="NPZ152" s="22"/>
      <c r="NQA152" s="22"/>
      <c r="NQB152" s="22"/>
      <c r="NQC152" s="22"/>
      <c r="NQD152" s="22"/>
      <c r="NQE152" s="22"/>
      <c r="NQF152" s="22"/>
      <c r="NQG152" s="22"/>
      <c r="NQH152" s="22"/>
      <c r="NQI152" s="22"/>
      <c r="NQJ152" s="22"/>
      <c r="NQK152" s="22"/>
      <c r="NQL152" s="22"/>
      <c r="NQM152" s="22"/>
      <c r="NQN152" s="22"/>
      <c r="NQO152" s="22"/>
      <c r="NQP152" s="22"/>
      <c r="NQQ152" s="22"/>
      <c r="NQR152" s="22"/>
      <c r="NQS152" s="22"/>
      <c r="NQT152" s="22"/>
      <c r="NQU152" s="22"/>
      <c r="NQV152" s="22"/>
      <c r="NQW152" s="22"/>
      <c r="NQX152" s="22"/>
      <c r="NQY152" s="22"/>
      <c r="NQZ152" s="22"/>
      <c r="NRA152" s="22"/>
      <c r="NRB152" s="22"/>
      <c r="NRC152" s="22"/>
      <c r="NRD152" s="22"/>
      <c r="NRE152" s="22"/>
      <c r="NRF152" s="22"/>
      <c r="NRG152" s="22"/>
      <c r="NRH152" s="22"/>
      <c r="NRI152" s="22"/>
      <c r="NRJ152" s="22"/>
      <c r="NRK152" s="22"/>
      <c r="NRL152" s="22"/>
      <c r="NRM152" s="22"/>
      <c r="NRN152" s="22"/>
      <c r="NRO152" s="22"/>
      <c r="NRP152" s="22"/>
      <c r="NRQ152" s="22"/>
      <c r="NRR152" s="22"/>
      <c r="NRS152" s="22"/>
      <c r="NRT152" s="22"/>
      <c r="NRU152" s="22"/>
      <c r="NRV152" s="22"/>
      <c r="NRW152" s="22"/>
      <c r="NRX152" s="22"/>
      <c r="NRY152" s="22"/>
      <c r="NRZ152" s="22"/>
      <c r="NSA152" s="22"/>
      <c r="NSB152" s="22"/>
      <c r="NSC152" s="22"/>
      <c r="NSD152" s="22"/>
      <c r="NSE152" s="22"/>
      <c r="NSF152" s="22"/>
      <c r="NSG152" s="22"/>
      <c r="NSH152" s="22"/>
      <c r="NSI152" s="22"/>
      <c r="NSJ152" s="22"/>
      <c r="NSK152" s="22"/>
      <c r="NSL152" s="22"/>
      <c r="NSM152" s="22"/>
      <c r="NSN152" s="22"/>
      <c r="NSO152" s="22"/>
      <c r="NSP152" s="22"/>
      <c r="NSQ152" s="22"/>
      <c r="NSR152" s="22"/>
      <c r="NSS152" s="22"/>
      <c r="NST152" s="22"/>
      <c r="NSU152" s="22"/>
      <c r="NSV152" s="22"/>
      <c r="NSW152" s="22"/>
      <c r="NSX152" s="22"/>
      <c r="NSY152" s="22"/>
      <c r="NSZ152" s="22"/>
      <c r="NTA152" s="22"/>
      <c r="NTB152" s="22"/>
      <c r="NTC152" s="22"/>
      <c r="NTD152" s="22"/>
      <c r="NTE152" s="22"/>
      <c r="NTF152" s="22"/>
      <c r="NTG152" s="22"/>
      <c r="NTH152" s="22"/>
      <c r="NTI152" s="22"/>
      <c r="NTJ152" s="22"/>
      <c r="NTK152" s="22"/>
      <c r="NTL152" s="22"/>
      <c r="NTM152" s="22"/>
      <c r="NTN152" s="22"/>
      <c r="NTO152" s="22"/>
      <c r="NTP152" s="22"/>
      <c r="NTQ152" s="22"/>
      <c r="NTR152" s="22"/>
      <c r="NTS152" s="22"/>
      <c r="NTT152" s="22"/>
      <c r="NTU152" s="22"/>
      <c r="NTV152" s="22"/>
      <c r="NTW152" s="22"/>
      <c r="NTX152" s="22"/>
      <c r="NTY152" s="22"/>
      <c r="NTZ152" s="22"/>
      <c r="NUA152" s="22"/>
      <c r="NUB152" s="22"/>
      <c r="NUC152" s="22"/>
      <c r="NUD152" s="22"/>
      <c r="NUE152" s="22"/>
      <c r="NUF152" s="22"/>
      <c r="NUG152" s="22"/>
      <c r="NUH152" s="22"/>
      <c r="NUI152" s="22"/>
      <c r="NUJ152" s="22"/>
      <c r="NUK152" s="22"/>
      <c r="NUL152" s="22"/>
      <c r="NUM152" s="22"/>
      <c r="NUN152" s="22"/>
      <c r="NUO152" s="22"/>
      <c r="NUP152" s="22"/>
      <c r="NUQ152" s="22"/>
      <c r="NUR152" s="22"/>
      <c r="NUS152" s="22"/>
      <c r="NUT152" s="22"/>
      <c r="NUU152" s="22"/>
      <c r="NUV152" s="22"/>
      <c r="NUW152" s="22"/>
      <c r="NUX152" s="22"/>
      <c r="NUY152" s="22"/>
      <c r="NUZ152" s="22"/>
      <c r="NVA152" s="22"/>
      <c r="NVB152" s="22"/>
      <c r="NVC152" s="22"/>
      <c r="NVD152" s="22"/>
      <c r="NVE152" s="22"/>
      <c r="NVF152" s="22"/>
      <c r="NVG152" s="22"/>
      <c r="NVH152" s="22"/>
      <c r="NVI152" s="22"/>
      <c r="NVJ152" s="22"/>
      <c r="NVK152" s="22"/>
      <c r="NVL152" s="22"/>
      <c r="NVM152" s="22"/>
      <c r="NVN152" s="22"/>
      <c r="NVO152" s="22"/>
      <c r="NVP152" s="22"/>
      <c r="NVQ152" s="22"/>
      <c r="NVR152" s="22"/>
      <c r="NVS152" s="22"/>
      <c r="NVT152" s="22"/>
      <c r="NVU152" s="22"/>
      <c r="NVV152" s="22"/>
      <c r="NVW152" s="22"/>
      <c r="NVX152" s="22"/>
      <c r="NVY152" s="22"/>
      <c r="NVZ152" s="22"/>
      <c r="NWA152" s="22"/>
      <c r="NWB152" s="22"/>
      <c r="NWC152" s="22"/>
      <c r="NWD152" s="22"/>
      <c r="NWE152" s="22"/>
      <c r="NWF152" s="22"/>
      <c r="NWG152" s="22"/>
      <c r="NWH152" s="22"/>
      <c r="NWI152" s="22"/>
      <c r="NWJ152" s="22"/>
      <c r="NWK152" s="22"/>
      <c r="NWL152" s="22"/>
      <c r="NWM152" s="22"/>
      <c r="NWN152" s="22"/>
      <c r="NWO152" s="22"/>
      <c r="NWP152" s="22"/>
      <c r="NWQ152" s="22"/>
      <c r="NWR152" s="22"/>
      <c r="NWS152" s="22"/>
      <c r="NWT152" s="22"/>
      <c r="NWU152" s="22"/>
      <c r="NWV152" s="22"/>
      <c r="NWW152" s="22"/>
      <c r="NWX152" s="22"/>
      <c r="NWY152" s="22"/>
      <c r="NWZ152" s="22"/>
      <c r="NXA152" s="22"/>
      <c r="NXB152" s="22"/>
      <c r="NXC152" s="22"/>
      <c r="NXD152" s="22"/>
      <c r="NXE152" s="22"/>
      <c r="NXF152" s="22"/>
      <c r="NXG152" s="22"/>
      <c r="NXH152" s="22"/>
      <c r="NXI152" s="22"/>
      <c r="NXJ152" s="22"/>
      <c r="NXK152" s="22"/>
      <c r="NXL152" s="22"/>
      <c r="NXM152" s="22"/>
      <c r="NXN152" s="22"/>
      <c r="NXO152" s="22"/>
      <c r="NXP152" s="22"/>
      <c r="NXQ152" s="22"/>
      <c r="NXR152" s="22"/>
      <c r="NXS152" s="22"/>
      <c r="NXT152" s="22"/>
      <c r="NXU152" s="22"/>
      <c r="NXV152" s="22"/>
      <c r="NXW152" s="22"/>
      <c r="NXX152" s="22"/>
      <c r="NXY152" s="22"/>
      <c r="NXZ152" s="22"/>
      <c r="NYA152" s="22"/>
      <c r="NYB152" s="22"/>
      <c r="NYC152" s="22"/>
      <c r="NYD152" s="22"/>
      <c r="NYE152" s="22"/>
      <c r="NYF152" s="22"/>
      <c r="NYG152" s="22"/>
      <c r="NYH152" s="22"/>
      <c r="NYI152" s="22"/>
      <c r="NYJ152" s="22"/>
      <c r="NYK152" s="22"/>
      <c r="NYL152" s="22"/>
      <c r="NYM152" s="22"/>
      <c r="NYN152" s="22"/>
      <c r="NYO152" s="22"/>
      <c r="NYP152" s="22"/>
      <c r="NYQ152" s="22"/>
      <c r="NYR152" s="22"/>
      <c r="NYS152" s="22"/>
      <c r="NYT152" s="22"/>
      <c r="NYU152" s="22"/>
      <c r="NYV152" s="22"/>
      <c r="NYW152" s="22"/>
      <c r="NYX152" s="22"/>
      <c r="NYY152" s="22"/>
      <c r="NYZ152" s="22"/>
      <c r="NZA152" s="22"/>
      <c r="NZB152" s="22"/>
      <c r="NZC152" s="22"/>
      <c r="NZD152" s="22"/>
      <c r="NZE152" s="22"/>
      <c r="NZF152" s="22"/>
      <c r="NZG152" s="22"/>
      <c r="NZH152" s="22"/>
      <c r="NZI152" s="22"/>
      <c r="NZJ152" s="22"/>
      <c r="NZK152" s="22"/>
      <c r="NZL152" s="22"/>
      <c r="NZM152" s="22"/>
      <c r="NZN152" s="22"/>
      <c r="NZO152" s="22"/>
      <c r="NZP152" s="22"/>
      <c r="NZQ152" s="22"/>
      <c r="NZR152" s="22"/>
      <c r="NZS152" s="22"/>
      <c r="NZT152" s="22"/>
      <c r="NZU152" s="22"/>
      <c r="NZV152" s="22"/>
      <c r="NZW152" s="22"/>
      <c r="NZX152" s="22"/>
      <c r="NZY152" s="22"/>
      <c r="NZZ152" s="22"/>
      <c r="OAA152" s="22"/>
      <c r="OAB152" s="22"/>
      <c r="OAC152" s="22"/>
      <c r="OAD152" s="22"/>
      <c r="OAE152" s="22"/>
      <c r="OAF152" s="22"/>
      <c r="OAG152" s="22"/>
      <c r="OAH152" s="22"/>
      <c r="OAI152" s="22"/>
      <c r="OAJ152" s="22"/>
      <c r="OAK152" s="22"/>
      <c r="OAL152" s="22"/>
      <c r="OAM152" s="22"/>
      <c r="OAN152" s="22"/>
      <c r="OAO152" s="22"/>
      <c r="OAP152" s="22"/>
      <c r="OAQ152" s="22"/>
      <c r="OAR152" s="22"/>
      <c r="OAS152" s="22"/>
      <c r="OAT152" s="22"/>
      <c r="OAU152" s="22"/>
      <c r="OAV152" s="22"/>
      <c r="OAW152" s="22"/>
      <c r="OAX152" s="22"/>
      <c r="OAY152" s="22"/>
      <c r="OAZ152" s="22"/>
      <c r="OBA152" s="22"/>
      <c r="OBB152" s="22"/>
      <c r="OBC152" s="22"/>
      <c r="OBD152" s="22"/>
      <c r="OBE152" s="22"/>
      <c r="OBF152" s="22"/>
      <c r="OBG152" s="22"/>
      <c r="OBH152" s="22"/>
      <c r="OBI152" s="22"/>
      <c r="OBJ152" s="22"/>
      <c r="OBK152" s="22"/>
      <c r="OBL152" s="22"/>
      <c r="OBM152" s="22"/>
      <c r="OBN152" s="22"/>
      <c r="OBO152" s="22"/>
      <c r="OBP152" s="22"/>
      <c r="OBQ152" s="22"/>
      <c r="OBR152" s="22"/>
      <c r="OBS152" s="22"/>
      <c r="OBT152" s="22"/>
      <c r="OBU152" s="22"/>
      <c r="OBV152" s="22"/>
      <c r="OBW152" s="22"/>
      <c r="OBX152" s="22"/>
      <c r="OBY152" s="22"/>
      <c r="OBZ152" s="22"/>
      <c r="OCA152" s="22"/>
      <c r="OCB152" s="22"/>
      <c r="OCC152" s="22"/>
      <c r="OCD152" s="22"/>
      <c r="OCE152" s="22"/>
      <c r="OCF152" s="22"/>
      <c r="OCG152" s="22"/>
      <c r="OCH152" s="22"/>
      <c r="OCI152" s="22"/>
      <c r="OCJ152" s="22"/>
      <c r="OCK152" s="22"/>
      <c r="OCL152" s="22"/>
      <c r="OCM152" s="22"/>
      <c r="OCN152" s="22"/>
      <c r="OCO152" s="22"/>
      <c r="OCP152" s="22"/>
      <c r="OCQ152" s="22"/>
      <c r="OCR152" s="22"/>
      <c r="OCS152" s="22"/>
      <c r="OCT152" s="22"/>
      <c r="OCU152" s="22"/>
      <c r="OCV152" s="22"/>
      <c r="OCW152" s="22"/>
      <c r="OCX152" s="22"/>
      <c r="OCY152" s="22"/>
      <c r="OCZ152" s="22"/>
      <c r="ODA152" s="22"/>
      <c r="ODB152" s="22"/>
      <c r="ODC152" s="22"/>
      <c r="ODD152" s="22"/>
      <c r="ODE152" s="22"/>
      <c r="ODF152" s="22"/>
      <c r="ODG152" s="22"/>
      <c r="ODH152" s="22"/>
      <c r="ODI152" s="22"/>
      <c r="ODJ152" s="22"/>
      <c r="ODK152" s="22"/>
      <c r="ODL152" s="22"/>
      <c r="ODM152" s="22"/>
      <c r="ODN152" s="22"/>
      <c r="ODO152" s="22"/>
      <c r="ODP152" s="22"/>
      <c r="ODQ152" s="22"/>
      <c r="ODR152" s="22"/>
      <c r="ODS152" s="22"/>
      <c r="ODT152" s="22"/>
      <c r="ODU152" s="22"/>
      <c r="ODV152" s="22"/>
      <c r="ODW152" s="22"/>
      <c r="ODX152" s="22"/>
      <c r="ODY152" s="22"/>
      <c r="ODZ152" s="22"/>
      <c r="OEA152" s="22"/>
      <c r="OEB152" s="22"/>
      <c r="OEC152" s="22"/>
      <c r="OED152" s="22"/>
      <c r="OEE152" s="22"/>
      <c r="OEF152" s="22"/>
      <c r="OEG152" s="22"/>
      <c r="OEH152" s="22"/>
      <c r="OEI152" s="22"/>
      <c r="OEJ152" s="22"/>
      <c r="OEK152" s="22"/>
      <c r="OEL152" s="22"/>
      <c r="OEM152" s="22"/>
      <c r="OEN152" s="22"/>
      <c r="OEO152" s="22"/>
      <c r="OEP152" s="22"/>
      <c r="OEQ152" s="22"/>
      <c r="OER152" s="22"/>
      <c r="OES152" s="22"/>
      <c r="OET152" s="22"/>
      <c r="OEU152" s="22"/>
      <c r="OEV152" s="22"/>
      <c r="OEW152" s="22"/>
      <c r="OEX152" s="22"/>
      <c r="OEY152" s="22"/>
      <c r="OEZ152" s="22"/>
      <c r="OFA152" s="22"/>
      <c r="OFB152" s="22"/>
      <c r="OFC152" s="22"/>
      <c r="OFD152" s="22"/>
      <c r="OFE152" s="22"/>
      <c r="OFF152" s="22"/>
      <c r="OFG152" s="22"/>
      <c r="OFH152" s="22"/>
      <c r="OFI152" s="22"/>
      <c r="OFJ152" s="22"/>
      <c r="OFK152" s="22"/>
      <c r="OFL152" s="22"/>
      <c r="OFM152" s="22"/>
      <c r="OFN152" s="22"/>
      <c r="OFO152" s="22"/>
      <c r="OFP152" s="22"/>
      <c r="OFQ152" s="22"/>
      <c r="OFR152" s="22"/>
      <c r="OFS152" s="22"/>
      <c r="OFT152" s="22"/>
      <c r="OFU152" s="22"/>
      <c r="OFV152" s="22"/>
      <c r="OFW152" s="22"/>
      <c r="OFX152" s="22"/>
      <c r="OFY152" s="22"/>
      <c r="OFZ152" s="22"/>
      <c r="OGA152" s="22"/>
      <c r="OGB152" s="22"/>
      <c r="OGC152" s="22"/>
      <c r="OGD152" s="22"/>
      <c r="OGE152" s="22"/>
      <c r="OGF152" s="22"/>
      <c r="OGG152" s="22"/>
      <c r="OGH152" s="22"/>
      <c r="OGI152" s="22"/>
      <c r="OGJ152" s="22"/>
      <c r="OGK152" s="22"/>
      <c r="OGL152" s="22"/>
      <c r="OGM152" s="22"/>
      <c r="OGN152" s="22"/>
      <c r="OGO152" s="22"/>
      <c r="OGP152" s="22"/>
      <c r="OGQ152" s="22"/>
      <c r="OGR152" s="22"/>
      <c r="OGS152" s="22"/>
      <c r="OGT152" s="22"/>
      <c r="OGU152" s="22"/>
      <c r="OGV152" s="22"/>
      <c r="OGW152" s="22"/>
      <c r="OGX152" s="22"/>
      <c r="OGY152" s="22"/>
      <c r="OGZ152" s="22"/>
      <c r="OHA152" s="22"/>
      <c r="OHB152" s="22"/>
      <c r="OHC152" s="22"/>
      <c r="OHD152" s="22"/>
      <c r="OHE152" s="22"/>
      <c r="OHF152" s="22"/>
      <c r="OHG152" s="22"/>
      <c r="OHH152" s="22"/>
      <c r="OHI152" s="22"/>
      <c r="OHJ152" s="22"/>
      <c r="OHK152" s="22"/>
      <c r="OHL152" s="22"/>
      <c r="OHM152" s="22"/>
      <c r="OHN152" s="22"/>
      <c r="OHO152" s="22"/>
      <c r="OHP152" s="22"/>
      <c r="OHQ152" s="22"/>
      <c r="OHR152" s="22"/>
      <c r="OHS152" s="22"/>
      <c r="OHT152" s="22"/>
      <c r="OHU152" s="22"/>
      <c r="OHV152" s="22"/>
      <c r="OHW152" s="22"/>
      <c r="OHX152" s="22"/>
      <c r="OHY152" s="22"/>
      <c r="OHZ152" s="22"/>
      <c r="OIA152" s="22"/>
      <c r="OIB152" s="22"/>
      <c r="OIC152" s="22"/>
      <c r="OID152" s="22"/>
      <c r="OIE152" s="22"/>
      <c r="OIF152" s="22"/>
      <c r="OIG152" s="22"/>
      <c r="OIH152" s="22"/>
      <c r="OII152" s="22"/>
      <c r="OIJ152" s="22"/>
      <c r="OIK152" s="22"/>
      <c r="OIL152" s="22"/>
      <c r="OIM152" s="22"/>
      <c r="OIN152" s="22"/>
      <c r="OIO152" s="22"/>
      <c r="OIP152" s="22"/>
      <c r="OIQ152" s="22"/>
      <c r="OIR152" s="22"/>
      <c r="OIS152" s="22"/>
      <c r="OIT152" s="22"/>
      <c r="OIU152" s="22"/>
      <c r="OIV152" s="22"/>
      <c r="OIW152" s="22"/>
      <c r="OIX152" s="22"/>
      <c r="OIY152" s="22"/>
      <c r="OIZ152" s="22"/>
      <c r="OJA152" s="22"/>
      <c r="OJB152" s="22"/>
      <c r="OJC152" s="22"/>
      <c r="OJD152" s="22"/>
      <c r="OJE152" s="22"/>
      <c r="OJF152" s="22"/>
      <c r="OJG152" s="22"/>
      <c r="OJH152" s="22"/>
      <c r="OJI152" s="22"/>
      <c r="OJJ152" s="22"/>
      <c r="OJK152" s="22"/>
      <c r="OJL152" s="22"/>
      <c r="OJM152" s="22"/>
      <c r="OJN152" s="22"/>
      <c r="OJO152" s="22"/>
      <c r="OJP152" s="22"/>
      <c r="OJQ152" s="22"/>
      <c r="OJR152" s="22"/>
      <c r="OJS152" s="22"/>
      <c r="OJT152" s="22"/>
      <c r="OJU152" s="22"/>
      <c r="OJV152" s="22"/>
      <c r="OJW152" s="22"/>
      <c r="OJX152" s="22"/>
      <c r="OJY152" s="22"/>
      <c r="OJZ152" s="22"/>
      <c r="OKA152" s="22"/>
      <c r="OKB152" s="22"/>
      <c r="OKC152" s="22"/>
      <c r="OKD152" s="22"/>
      <c r="OKE152" s="22"/>
      <c r="OKF152" s="22"/>
      <c r="OKG152" s="22"/>
      <c r="OKH152" s="22"/>
      <c r="OKI152" s="22"/>
      <c r="OKJ152" s="22"/>
      <c r="OKK152" s="22"/>
      <c r="OKL152" s="22"/>
      <c r="OKM152" s="22"/>
      <c r="OKN152" s="22"/>
      <c r="OKO152" s="22"/>
      <c r="OKP152" s="22"/>
      <c r="OKQ152" s="22"/>
      <c r="OKR152" s="22"/>
      <c r="OKS152" s="22"/>
      <c r="OKT152" s="22"/>
      <c r="OKU152" s="22"/>
      <c r="OKV152" s="22"/>
      <c r="OKW152" s="22"/>
      <c r="OKX152" s="22"/>
      <c r="OKY152" s="22"/>
      <c r="OKZ152" s="22"/>
      <c r="OLA152" s="22"/>
      <c r="OLB152" s="22"/>
      <c r="OLC152" s="22"/>
      <c r="OLD152" s="22"/>
      <c r="OLE152" s="22"/>
      <c r="OLF152" s="22"/>
      <c r="OLG152" s="22"/>
      <c r="OLH152" s="22"/>
      <c r="OLI152" s="22"/>
      <c r="OLJ152" s="22"/>
      <c r="OLK152" s="22"/>
      <c r="OLL152" s="22"/>
      <c r="OLM152" s="22"/>
      <c r="OLN152" s="22"/>
      <c r="OLO152" s="22"/>
      <c r="OLP152" s="22"/>
      <c r="OLQ152" s="22"/>
      <c r="OLR152" s="22"/>
      <c r="OLS152" s="22"/>
      <c r="OLT152" s="22"/>
      <c r="OLU152" s="22"/>
      <c r="OLV152" s="22"/>
      <c r="OLW152" s="22"/>
      <c r="OLX152" s="22"/>
      <c r="OLY152" s="22"/>
      <c r="OLZ152" s="22"/>
      <c r="OMA152" s="22"/>
      <c r="OMB152" s="22"/>
      <c r="OMC152" s="22"/>
      <c r="OMD152" s="22"/>
      <c r="OME152" s="22"/>
      <c r="OMF152" s="22"/>
      <c r="OMG152" s="22"/>
      <c r="OMH152" s="22"/>
      <c r="OMI152" s="22"/>
      <c r="OMJ152" s="22"/>
      <c r="OMK152" s="22"/>
      <c r="OML152" s="22"/>
      <c r="OMM152" s="22"/>
      <c r="OMN152" s="22"/>
      <c r="OMO152" s="22"/>
      <c r="OMP152" s="22"/>
      <c r="OMQ152" s="22"/>
      <c r="OMR152" s="22"/>
      <c r="OMS152" s="22"/>
      <c r="OMT152" s="22"/>
      <c r="OMU152" s="22"/>
      <c r="OMV152" s="22"/>
      <c r="OMW152" s="22"/>
      <c r="OMX152" s="22"/>
      <c r="OMY152" s="22"/>
      <c r="OMZ152" s="22"/>
      <c r="ONA152" s="22"/>
      <c r="ONB152" s="22"/>
      <c r="ONC152" s="22"/>
      <c r="OND152" s="22"/>
      <c r="ONE152" s="22"/>
      <c r="ONF152" s="22"/>
      <c r="ONG152" s="22"/>
      <c r="ONH152" s="22"/>
      <c r="ONI152" s="22"/>
      <c r="ONJ152" s="22"/>
      <c r="ONK152" s="22"/>
      <c r="ONL152" s="22"/>
      <c r="ONM152" s="22"/>
      <c r="ONN152" s="22"/>
      <c r="ONO152" s="22"/>
      <c r="ONP152" s="22"/>
      <c r="ONQ152" s="22"/>
      <c r="ONR152" s="22"/>
      <c r="ONS152" s="22"/>
      <c r="ONT152" s="22"/>
      <c r="ONU152" s="22"/>
      <c r="ONV152" s="22"/>
      <c r="ONW152" s="22"/>
      <c r="ONX152" s="22"/>
      <c r="ONY152" s="22"/>
      <c r="ONZ152" s="22"/>
      <c r="OOA152" s="22"/>
      <c r="OOB152" s="22"/>
      <c r="OOC152" s="22"/>
      <c r="OOD152" s="22"/>
      <c r="OOE152" s="22"/>
      <c r="OOF152" s="22"/>
      <c r="OOG152" s="22"/>
      <c r="OOH152" s="22"/>
      <c r="OOI152" s="22"/>
      <c r="OOJ152" s="22"/>
      <c r="OOK152" s="22"/>
      <c r="OOL152" s="22"/>
      <c r="OOM152" s="22"/>
      <c r="OON152" s="22"/>
      <c r="OOO152" s="22"/>
      <c r="OOP152" s="22"/>
      <c r="OOQ152" s="22"/>
      <c r="OOR152" s="22"/>
      <c r="OOS152" s="22"/>
      <c r="OOT152" s="22"/>
      <c r="OOU152" s="22"/>
      <c r="OOV152" s="22"/>
      <c r="OOW152" s="22"/>
      <c r="OOX152" s="22"/>
      <c r="OOY152" s="22"/>
      <c r="OOZ152" s="22"/>
      <c r="OPA152" s="22"/>
      <c r="OPB152" s="22"/>
      <c r="OPC152" s="22"/>
      <c r="OPD152" s="22"/>
      <c r="OPE152" s="22"/>
      <c r="OPF152" s="22"/>
      <c r="OPG152" s="22"/>
      <c r="OPH152" s="22"/>
      <c r="OPI152" s="22"/>
      <c r="OPJ152" s="22"/>
      <c r="OPK152" s="22"/>
      <c r="OPL152" s="22"/>
      <c r="OPM152" s="22"/>
      <c r="OPN152" s="22"/>
      <c r="OPO152" s="22"/>
      <c r="OPP152" s="22"/>
      <c r="OPQ152" s="22"/>
      <c r="OPR152" s="22"/>
      <c r="OPS152" s="22"/>
      <c r="OPT152" s="22"/>
      <c r="OPU152" s="22"/>
      <c r="OPV152" s="22"/>
      <c r="OPW152" s="22"/>
      <c r="OPX152" s="22"/>
      <c r="OPY152" s="22"/>
      <c r="OPZ152" s="22"/>
      <c r="OQA152" s="22"/>
      <c r="OQB152" s="22"/>
      <c r="OQC152" s="22"/>
      <c r="OQD152" s="22"/>
      <c r="OQE152" s="22"/>
      <c r="OQF152" s="22"/>
      <c r="OQG152" s="22"/>
      <c r="OQH152" s="22"/>
      <c r="OQI152" s="22"/>
      <c r="OQJ152" s="22"/>
      <c r="OQK152" s="22"/>
      <c r="OQL152" s="22"/>
      <c r="OQM152" s="22"/>
      <c r="OQN152" s="22"/>
      <c r="OQO152" s="22"/>
      <c r="OQP152" s="22"/>
      <c r="OQQ152" s="22"/>
      <c r="OQR152" s="22"/>
      <c r="OQS152" s="22"/>
      <c r="OQT152" s="22"/>
      <c r="OQU152" s="22"/>
      <c r="OQV152" s="22"/>
      <c r="OQW152" s="22"/>
      <c r="OQX152" s="22"/>
      <c r="OQY152" s="22"/>
      <c r="OQZ152" s="22"/>
      <c r="ORA152" s="22"/>
      <c r="ORB152" s="22"/>
      <c r="ORC152" s="22"/>
      <c r="ORD152" s="22"/>
      <c r="ORE152" s="22"/>
      <c r="ORF152" s="22"/>
      <c r="ORG152" s="22"/>
      <c r="ORH152" s="22"/>
      <c r="ORI152" s="22"/>
      <c r="ORJ152" s="22"/>
      <c r="ORK152" s="22"/>
      <c r="ORL152" s="22"/>
      <c r="ORM152" s="22"/>
      <c r="ORN152" s="22"/>
      <c r="ORO152" s="22"/>
      <c r="ORP152" s="22"/>
      <c r="ORQ152" s="22"/>
      <c r="ORR152" s="22"/>
      <c r="ORS152" s="22"/>
      <c r="ORT152" s="22"/>
      <c r="ORU152" s="22"/>
      <c r="ORV152" s="22"/>
      <c r="ORW152" s="22"/>
      <c r="ORX152" s="22"/>
      <c r="ORY152" s="22"/>
      <c r="ORZ152" s="22"/>
      <c r="OSA152" s="22"/>
      <c r="OSB152" s="22"/>
      <c r="OSC152" s="22"/>
      <c r="OSD152" s="22"/>
      <c r="OSE152" s="22"/>
      <c r="OSF152" s="22"/>
      <c r="OSG152" s="22"/>
      <c r="OSH152" s="22"/>
      <c r="OSI152" s="22"/>
      <c r="OSJ152" s="22"/>
      <c r="OSK152" s="22"/>
      <c r="OSL152" s="22"/>
      <c r="OSM152" s="22"/>
      <c r="OSN152" s="22"/>
      <c r="OSO152" s="22"/>
      <c r="OSP152" s="22"/>
      <c r="OSQ152" s="22"/>
      <c r="OSR152" s="22"/>
      <c r="OSS152" s="22"/>
      <c r="OST152" s="22"/>
      <c r="OSU152" s="22"/>
      <c r="OSV152" s="22"/>
      <c r="OSW152" s="22"/>
      <c r="OSX152" s="22"/>
      <c r="OSY152" s="22"/>
      <c r="OSZ152" s="22"/>
      <c r="OTA152" s="22"/>
      <c r="OTB152" s="22"/>
      <c r="OTC152" s="22"/>
      <c r="OTD152" s="22"/>
      <c r="OTE152" s="22"/>
      <c r="OTF152" s="22"/>
      <c r="OTG152" s="22"/>
      <c r="OTH152" s="22"/>
      <c r="OTI152" s="22"/>
      <c r="OTJ152" s="22"/>
      <c r="OTK152" s="22"/>
      <c r="OTL152" s="22"/>
      <c r="OTM152" s="22"/>
      <c r="OTN152" s="22"/>
      <c r="OTO152" s="22"/>
      <c r="OTP152" s="22"/>
      <c r="OTQ152" s="22"/>
      <c r="OTR152" s="22"/>
      <c r="OTS152" s="22"/>
      <c r="OTT152" s="22"/>
      <c r="OTU152" s="22"/>
      <c r="OTV152" s="22"/>
      <c r="OTW152" s="22"/>
      <c r="OTX152" s="22"/>
      <c r="OTY152" s="22"/>
      <c r="OTZ152" s="22"/>
      <c r="OUA152" s="22"/>
      <c r="OUB152" s="22"/>
      <c r="OUC152" s="22"/>
      <c r="OUD152" s="22"/>
      <c r="OUE152" s="22"/>
      <c r="OUF152" s="22"/>
      <c r="OUG152" s="22"/>
      <c r="OUH152" s="22"/>
      <c r="OUI152" s="22"/>
      <c r="OUJ152" s="22"/>
      <c r="OUK152" s="22"/>
      <c r="OUL152" s="22"/>
      <c r="OUM152" s="22"/>
      <c r="OUN152" s="22"/>
      <c r="OUO152" s="22"/>
      <c r="OUP152" s="22"/>
      <c r="OUQ152" s="22"/>
      <c r="OUR152" s="22"/>
      <c r="OUS152" s="22"/>
      <c r="OUT152" s="22"/>
      <c r="OUU152" s="22"/>
      <c r="OUV152" s="22"/>
      <c r="OUW152" s="22"/>
      <c r="OUX152" s="22"/>
      <c r="OUY152" s="22"/>
      <c r="OUZ152" s="22"/>
      <c r="OVA152" s="22"/>
      <c r="OVB152" s="22"/>
      <c r="OVC152" s="22"/>
      <c r="OVD152" s="22"/>
      <c r="OVE152" s="22"/>
      <c r="OVF152" s="22"/>
      <c r="OVG152" s="22"/>
      <c r="OVH152" s="22"/>
      <c r="OVI152" s="22"/>
      <c r="OVJ152" s="22"/>
      <c r="OVK152" s="22"/>
      <c r="OVL152" s="22"/>
      <c r="OVM152" s="22"/>
      <c r="OVN152" s="22"/>
      <c r="OVO152" s="22"/>
      <c r="OVP152" s="22"/>
      <c r="OVQ152" s="22"/>
      <c r="OVR152" s="22"/>
      <c r="OVS152" s="22"/>
      <c r="OVT152" s="22"/>
      <c r="OVU152" s="22"/>
      <c r="OVV152" s="22"/>
      <c r="OVW152" s="22"/>
      <c r="OVX152" s="22"/>
      <c r="OVY152" s="22"/>
      <c r="OVZ152" s="22"/>
      <c r="OWA152" s="22"/>
      <c r="OWB152" s="22"/>
      <c r="OWC152" s="22"/>
      <c r="OWD152" s="22"/>
      <c r="OWE152" s="22"/>
      <c r="OWF152" s="22"/>
      <c r="OWG152" s="22"/>
      <c r="OWH152" s="22"/>
      <c r="OWI152" s="22"/>
      <c r="OWJ152" s="22"/>
      <c r="OWK152" s="22"/>
      <c r="OWL152" s="22"/>
      <c r="OWM152" s="22"/>
      <c r="OWN152" s="22"/>
      <c r="OWO152" s="22"/>
      <c r="OWP152" s="22"/>
      <c r="OWQ152" s="22"/>
      <c r="OWR152" s="22"/>
      <c r="OWS152" s="22"/>
      <c r="OWT152" s="22"/>
      <c r="OWU152" s="22"/>
      <c r="OWV152" s="22"/>
      <c r="OWW152" s="22"/>
      <c r="OWX152" s="22"/>
      <c r="OWY152" s="22"/>
      <c r="OWZ152" s="22"/>
      <c r="OXA152" s="22"/>
      <c r="OXB152" s="22"/>
      <c r="OXC152" s="22"/>
      <c r="OXD152" s="22"/>
      <c r="OXE152" s="22"/>
      <c r="OXF152" s="22"/>
      <c r="OXG152" s="22"/>
      <c r="OXH152" s="22"/>
      <c r="OXI152" s="22"/>
      <c r="OXJ152" s="22"/>
      <c r="OXK152" s="22"/>
      <c r="OXL152" s="22"/>
      <c r="OXM152" s="22"/>
      <c r="OXN152" s="22"/>
      <c r="OXO152" s="22"/>
      <c r="OXP152" s="22"/>
      <c r="OXQ152" s="22"/>
      <c r="OXR152" s="22"/>
      <c r="OXS152" s="22"/>
      <c r="OXT152" s="22"/>
      <c r="OXU152" s="22"/>
      <c r="OXV152" s="22"/>
      <c r="OXW152" s="22"/>
      <c r="OXX152" s="22"/>
      <c r="OXY152" s="22"/>
      <c r="OXZ152" s="22"/>
      <c r="OYA152" s="22"/>
      <c r="OYB152" s="22"/>
      <c r="OYC152" s="22"/>
      <c r="OYD152" s="22"/>
      <c r="OYE152" s="22"/>
      <c r="OYF152" s="22"/>
      <c r="OYG152" s="22"/>
      <c r="OYH152" s="22"/>
      <c r="OYI152" s="22"/>
      <c r="OYJ152" s="22"/>
      <c r="OYK152" s="22"/>
      <c r="OYL152" s="22"/>
      <c r="OYM152" s="22"/>
      <c r="OYN152" s="22"/>
      <c r="OYO152" s="22"/>
      <c r="OYP152" s="22"/>
      <c r="OYQ152" s="22"/>
      <c r="OYR152" s="22"/>
      <c r="OYS152" s="22"/>
      <c r="OYT152" s="22"/>
      <c r="OYU152" s="22"/>
      <c r="OYV152" s="22"/>
      <c r="OYW152" s="22"/>
      <c r="OYX152" s="22"/>
      <c r="OYY152" s="22"/>
      <c r="OYZ152" s="22"/>
      <c r="OZA152" s="22"/>
      <c r="OZB152" s="22"/>
      <c r="OZC152" s="22"/>
      <c r="OZD152" s="22"/>
      <c r="OZE152" s="22"/>
      <c r="OZF152" s="22"/>
      <c r="OZG152" s="22"/>
      <c r="OZH152" s="22"/>
      <c r="OZI152" s="22"/>
      <c r="OZJ152" s="22"/>
      <c r="OZK152" s="22"/>
      <c r="OZL152" s="22"/>
      <c r="OZM152" s="22"/>
      <c r="OZN152" s="22"/>
      <c r="OZO152" s="22"/>
      <c r="OZP152" s="22"/>
      <c r="OZQ152" s="22"/>
      <c r="OZR152" s="22"/>
      <c r="OZS152" s="22"/>
      <c r="OZT152" s="22"/>
      <c r="OZU152" s="22"/>
      <c r="OZV152" s="22"/>
      <c r="OZW152" s="22"/>
      <c r="OZX152" s="22"/>
      <c r="OZY152" s="22"/>
      <c r="OZZ152" s="22"/>
      <c r="PAA152" s="22"/>
      <c r="PAB152" s="22"/>
      <c r="PAC152" s="22"/>
      <c r="PAD152" s="22"/>
      <c r="PAE152" s="22"/>
      <c r="PAF152" s="22"/>
      <c r="PAG152" s="22"/>
      <c r="PAH152" s="22"/>
      <c r="PAI152" s="22"/>
      <c r="PAJ152" s="22"/>
      <c r="PAK152" s="22"/>
      <c r="PAL152" s="22"/>
      <c r="PAM152" s="22"/>
      <c r="PAN152" s="22"/>
      <c r="PAO152" s="22"/>
      <c r="PAP152" s="22"/>
      <c r="PAQ152" s="22"/>
      <c r="PAR152" s="22"/>
      <c r="PAS152" s="22"/>
      <c r="PAT152" s="22"/>
      <c r="PAU152" s="22"/>
      <c r="PAV152" s="22"/>
      <c r="PAW152" s="22"/>
      <c r="PAX152" s="22"/>
      <c r="PAY152" s="22"/>
      <c r="PAZ152" s="22"/>
      <c r="PBA152" s="22"/>
      <c r="PBB152" s="22"/>
      <c r="PBC152" s="22"/>
      <c r="PBD152" s="22"/>
      <c r="PBE152" s="22"/>
      <c r="PBF152" s="22"/>
      <c r="PBG152" s="22"/>
      <c r="PBH152" s="22"/>
      <c r="PBI152" s="22"/>
      <c r="PBJ152" s="22"/>
      <c r="PBK152" s="22"/>
      <c r="PBL152" s="22"/>
      <c r="PBM152" s="22"/>
      <c r="PBN152" s="22"/>
      <c r="PBO152" s="22"/>
      <c r="PBP152" s="22"/>
      <c r="PBQ152" s="22"/>
      <c r="PBR152" s="22"/>
      <c r="PBS152" s="22"/>
      <c r="PBT152" s="22"/>
      <c r="PBU152" s="22"/>
      <c r="PBV152" s="22"/>
      <c r="PBW152" s="22"/>
      <c r="PBX152" s="22"/>
      <c r="PBY152" s="22"/>
      <c r="PBZ152" s="22"/>
      <c r="PCA152" s="22"/>
      <c r="PCB152" s="22"/>
      <c r="PCC152" s="22"/>
      <c r="PCD152" s="22"/>
      <c r="PCE152" s="22"/>
      <c r="PCF152" s="22"/>
      <c r="PCG152" s="22"/>
      <c r="PCH152" s="22"/>
      <c r="PCI152" s="22"/>
      <c r="PCJ152" s="22"/>
      <c r="PCK152" s="22"/>
      <c r="PCL152" s="22"/>
      <c r="PCM152" s="22"/>
      <c r="PCN152" s="22"/>
      <c r="PCO152" s="22"/>
      <c r="PCP152" s="22"/>
      <c r="PCQ152" s="22"/>
      <c r="PCR152" s="22"/>
      <c r="PCS152" s="22"/>
      <c r="PCT152" s="22"/>
      <c r="PCU152" s="22"/>
      <c r="PCV152" s="22"/>
      <c r="PCW152" s="22"/>
      <c r="PCX152" s="22"/>
      <c r="PCY152" s="22"/>
      <c r="PCZ152" s="22"/>
      <c r="PDA152" s="22"/>
      <c r="PDB152" s="22"/>
      <c r="PDC152" s="22"/>
      <c r="PDD152" s="22"/>
      <c r="PDE152" s="22"/>
      <c r="PDF152" s="22"/>
      <c r="PDG152" s="22"/>
      <c r="PDH152" s="22"/>
      <c r="PDI152" s="22"/>
      <c r="PDJ152" s="22"/>
      <c r="PDK152" s="22"/>
      <c r="PDL152" s="22"/>
      <c r="PDM152" s="22"/>
      <c r="PDN152" s="22"/>
      <c r="PDO152" s="22"/>
      <c r="PDP152" s="22"/>
      <c r="PDQ152" s="22"/>
      <c r="PDR152" s="22"/>
      <c r="PDS152" s="22"/>
      <c r="PDT152" s="22"/>
      <c r="PDU152" s="22"/>
      <c r="PDV152" s="22"/>
      <c r="PDW152" s="22"/>
      <c r="PDX152" s="22"/>
      <c r="PDY152" s="22"/>
      <c r="PDZ152" s="22"/>
      <c r="PEA152" s="22"/>
      <c r="PEB152" s="22"/>
      <c r="PEC152" s="22"/>
      <c r="PED152" s="22"/>
      <c r="PEE152" s="22"/>
      <c r="PEF152" s="22"/>
      <c r="PEG152" s="22"/>
      <c r="PEH152" s="22"/>
      <c r="PEI152" s="22"/>
      <c r="PEJ152" s="22"/>
      <c r="PEK152" s="22"/>
      <c r="PEL152" s="22"/>
      <c r="PEM152" s="22"/>
      <c r="PEN152" s="22"/>
      <c r="PEO152" s="22"/>
      <c r="PEP152" s="22"/>
      <c r="PEQ152" s="22"/>
      <c r="PER152" s="22"/>
      <c r="PES152" s="22"/>
      <c r="PET152" s="22"/>
      <c r="PEU152" s="22"/>
      <c r="PEV152" s="22"/>
      <c r="PEW152" s="22"/>
      <c r="PEX152" s="22"/>
      <c r="PEY152" s="22"/>
      <c r="PEZ152" s="22"/>
      <c r="PFA152" s="22"/>
      <c r="PFB152" s="22"/>
      <c r="PFC152" s="22"/>
      <c r="PFD152" s="22"/>
      <c r="PFE152" s="22"/>
      <c r="PFF152" s="22"/>
      <c r="PFG152" s="22"/>
      <c r="PFH152" s="22"/>
      <c r="PFI152" s="22"/>
      <c r="PFJ152" s="22"/>
      <c r="PFK152" s="22"/>
      <c r="PFL152" s="22"/>
      <c r="PFM152" s="22"/>
      <c r="PFN152" s="22"/>
      <c r="PFO152" s="22"/>
      <c r="PFP152" s="22"/>
      <c r="PFQ152" s="22"/>
      <c r="PFR152" s="22"/>
      <c r="PFS152" s="22"/>
      <c r="PFT152" s="22"/>
      <c r="PFU152" s="22"/>
      <c r="PFV152" s="22"/>
      <c r="PFW152" s="22"/>
      <c r="PFX152" s="22"/>
      <c r="PFY152" s="22"/>
      <c r="PFZ152" s="22"/>
      <c r="PGA152" s="22"/>
      <c r="PGB152" s="22"/>
      <c r="PGC152" s="22"/>
      <c r="PGD152" s="22"/>
      <c r="PGE152" s="22"/>
      <c r="PGF152" s="22"/>
      <c r="PGG152" s="22"/>
      <c r="PGH152" s="22"/>
      <c r="PGI152" s="22"/>
      <c r="PGJ152" s="22"/>
      <c r="PGK152" s="22"/>
      <c r="PGL152" s="22"/>
      <c r="PGM152" s="22"/>
      <c r="PGN152" s="22"/>
      <c r="PGO152" s="22"/>
      <c r="PGP152" s="22"/>
      <c r="PGQ152" s="22"/>
      <c r="PGR152" s="22"/>
      <c r="PGS152" s="22"/>
      <c r="PGT152" s="22"/>
      <c r="PGU152" s="22"/>
      <c r="PGV152" s="22"/>
      <c r="PGW152" s="22"/>
      <c r="PGX152" s="22"/>
      <c r="PGY152" s="22"/>
      <c r="PGZ152" s="22"/>
      <c r="PHA152" s="22"/>
      <c r="PHB152" s="22"/>
      <c r="PHC152" s="22"/>
      <c r="PHD152" s="22"/>
      <c r="PHE152" s="22"/>
      <c r="PHF152" s="22"/>
      <c r="PHG152" s="22"/>
      <c r="PHH152" s="22"/>
      <c r="PHI152" s="22"/>
      <c r="PHJ152" s="22"/>
      <c r="PHK152" s="22"/>
      <c r="PHL152" s="22"/>
      <c r="PHM152" s="22"/>
      <c r="PHN152" s="22"/>
      <c r="PHO152" s="22"/>
      <c r="PHP152" s="22"/>
      <c r="PHQ152" s="22"/>
      <c r="PHR152" s="22"/>
      <c r="PHS152" s="22"/>
      <c r="PHT152" s="22"/>
      <c r="PHU152" s="22"/>
      <c r="PHV152" s="22"/>
      <c r="PHW152" s="22"/>
      <c r="PHX152" s="22"/>
      <c r="PHY152" s="22"/>
      <c r="PHZ152" s="22"/>
      <c r="PIA152" s="22"/>
      <c r="PIB152" s="22"/>
      <c r="PIC152" s="22"/>
      <c r="PID152" s="22"/>
      <c r="PIE152" s="22"/>
      <c r="PIF152" s="22"/>
      <c r="PIG152" s="22"/>
      <c r="PIH152" s="22"/>
      <c r="PII152" s="22"/>
      <c r="PIJ152" s="22"/>
      <c r="PIK152" s="22"/>
      <c r="PIL152" s="22"/>
      <c r="PIM152" s="22"/>
      <c r="PIN152" s="22"/>
      <c r="PIO152" s="22"/>
      <c r="PIP152" s="22"/>
      <c r="PIQ152" s="22"/>
      <c r="PIR152" s="22"/>
      <c r="PIS152" s="22"/>
      <c r="PIT152" s="22"/>
      <c r="PIU152" s="22"/>
      <c r="PIV152" s="22"/>
      <c r="PIW152" s="22"/>
      <c r="PIX152" s="22"/>
      <c r="PIY152" s="22"/>
      <c r="PIZ152" s="22"/>
      <c r="PJA152" s="22"/>
      <c r="PJB152" s="22"/>
      <c r="PJC152" s="22"/>
      <c r="PJD152" s="22"/>
      <c r="PJE152" s="22"/>
      <c r="PJF152" s="22"/>
      <c r="PJG152" s="22"/>
      <c r="PJH152" s="22"/>
      <c r="PJI152" s="22"/>
      <c r="PJJ152" s="22"/>
      <c r="PJK152" s="22"/>
      <c r="PJL152" s="22"/>
      <c r="PJM152" s="22"/>
      <c r="PJN152" s="22"/>
      <c r="PJO152" s="22"/>
      <c r="PJP152" s="22"/>
      <c r="PJQ152" s="22"/>
      <c r="PJR152" s="22"/>
      <c r="PJS152" s="22"/>
      <c r="PJT152" s="22"/>
      <c r="PJU152" s="22"/>
      <c r="PJV152" s="22"/>
      <c r="PJW152" s="22"/>
      <c r="PJX152" s="22"/>
      <c r="PJY152" s="22"/>
      <c r="PJZ152" s="22"/>
      <c r="PKA152" s="22"/>
      <c r="PKB152" s="22"/>
      <c r="PKC152" s="22"/>
      <c r="PKD152" s="22"/>
      <c r="PKE152" s="22"/>
      <c r="PKF152" s="22"/>
      <c r="PKG152" s="22"/>
      <c r="PKH152" s="22"/>
      <c r="PKI152" s="22"/>
      <c r="PKJ152" s="22"/>
      <c r="PKK152" s="22"/>
      <c r="PKL152" s="22"/>
      <c r="PKM152" s="22"/>
      <c r="PKN152" s="22"/>
      <c r="PKO152" s="22"/>
      <c r="PKP152" s="22"/>
      <c r="PKQ152" s="22"/>
      <c r="PKR152" s="22"/>
      <c r="PKS152" s="22"/>
      <c r="PKT152" s="22"/>
      <c r="PKU152" s="22"/>
      <c r="PKV152" s="22"/>
      <c r="PKW152" s="22"/>
      <c r="PKX152" s="22"/>
      <c r="PKY152" s="22"/>
      <c r="PKZ152" s="22"/>
      <c r="PLA152" s="22"/>
      <c r="PLB152" s="22"/>
      <c r="PLC152" s="22"/>
      <c r="PLD152" s="22"/>
      <c r="PLE152" s="22"/>
      <c r="PLF152" s="22"/>
      <c r="PLG152" s="22"/>
      <c r="PLH152" s="22"/>
      <c r="PLI152" s="22"/>
      <c r="PLJ152" s="22"/>
      <c r="PLK152" s="22"/>
      <c r="PLL152" s="22"/>
      <c r="PLM152" s="22"/>
      <c r="PLN152" s="22"/>
      <c r="PLO152" s="22"/>
      <c r="PLP152" s="22"/>
      <c r="PLQ152" s="22"/>
      <c r="PLR152" s="22"/>
      <c r="PLS152" s="22"/>
      <c r="PLT152" s="22"/>
      <c r="PLU152" s="22"/>
      <c r="PLV152" s="22"/>
      <c r="PLW152" s="22"/>
      <c r="PLX152" s="22"/>
      <c r="PLY152" s="22"/>
      <c r="PLZ152" s="22"/>
      <c r="PMA152" s="22"/>
      <c r="PMB152" s="22"/>
      <c r="PMC152" s="22"/>
      <c r="PMD152" s="22"/>
      <c r="PME152" s="22"/>
      <c r="PMF152" s="22"/>
      <c r="PMG152" s="22"/>
      <c r="PMH152" s="22"/>
      <c r="PMI152" s="22"/>
      <c r="PMJ152" s="22"/>
      <c r="PMK152" s="22"/>
      <c r="PML152" s="22"/>
      <c r="PMM152" s="22"/>
      <c r="PMN152" s="22"/>
      <c r="PMO152" s="22"/>
      <c r="PMP152" s="22"/>
      <c r="PMQ152" s="22"/>
      <c r="PMR152" s="22"/>
      <c r="PMS152" s="22"/>
      <c r="PMT152" s="22"/>
      <c r="PMU152" s="22"/>
      <c r="PMV152" s="22"/>
      <c r="PMW152" s="22"/>
      <c r="PMX152" s="22"/>
      <c r="PMY152" s="22"/>
      <c r="PMZ152" s="22"/>
      <c r="PNA152" s="22"/>
      <c r="PNB152" s="22"/>
      <c r="PNC152" s="22"/>
      <c r="PND152" s="22"/>
      <c r="PNE152" s="22"/>
      <c r="PNF152" s="22"/>
      <c r="PNG152" s="22"/>
      <c r="PNH152" s="22"/>
      <c r="PNI152" s="22"/>
      <c r="PNJ152" s="22"/>
      <c r="PNK152" s="22"/>
      <c r="PNL152" s="22"/>
      <c r="PNM152" s="22"/>
      <c r="PNN152" s="22"/>
      <c r="PNO152" s="22"/>
      <c r="PNP152" s="22"/>
      <c r="PNQ152" s="22"/>
      <c r="PNR152" s="22"/>
      <c r="PNS152" s="22"/>
      <c r="PNT152" s="22"/>
      <c r="PNU152" s="22"/>
      <c r="PNV152" s="22"/>
      <c r="PNW152" s="22"/>
      <c r="PNX152" s="22"/>
      <c r="PNY152" s="22"/>
      <c r="PNZ152" s="22"/>
      <c r="POA152" s="22"/>
      <c r="POB152" s="22"/>
      <c r="POC152" s="22"/>
      <c r="POD152" s="22"/>
      <c r="POE152" s="22"/>
      <c r="POF152" s="22"/>
      <c r="POG152" s="22"/>
      <c r="POH152" s="22"/>
      <c r="POI152" s="22"/>
      <c r="POJ152" s="22"/>
      <c r="POK152" s="22"/>
      <c r="POL152" s="22"/>
      <c r="POM152" s="22"/>
      <c r="PON152" s="22"/>
      <c r="POO152" s="22"/>
      <c r="POP152" s="22"/>
      <c r="POQ152" s="22"/>
      <c r="POR152" s="22"/>
      <c r="POS152" s="22"/>
      <c r="POT152" s="22"/>
      <c r="POU152" s="22"/>
      <c r="POV152" s="22"/>
      <c r="POW152" s="22"/>
      <c r="POX152" s="22"/>
      <c r="POY152" s="22"/>
      <c r="POZ152" s="22"/>
      <c r="PPA152" s="22"/>
      <c r="PPB152" s="22"/>
      <c r="PPC152" s="22"/>
      <c r="PPD152" s="22"/>
      <c r="PPE152" s="22"/>
      <c r="PPF152" s="22"/>
      <c r="PPG152" s="22"/>
      <c r="PPH152" s="22"/>
      <c r="PPI152" s="22"/>
      <c r="PPJ152" s="22"/>
      <c r="PPK152" s="22"/>
      <c r="PPL152" s="22"/>
      <c r="PPM152" s="22"/>
      <c r="PPN152" s="22"/>
      <c r="PPO152" s="22"/>
      <c r="PPP152" s="22"/>
      <c r="PPQ152" s="22"/>
      <c r="PPR152" s="22"/>
      <c r="PPS152" s="22"/>
      <c r="PPT152" s="22"/>
      <c r="PPU152" s="22"/>
      <c r="PPV152" s="22"/>
      <c r="PPW152" s="22"/>
      <c r="PPX152" s="22"/>
      <c r="PPY152" s="22"/>
      <c r="PPZ152" s="22"/>
      <c r="PQA152" s="22"/>
      <c r="PQB152" s="22"/>
      <c r="PQC152" s="22"/>
      <c r="PQD152" s="22"/>
      <c r="PQE152" s="22"/>
      <c r="PQF152" s="22"/>
      <c r="PQG152" s="22"/>
      <c r="PQH152" s="22"/>
      <c r="PQI152" s="22"/>
      <c r="PQJ152" s="22"/>
      <c r="PQK152" s="22"/>
      <c r="PQL152" s="22"/>
      <c r="PQM152" s="22"/>
      <c r="PQN152" s="22"/>
      <c r="PQO152" s="22"/>
      <c r="PQP152" s="22"/>
      <c r="PQQ152" s="22"/>
      <c r="PQR152" s="22"/>
      <c r="PQS152" s="22"/>
      <c r="PQT152" s="22"/>
      <c r="PQU152" s="22"/>
      <c r="PQV152" s="22"/>
      <c r="PQW152" s="22"/>
      <c r="PQX152" s="22"/>
      <c r="PQY152" s="22"/>
      <c r="PQZ152" s="22"/>
      <c r="PRA152" s="22"/>
      <c r="PRB152" s="22"/>
      <c r="PRC152" s="22"/>
      <c r="PRD152" s="22"/>
      <c r="PRE152" s="22"/>
      <c r="PRF152" s="22"/>
      <c r="PRG152" s="22"/>
      <c r="PRH152" s="22"/>
      <c r="PRI152" s="22"/>
      <c r="PRJ152" s="22"/>
      <c r="PRK152" s="22"/>
      <c r="PRL152" s="22"/>
      <c r="PRM152" s="22"/>
      <c r="PRN152" s="22"/>
      <c r="PRO152" s="22"/>
      <c r="PRP152" s="22"/>
      <c r="PRQ152" s="22"/>
      <c r="PRR152" s="22"/>
      <c r="PRS152" s="22"/>
      <c r="PRT152" s="22"/>
      <c r="PRU152" s="22"/>
      <c r="PRV152" s="22"/>
      <c r="PRW152" s="22"/>
      <c r="PRX152" s="22"/>
      <c r="PRY152" s="22"/>
      <c r="PRZ152" s="22"/>
      <c r="PSA152" s="22"/>
      <c r="PSB152" s="22"/>
      <c r="PSC152" s="22"/>
      <c r="PSD152" s="22"/>
      <c r="PSE152" s="22"/>
      <c r="PSF152" s="22"/>
      <c r="PSG152" s="22"/>
      <c r="PSH152" s="22"/>
      <c r="PSI152" s="22"/>
      <c r="PSJ152" s="22"/>
      <c r="PSK152" s="22"/>
      <c r="PSL152" s="22"/>
      <c r="PSM152" s="22"/>
      <c r="PSN152" s="22"/>
      <c r="PSO152" s="22"/>
      <c r="PSP152" s="22"/>
      <c r="PSQ152" s="22"/>
      <c r="PSR152" s="22"/>
      <c r="PSS152" s="22"/>
      <c r="PST152" s="22"/>
      <c r="PSU152" s="22"/>
      <c r="PSV152" s="22"/>
      <c r="PSW152" s="22"/>
      <c r="PSX152" s="22"/>
      <c r="PSY152" s="22"/>
      <c r="PSZ152" s="22"/>
      <c r="PTA152" s="22"/>
      <c r="PTB152" s="22"/>
      <c r="PTC152" s="22"/>
      <c r="PTD152" s="22"/>
      <c r="PTE152" s="22"/>
      <c r="PTF152" s="22"/>
      <c r="PTG152" s="22"/>
      <c r="PTH152" s="22"/>
      <c r="PTI152" s="22"/>
      <c r="PTJ152" s="22"/>
      <c r="PTK152" s="22"/>
      <c r="PTL152" s="22"/>
      <c r="PTM152" s="22"/>
      <c r="PTN152" s="22"/>
      <c r="PTO152" s="22"/>
      <c r="PTP152" s="22"/>
      <c r="PTQ152" s="22"/>
      <c r="PTR152" s="22"/>
      <c r="PTS152" s="22"/>
      <c r="PTT152" s="22"/>
      <c r="PTU152" s="22"/>
      <c r="PTV152" s="22"/>
      <c r="PTW152" s="22"/>
      <c r="PTX152" s="22"/>
      <c r="PTY152" s="22"/>
      <c r="PTZ152" s="22"/>
      <c r="PUA152" s="22"/>
      <c r="PUB152" s="22"/>
      <c r="PUC152" s="22"/>
      <c r="PUD152" s="22"/>
      <c r="PUE152" s="22"/>
      <c r="PUF152" s="22"/>
      <c r="PUG152" s="22"/>
      <c r="PUH152" s="22"/>
      <c r="PUI152" s="22"/>
      <c r="PUJ152" s="22"/>
      <c r="PUK152" s="22"/>
      <c r="PUL152" s="22"/>
      <c r="PUM152" s="22"/>
      <c r="PUN152" s="22"/>
      <c r="PUO152" s="22"/>
      <c r="PUP152" s="22"/>
      <c r="PUQ152" s="22"/>
      <c r="PUR152" s="22"/>
      <c r="PUS152" s="22"/>
      <c r="PUT152" s="22"/>
      <c r="PUU152" s="22"/>
      <c r="PUV152" s="22"/>
      <c r="PUW152" s="22"/>
      <c r="PUX152" s="22"/>
      <c r="PUY152" s="22"/>
      <c r="PUZ152" s="22"/>
      <c r="PVA152" s="22"/>
      <c r="PVB152" s="22"/>
      <c r="PVC152" s="22"/>
      <c r="PVD152" s="22"/>
      <c r="PVE152" s="22"/>
      <c r="PVF152" s="22"/>
      <c r="PVG152" s="22"/>
      <c r="PVH152" s="22"/>
      <c r="PVI152" s="22"/>
      <c r="PVJ152" s="22"/>
      <c r="PVK152" s="22"/>
      <c r="PVL152" s="22"/>
      <c r="PVM152" s="22"/>
      <c r="PVN152" s="22"/>
      <c r="PVO152" s="22"/>
      <c r="PVP152" s="22"/>
      <c r="PVQ152" s="22"/>
      <c r="PVR152" s="22"/>
      <c r="PVS152" s="22"/>
      <c r="PVT152" s="22"/>
      <c r="PVU152" s="22"/>
      <c r="PVV152" s="22"/>
      <c r="PVW152" s="22"/>
      <c r="PVX152" s="22"/>
      <c r="PVY152" s="22"/>
      <c r="PVZ152" s="22"/>
      <c r="PWA152" s="22"/>
      <c r="PWB152" s="22"/>
      <c r="PWC152" s="22"/>
      <c r="PWD152" s="22"/>
      <c r="PWE152" s="22"/>
      <c r="PWF152" s="22"/>
      <c r="PWG152" s="22"/>
      <c r="PWH152" s="22"/>
      <c r="PWI152" s="22"/>
      <c r="PWJ152" s="22"/>
      <c r="PWK152" s="22"/>
      <c r="PWL152" s="22"/>
      <c r="PWM152" s="22"/>
      <c r="PWN152" s="22"/>
      <c r="PWO152" s="22"/>
      <c r="PWP152" s="22"/>
      <c r="PWQ152" s="22"/>
      <c r="PWR152" s="22"/>
      <c r="PWS152" s="22"/>
      <c r="PWT152" s="22"/>
      <c r="PWU152" s="22"/>
      <c r="PWV152" s="22"/>
      <c r="PWW152" s="22"/>
      <c r="PWX152" s="22"/>
      <c r="PWY152" s="22"/>
      <c r="PWZ152" s="22"/>
      <c r="PXA152" s="22"/>
      <c r="PXB152" s="22"/>
      <c r="PXC152" s="22"/>
      <c r="PXD152" s="22"/>
      <c r="PXE152" s="22"/>
      <c r="PXF152" s="22"/>
      <c r="PXG152" s="22"/>
      <c r="PXH152" s="22"/>
      <c r="PXI152" s="22"/>
      <c r="PXJ152" s="22"/>
      <c r="PXK152" s="22"/>
      <c r="PXL152" s="22"/>
      <c r="PXM152" s="22"/>
      <c r="PXN152" s="22"/>
      <c r="PXO152" s="22"/>
      <c r="PXP152" s="22"/>
      <c r="PXQ152" s="22"/>
      <c r="PXR152" s="22"/>
      <c r="PXS152" s="22"/>
      <c r="PXT152" s="22"/>
      <c r="PXU152" s="22"/>
      <c r="PXV152" s="22"/>
      <c r="PXW152" s="22"/>
      <c r="PXX152" s="22"/>
      <c r="PXY152" s="22"/>
      <c r="PXZ152" s="22"/>
      <c r="PYA152" s="22"/>
      <c r="PYB152" s="22"/>
      <c r="PYC152" s="22"/>
      <c r="PYD152" s="22"/>
      <c r="PYE152" s="22"/>
      <c r="PYF152" s="22"/>
      <c r="PYG152" s="22"/>
      <c r="PYH152" s="22"/>
      <c r="PYI152" s="22"/>
      <c r="PYJ152" s="22"/>
      <c r="PYK152" s="22"/>
      <c r="PYL152" s="22"/>
      <c r="PYM152" s="22"/>
      <c r="PYN152" s="22"/>
      <c r="PYO152" s="22"/>
      <c r="PYP152" s="22"/>
      <c r="PYQ152" s="22"/>
      <c r="PYR152" s="22"/>
      <c r="PYS152" s="22"/>
      <c r="PYT152" s="22"/>
      <c r="PYU152" s="22"/>
      <c r="PYV152" s="22"/>
      <c r="PYW152" s="22"/>
      <c r="PYX152" s="22"/>
      <c r="PYY152" s="22"/>
      <c r="PYZ152" s="22"/>
      <c r="PZA152" s="22"/>
      <c r="PZB152" s="22"/>
      <c r="PZC152" s="22"/>
      <c r="PZD152" s="22"/>
      <c r="PZE152" s="22"/>
      <c r="PZF152" s="22"/>
      <c r="PZG152" s="22"/>
      <c r="PZH152" s="22"/>
      <c r="PZI152" s="22"/>
      <c r="PZJ152" s="22"/>
      <c r="PZK152" s="22"/>
      <c r="PZL152" s="22"/>
      <c r="PZM152" s="22"/>
      <c r="PZN152" s="22"/>
      <c r="PZO152" s="22"/>
      <c r="PZP152" s="22"/>
      <c r="PZQ152" s="22"/>
      <c r="PZR152" s="22"/>
      <c r="PZS152" s="22"/>
      <c r="PZT152" s="22"/>
      <c r="PZU152" s="22"/>
      <c r="PZV152" s="22"/>
      <c r="PZW152" s="22"/>
      <c r="PZX152" s="22"/>
      <c r="PZY152" s="22"/>
      <c r="PZZ152" s="22"/>
      <c r="QAA152" s="22"/>
      <c r="QAB152" s="22"/>
      <c r="QAC152" s="22"/>
      <c r="QAD152" s="22"/>
      <c r="QAE152" s="22"/>
      <c r="QAF152" s="22"/>
      <c r="QAG152" s="22"/>
      <c r="QAH152" s="22"/>
      <c r="QAI152" s="22"/>
      <c r="QAJ152" s="22"/>
      <c r="QAK152" s="22"/>
      <c r="QAL152" s="22"/>
      <c r="QAM152" s="22"/>
      <c r="QAN152" s="22"/>
      <c r="QAO152" s="22"/>
      <c r="QAP152" s="22"/>
      <c r="QAQ152" s="22"/>
      <c r="QAR152" s="22"/>
      <c r="QAS152" s="22"/>
      <c r="QAT152" s="22"/>
      <c r="QAU152" s="22"/>
      <c r="QAV152" s="22"/>
      <c r="QAW152" s="22"/>
      <c r="QAX152" s="22"/>
      <c r="QAY152" s="22"/>
      <c r="QAZ152" s="22"/>
      <c r="QBA152" s="22"/>
      <c r="QBB152" s="22"/>
      <c r="QBC152" s="22"/>
      <c r="QBD152" s="22"/>
      <c r="QBE152" s="22"/>
      <c r="QBF152" s="22"/>
      <c r="QBG152" s="22"/>
      <c r="QBH152" s="22"/>
      <c r="QBI152" s="22"/>
      <c r="QBJ152" s="22"/>
      <c r="QBK152" s="22"/>
      <c r="QBL152" s="22"/>
      <c r="QBM152" s="22"/>
      <c r="QBN152" s="22"/>
      <c r="QBO152" s="22"/>
      <c r="QBP152" s="22"/>
      <c r="QBQ152" s="22"/>
      <c r="QBR152" s="22"/>
      <c r="QBS152" s="22"/>
      <c r="QBT152" s="22"/>
      <c r="QBU152" s="22"/>
      <c r="QBV152" s="22"/>
      <c r="QBW152" s="22"/>
      <c r="QBX152" s="22"/>
      <c r="QBY152" s="22"/>
      <c r="QBZ152" s="22"/>
      <c r="QCA152" s="22"/>
      <c r="QCB152" s="22"/>
      <c r="QCC152" s="22"/>
      <c r="QCD152" s="22"/>
      <c r="QCE152" s="22"/>
      <c r="QCF152" s="22"/>
      <c r="QCG152" s="22"/>
      <c r="QCH152" s="22"/>
      <c r="QCI152" s="22"/>
      <c r="QCJ152" s="22"/>
      <c r="QCK152" s="22"/>
      <c r="QCL152" s="22"/>
      <c r="QCM152" s="22"/>
      <c r="QCN152" s="22"/>
      <c r="QCO152" s="22"/>
      <c r="QCP152" s="22"/>
      <c r="QCQ152" s="22"/>
      <c r="QCR152" s="22"/>
      <c r="QCS152" s="22"/>
      <c r="QCT152" s="22"/>
      <c r="QCU152" s="22"/>
      <c r="QCV152" s="22"/>
      <c r="QCW152" s="22"/>
      <c r="QCX152" s="22"/>
      <c r="QCY152" s="22"/>
      <c r="QCZ152" s="22"/>
      <c r="QDA152" s="22"/>
      <c r="QDB152" s="22"/>
      <c r="QDC152" s="22"/>
      <c r="QDD152" s="22"/>
      <c r="QDE152" s="22"/>
      <c r="QDF152" s="22"/>
      <c r="QDG152" s="22"/>
      <c r="QDH152" s="22"/>
      <c r="QDI152" s="22"/>
      <c r="QDJ152" s="22"/>
      <c r="QDK152" s="22"/>
      <c r="QDL152" s="22"/>
      <c r="QDM152" s="22"/>
      <c r="QDN152" s="22"/>
      <c r="QDO152" s="22"/>
      <c r="QDP152" s="22"/>
      <c r="QDQ152" s="22"/>
      <c r="QDR152" s="22"/>
      <c r="QDS152" s="22"/>
      <c r="QDT152" s="22"/>
      <c r="QDU152" s="22"/>
      <c r="QDV152" s="22"/>
      <c r="QDW152" s="22"/>
      <c r="QDX152" s="22"/>
      <c r="QDY152" s="22"/>
      <c r="QDZ152" s="22"/>
      <c r="QEA152" s="22"/>
      <c r="QEB152" s="22"/>
      <c r="QEC152" s="22"/>
      <c r="QED152" s="22"/>
      <c r="QEE152" s="22"/>
      <c r="QEF152" s="22"/>
      <c r="QEG152" s="22"/>
      <c r="QEH152" s="22"/>
      <c r="QEI152" s="22"/>
      <c r="QEJ152" s="22"/>
      <c r="QEK152" s="22"/>
      <c r="QEL152" s="22"/>
      <c r="QEM152" s="22"/>
      <c r="QEN152" s="22"/>
      <c r="QEO152" s="22"/>
      <c r="QEP152" s="22"/>
      <c r="QEQ152" s="22"/>
      <c r="QER152" s="22"/>
      <c r="QES152" s="22"/>
      <c r="QET152" s="22"/>
      <c r="QEU152" s="22"/>
      <c r="QEV152" s="22"/>
      <c r="QEW152" s="22"/>
      <c r="QEX152" s="22"/>
      <c r="QEY152" s="22"/>
      <c r="QEZ152" s="22"/>
      <c r="QFA152" s="22"/>
      <c r="QFB152" s="22"/>
      <c r="QFC152" s="22"/>
      <c r="QFD152" s="22"/>
      <c r="QFE152" s="22"/>
      <c r="QFF152" s="22"/>
      <c r="QFG152" s="22"/>
      <c r="QFH152" s="22"/>
      <c r="QFI152" s="22"/>
      <c r="QFJ152" s="22"/>
      <c r="QFK152" s="22"/>
      <c r="QFL152" s="22"/>
      <c r="QFM152" s="22"/>
      <c r="QFN152" s="22"/>
      <c r="QFO152" s="22"/>
      <c r="QFP152" s="22"/>
      <c r="QFQ152" s="22"/>
      <c r="QFR152" s="22"/>
      <c r="QFS152" s="22"/>
      <c r="QFT152" s="22"/>
      <c r="QFU152" s="22"/>
      <c r="QFV152" s="22"/>
      <c r="QFW152" s="22"/>
      <c r="QFX152" s="22"/>
      <c r="QFY152" s="22"/>
      <c r="QFZ152" s="22"/>
      <c r="QGA152" s="22"/>
      <c r="QGB152" s="22"/>
      <c r="QGC152" s="22"/>
      <c r="QGD152" s="22"/>
      <c r="QGE152" s="22"/>
      <c r="QGF152" s="22"/>
      <c r="QGG152" s="22"/>
      <c r="QGH152" s="22"/>
      <c r="QGI152" s="22"/>
      <c r="QGJ152" s="22"/>
      <c r="QGK152" s="22"/>
      <c r="QGL152" s="22"/>
      <c r="QGM152" s="22"/>
      <c r="QGN152" s="22"/>
      <c r="QGO152" s="22"/>
      <c r="QGP152" s="22"/>
      <c r="QGQ152" s="22"/>
      <c r="QGR152" s="22"/>
      <c r="QGS152" s="22"/>
      <c r="QGT152" s="22"/>
      <c r="QGU152" s="22"/>
      <c r="QGV152" s="22"/>
      <c r="QGW152" s="22"/>
      <c r="QGX152" s="22"/>
      <c r="QGY152" s="22"/>
      <c r="QGZ152" s="22"/>
      <c r="QHA152" s="22"/>
      <c r="QHB152" s="22"/>
      <c r="QHC152" s="22"/>
      <c r="QHD152" s="22"/>
      <c r="QHE152" s="22"/>
      <c r="QHF152" s="22"/>
      <c r="QHG152" s="22"/>
      <c r="QHH152" s="22"/>
      <c r="QHI152" s="22"/>
      <c r="QHJ152" s="22"/>
      <c r="QHK152" s="22"/>
      <c r="QHL152" s="22"/>
      <c r="QHM152" s="22"/>
      <c r="QHN152" s="22"/>
      <c r="QHO152" s="22"/>
      <c r="QHP152" s="22"/>
      <c r="QHQ152" s="22"/>
      <c r="QHR152" s="22"/>
      <c r="QHS152" s="22"/>
      <c r="QHT152" s="22"/>
      <c r="QHU152" s="22"/>
      <c r="QHV152" s="22"/>
      <c r="QHW152" s="22"/>
      <c r="QHX152" s="22"/>
      <c r="QHY152" s="22"/>
      <c r="QHZ152" s="22"/>
      <c r="QIA152" s="22"/>
      <c r="QIB152" s="22"/>
      <c r="QIC152" s="22"/>
      <c r="QID152" s="22"/>
      <c r="QIE152" s="22"/>
      <c r="QIF152" s="22"/>
      <c r="QIG152" s="22"/>
      <c r="QIH152" s="22"/>
      <c r="QII152" s="22"/>
      <c r="QIJ152" s="22"/>
      <c r="QIK152" s="22"/>
      <c r="QIL152" s="22"/>
      <c r="QIM152" s="22"/>
      <c r="QIN152" s="22"/>
      <c r="QIO152" s="22"/>
      <c r="QIP152" s="22"/>
      <c r="QIQ152" s="22"/>
      <c r="QIR152" s="22"/>
      <c r="QIS152" s="22"/>
      <c r="QIT152" s="22"/>
      <c r="QIU152" s="22"/>
      <c r="QIV152" s="22"/>
      <c r="QIW152" s="22"/>
      <c r="QIX152" s="22"/>
      <c r="QIY152" s="22"/>
      <c r="QIZ152" s="22"/>
      <c r="QJA152" s="22"/>
      <c r="QJB152" s="22"/>
      <c r="QJC152" s="22"/>
      <c r="QJD152" s="22"/>
      <c r="QJE152" s="22"/>
      <c r="QJF152" s="22"/>
      <c r="QJG152" s="22"/>
      <c r="QJH152" s="22"/>
      <c r="QJI152" s="22"/>
      <c r="QJJ152" s="22"/>
      <c r="QJK152" s="22"/>
      <c r="QJL152" s="22"/>
      <c r="QJM152" s="22"/>
      <c r="QJN152" s="22"/>
      <c r="QJO152" s="22"/>
      <c r="QJP152" s="22"/>
      <c r="QJQ152" s="22"/>
      <c r="QJR152" s="22"/>
      <c r="QJS152" s="22"/>
      <c r="QJT152" s="22"/>
      <c r="QJU152" s="22"/>
      <c r="QJV152" s="22"/>
      <c r="QJW152" s="22"/>
      <c r="QJX152" s="22"/>
      <c r="QJY152" s="22"/>
      <c r="QJZ152" s="22"/>
      <c r="QKA152" s="22"/>
      <c r="QKB152" s="22"/>
      <c r="QKC152" s="22"/>
      <c r="QKD152" s="22"/>
      <c r="QKE152" s="22"/>
      <c r="QKF152" s="22"/>
      <c r="QKG152" s="22"/>
      <c r="QKH152" s="22"/>
      <c r="QKI152" s="22"/>
      <c r="QKJ152" s="22"/>
      <c r="QKK152" s="22"/>
      <c r="QKL152" s="22"/>
      <c r="QKM152" s="22"/>
      <c r="QKN152" s="22"/>
      <c r="QKO152" s="22"/>
      <c r="QKP152" s="22"/>
      <c r="QKQ152" s="22"/>
      <c r="QKR152" s="22"/>
      <c r="QKS152" s="22"/>
      <c r="QKT152" s="22"/>
      <c r="QKU152" s="22"/>
      <c r="QKV152" s="22"/>
      <c r="QKW152" s="22"/>
      <c r="QKX152" s="22"/>
      <c r="QKY152" s="22"/>
      <c r="QKZ152" s="22"/>
      <c r="QLA152" s="22"/>
      <c r="QLB152" s="22"/>
      <c r="QLC152" s="22"/>
      <c r="QLD152" s="22"/>
      <c r="QLE152" s="22"/>
      <c r="QLF152" s="22"/>
      <c r="QLG152" s="22"/>
      <c r="QLH152" s="22"/>
      <c r="QLI152" s="22"/>
      <c r="QLJ152" s="22"/>
      <c r="QLK152" s="22"/>
      <c r="QLL152" s="22"/>
      <c r="QLM152" s="22"/>
      <c r="QLN152" s="22"/>
      <c r="QLO152" s="22"/>
      <c r="QLP152" s="22"/>
      <c r="QLQ152" s="22"/>
      <c r="QLR152" s="22"/>
      <c r="QLS152" s="22"/>
      <c r="QLT152" s="22"/>
      <c r="QLU152" s="22"/>
      <c r="QLV152" s="22"/>
      <c r="QLW152" s="22"/>
      <c r="QLX152" s="22"/>
      <c r="QLY152" s="22"/>
      <c r="QLZ152" s="22"/>
      <c r="QMA152" s="22"/>
      <c r="QMB152" s="22"/>
      <c r="QMC152" s="22"/>
      <c r="QMD152" s="22"/>
      <c r="QME152" s="22"/>
      <c r="QMF152" s="22"/>
      <c r="QMG152" s="22"/>
      <c r="QMH152" s="22"/>
      <c r="QMI152" s="22"/>
      <c r="QMJ152" s="22"/>
      <c r="QMK152" s="22"/>
      <c r="QML152" s="22"/>
      <c r="QMM152" s="22"/>
      <c r="QMN152" s="22"/>
      <c r="QMO152" s="22"/>
      <c r="QMP152" s="22"/>
      <c r="QMQ152" s="22"/>
      <c r="QMR152" s="22"/>
      <c r="QMS152" s="22"/>
      <c r="QMT152" s="22"/>
      <c r="QMU152" s="22"/>
      <c r="QMV152" s="22"/>
      <c r="QMW152" s="22"/>
      <c r="QMX152" s="22"/>
      <c r="QMY152" s="22"/>
      <c r="QMZ152" s="22"/>
      <c r="QNA152" s="22"/>
      <c r="QNB152" s="22"/>
      <c r="QNC152" s="22"/>
      <c r="QND152" s="22"/>
      <c r="QNE152" s="22"/>
      <c r="QNF152" s="22"/>
      <c r="QNG152" s="22"/>
      <c r="QNH152" s="22"/>
      <c r="QNI152" s="22"/>
      <c r="QNJ152" s="22"/>
      <c r="QNK152" s="22"/>
      <c r="QNL152" s="22"/>
      <c r="QNM152" s="22"/>
      <c r="QNN152" s="22"/>
      <c r="QNO152" s="22"/>
      <c r="QNP152" s="22"/>
      <c r="QNQ152" s="22"/>
      <c r="QNR152" s="22"/>
      <c r="QNS152" s="22"/>
      <c r="QNT152" s="22"/>
      <c r="QNU152" s="22"/>
      <c r="QNV152" s="22"/>
      <c r="QNW152" s="22"/>
      <c r="QNX152" s="22"/>
      <c r="QNY152" s="22"/>
      <c r="QNZ152" s="22"/>
      <c r="QOA152" s="22"/>
      <c r="QOB152" s="22"/>
      <c r="QOC152" s="22"/>
      <c r="QOD152" s="22"/>
      <c r="QOE152" s="22"/>
      <c r="QOF152" s="22"/>
      <c r="QOG152" s="22"/>
      <c r="QOH152" s="22"/>
      <c r="QOI152" s="22"/>
      <c r="QOJ152" s="22"/>
      <c r="QOK152" s="22"/>
      <c r="QOL152" s="22"/>
      <c r="QOM152" s="22"/>
      <c r="QON152" s="22"/>
      <c r="QOO152" s="22"/>
      <c r="QOP152" s="22"/>
      <c r="QOQ152" s="22"/>
      <c r="QOR152" s="22"/>
      <c r="QOS152" s="22"/>
      <c r="QOT152" s="22"/>
      <c r="QOU152" s="22"/>
      <c r="QOV152" s="22"/>
      <c r="QOW152" s="22"/>
      <c r="QOX152" s="22"/>
      <c r="QOY152" s="22"/>
      <c r="QOZ152" s="22"/>
      <c r="QPA152" s="22"/>
      <c r="QPB152" s="22"/>
      <c r="QPC152" s="22"/>
      <c r="QPD152" s="22"/>
      <c r="QPE152" s="22"/>
      <c r="QPF152" s="22"/>
      <c r="QPG152" s="22"/>
      <c r="QPH152" s="22"/>
      <c r="QPI152" s="22"/>
      <c r="QPJ152" s="22"/>
      <c r="QPK152" s="22"/>
      <c r="QPL152" s="22"/>
      <c r="QPM152" s="22"/>
      <c r="QPN152" s="22"/>
      <c r="QPO152" s="22"/>
      <c r="QPP152" s="22"/>
      <c r="QPQ152" s="22"/>
      <c r="QPR152" s="22"/>
      <c r="QPS152" s="22"/>
      <c r="QPT152" s="22"/>
      <c r="QPU152" s="22"/>
      <c r="QPV152" s="22"/>
      <c r="QPW152" s="22"/>
      <c r="QPX152" s="22"/>
      <c r="QPY152" s="22"/>
      <c r="QPZ152" s="22"/>
      <c r="QQA152" s="22"/>
      <c r="QQB152" s="22"/>
      <c r="QQC152" s="22"/>
      <c r="QQD152" s="22"/>
      <c r="QQE152" s="22"/>
      <c r="QQF152" s="22"/>
      <c r="QQG152" s="22"/>
      <c r="QQH152" s="22"/>
      <c r="QQI152" s="22"/>
      <c r="QQJ152" s="22"/>
      <c r="QQK152" s="22"/>
      <c r="QQL152" s="22"/>
      <c r="QQM152" s="22"/>
      <c r="QQN152" s="22"/>
      <c r="QQO152" s="22"/>
      <c r="QQP152" s="22"/>
      <c r="QQQ152" s="22"/>
      <c r="QQR152" s="22"/>
      <c r="QQS152" s="22"/>
      <c r="QQT152" s="22"/>
      <c r="QQU152" s="22"/>
      <c r="QQV152" s="22"/>
      <c r="QQW152" s="22"/>
      <c r="QQX152" s="22"/>
      <c r="QQY152" s="22"/>
      <c r="QQZ152" s="22"/>
      <c r="QRA152" s="22"/>
      <c r="QRB152" s="22"/>
      <c r="QRC152" s="22"/>
      <c r="QRD152" s="22"/>
      <c r="QRE152" s="22"/>
      <c r="QRF152" s="22"/>
      <c r="QRG152" s="22"/>
      <c r="QRH152" s="22"/>
      <c r="QRI152" s="22"/>
      <c r="QRJ152" s="22"/>
      <c r="QRK152" s="22"/>
      <c r="QRL152" s="22"/>
      <c r="QRM152" s="22"/>
      <c r="QRN152" s="22"/>
      <c r="QRO152" s="22"/>
      <c r="QRP152" s="22"/>
      <c r="QRQ152" s="22"/>
      <c r="QRR152" s="22"/>
      <c r="QRS152" s="22"/>
      <c r="QRT152" s="22"/>
      <c r="QRU152" s="22"/>
      <c r="QRV152" s="22"/>
      <c r="QRW152" s="22"/>
      <c r="QRX152" s="22"/>
      <c r="QRY152" s="22"/>
      <c r="QRZ152" s="22"/>
      <c r="QSA152" s="22"/>
      <c r="QSB152" s="22"/>
      <c r="QSC152" s="22"/>
      <c r="QSD152" s="22"/>
      <c r="QSE152" s="22"/>
      <c r="QSF152" s="22"/>
      <c r="QSG152" s="22"/>
      <c r="QSH152" s="22"/>
      <c r="QSI152" s="22"/>
      <c r="QSJ152" s="22"/>
      <c r="QSK152" s="22"/>
      <c r="QSL152" s="22"/>
      <c r="QSM152" s="22"/>
      <c r="QSN152" s="22"/>
      <c r="QSO152" s="22"/>
      <c r="QSP152" s="22"/>
      <c r="QSQ152" s="22"/>
      <c r="QSR152" s="22"/>
      <c r="QSS152" s="22"/>
      <c r="QST152" s="22"/>
      <c r="QSU152" s="22"/>
      <c r="QSV152" s="22"/>
      <c r="QSW152" s="22"/>
      <c r="QSX152" s="22"/>
      <c r="QSY152" s="22"/>
      <c r="QSZ152" s="22"/>
      <c r="QTA152" s="22"/>
      <c r="QTB152" s="22"/>
      <c r="QTC152" s="22"/>
      <c r="QTD152" s="22"/>
      <c r="QTE152" s="22"/>
      <c r="QTF152" s="22"/>
      <c r="QTG152" s="22"/>
      <c r="QTH152" s="22"/>
      <c r="QTI152" s="22"/>
      <c r="QTJ152" s="22"/>
      <c r="QTK152" s="22"/>
      <c r="QTL152" s="22"/>
      <c r="QTM152" s="22"/>
      <c r="QTN152" s="22"/>
      <c r="QTO152" s="22"/>
      <c r="QTP152" s="22"/>
      <c r="QTQ152" s="22"/>
      <c r="QTR152" s="22"/>
      <c r="QTS152" s="22"/>
      <c r="QTT152" s="22"/>
      <c r="QTU152" s="22"/>
      <c r="QTV152" s="22"/>
      <c r="QTW152" s="22"/>
      <c r="QTX152" s="22"/>
      <c r="QTY152" s="22"/>
      <c r="QTZ152" s="22"/>
      <c r="QUA152" s="22"/>
      <c r="QUB152" s="22"/>
      <c r="QUC152" s="22"/>
      <c r="QUD152" s="22"/>
      <c r="QUE152" s="22"/>
      <c r="QUF152" s="22"/>
      <c r="QUG152" s="22"/>
      <c r="QUH152" s="22"/>
      <c r="QUI152" s="22"/>
      <c r="QUJ152" s="22"/>
      <c r="QUK152" s="22"/>
      <c r="QUL152" s="22"/>
      <c r="QUM152" s="22"/>
      <c r="QUN152" s="22"/>
      <c r="QUO152" s="22"/>
      <c r="QUP152" s="22"/>
      <c r="QUQ152" s="22"/>
      <c r="QUR152" s="22"/>
      <c r="QUS152" s="22"/>
      <c r="QUT152" s="22"/>
      <c r="QUU152" s="22"/>
      <c r="QUV152" s="22"/>
      <c r="QUW152" s="22"/>
      <c r="QUX152" s="22"/>
      <c r="QUY152" s="22"/>
      <c r="QUZ152" s="22"/>
      <c r="QVA152" s="22"/>
      <c r="QVB152" s="22"/>
      <c r="QVC152" s="22"/>
      <c r="QVD152" s="22"/>
      <c r="QVE152" s="22"/>
      <c r="QVF152" s="22"/>
      <c r="QVG152" s="22"/>
      <c r="QVH152" s="22"/>
      <c r="QVI152" s="22"/>
      <c r="QVJ152" s="22"/>
      <c r="QVK152" s="22"/>
      <c r="QVL152" s="22"/>
      <c r="QVM152" s="22"/>
      <c r="QVN152" s="22"/>
      <c r="QVO152" s="22"/>
      <c r="QVP152" s="22"/>
      <c r="QVQ152" s="22"/>
      <c r="QVR152" s="22"/>
      <c r="QVS152" s="22"/>
      <c r="QVT152" s="22"/>
      <c r="QVU152" s="22"/>
      <c r="QVV152" s="22"/>
      <c r="QVW152" s="22"/>
      <c r="QVX152" s="22"/>
      <c r="QVY152" s="22"/>
      <c r="QVZ152" s="22"/>
      <c r="QWA152" s="22"/>
      <c r="QWB152" s="22"/>
      <c r="QWC152" s="22"/>
      <c r="QWD152" s="22"/>
      <c r="QWE152" s="22"/>
      <c r="QWF152" s="22"/>
      <c r="QWG152" s="22"/>
      <c r="QWH152" s="22"/>
      <c r="QWI152" s="22"/>
      <c r="QWJ152" s="22"/>
      <c r="QWK152" s="22"/>
      <c r="QWL152" s="22"/>
      <c r="QWM152" s="22"/>
      <c r="QWN152" s="22"/>
      <c r="QWO152" s="22"/>
      <c r="QWP152" s="22"/>
      <c r="QWQ152" s="22"/>
      <c r="QWR152" s="22"/>
      <c r="QWS152" s="22"/>
      <c r="QWT152" s="22"/>
      <c r="QWU152" s="22"/>
      <c r="QWV152" s="22"/>
      <c r="QWW152" s="22"/>
      <c r="QWX152" s="22"/>
      <c r="QWY152" s="22"/>
      <c r="QWZ152" s="22"/>
      <c r="QXA152" s="22"/>
      <c r="QXB152" s="22"/>
      <c r="QXC152" s="22"/>
      <c r="QXD152" s="22"/>
      <c r="QXE152" s="22"/>
      <c r="QXF152" s="22"/>
      <c r="QXG152" s="22"/>
      <c r="QXH152" s="22"/>
      <c r="QXI152" s="22"/>
      <c r="QXJ152" s="22"/>
      <c r="QXK152" s="22"/>
      <c r="QXL152" s="22"/>
      <c r="QXM152" s="22"/>
      <c r="QXN152" s="22"/>
      <c r="QXO152" s="22"/>
      <c r="QXP152" s="22"/>
      <c r="QXQ152" s="22"/>
      <c r="QXR152" s="22"/>
      <c r="QXS152" s="22"/>
      <c r="QXT152" s="22"/>
      <c r="QXU152" s="22"/>
      <c r="QXV152" s="22"/>
      <c r="QXW152" s="22"/>
      <c r="QXX152" s="22"/>
      <c r="QXY152" s="22"/>
      <c r="QXZ152" s="22"/>
      <c r="QYA152" s="22"/>
      <c r="QYB152" s="22"/>
      <c r="QYC152" s="22"/>
      <c r="QYD152" s="22"/>
      <c r="QYE152" s="22"/>
      <c r="QYF152" s="22"/>
      <c r="QYG152" s="22"/>
      <c r="QYH152" s="22"/>
      <c r="QYI152" s="22"/>
      <c r="QYJ152" s="22"/>
      <c r="QYK152" s="22"/>
      <c r="QYL152" s="22"/>
      <c r="QYM152" s="22"/>
      <c r="QYN152" s="22"/>
      <c r="QYO152" s="22"/>
      <c r="QYP152" s="22"/>
      <c r="QYQ152" s="22"/>
      <c r="QYR152" s="22"/>
      <c r="QYS152" s="22"/>
      <c r="QYT152" s="22"/>
      <c r="QYU152" s="22"/>
      <c r="QYV152" s="22"/>
      <c r="QYW152" s="22"/>
      <c r="QYX152" s="22"/>
      <c r="QYY152" s="22"/>
      <c r="QYZ152" s="22"/>
      <c r="QZA152" s="22"/>
      <c r="QZB152" s="22"/>
      <c r="QZC152" s="22"/>
      <c r="QZD152" s="22"/>
      <c r="QZE152" s="22"/>
      <c r="QZF152" s="22"/>
      <c r="QZG152" s="22"/>
      <c r="QZH152" s="22"/>
      <c r="QZI152" s="22"/>
      <c r="QZJ152" s="22"/>
      <c r="QZK152" s="22"/>
      <c r="QZL152" s="22"/>
      <c r="QZM152" s="22"/>
      <c r="QZN152" s="22"/>
      <c r="QZO152" s="22"/>
      <c r="QZP152" s="22"/>
      <c r="QZQ152" s="22"/>
      <c r="QZR152" s="22"/>
      <c r="QZS152" s="22"/>
      <c r="QZT152" s="22"/>
      <c r="QZU152" s="22"/>
      <c r="QZV152" s="22"/>
      <c r="QZW152" s="22"/>
      <c r="QZX152" s="22"/>
      <c r="QZY152" s="22"/>
      <c r="QZZ152" s="22"/>
      <c r="RAA152" s="22"/>
      <c r="RAB152" s="22"/>
      <c r="RAC152" s="22"/>
      <c r="RAD152" s="22"/>
      <c r="RAE152" s="22"/>
      <c r="RAF152" s="22"/>
      <c r="RAG152" s="22"/>
      <c r="RAH152" s="22"/>
      <c r="RAI152" s="22"/>
      <c r="RAJ152" s="22"/>
      <c r="RAK152" s="22"/>
      <c r="RAL152" s="22"/>
      <c r="RAM152" s="22"/>
      <c r="RAN152" s="22"/>
      <c r="RAO152" s="22"/>
      <c r="RAP152" s="22"/>
      <c r="RAQ152" s="22"/>
      <c r="RAR152" s="22"/>
      <c r="RAS152" s="22"/>
      <c r="RAT152" s="22"/>
      <c r="RAU152" s="22"/>
      <c r="RAV152" s="22"/>
      <c r="RAW152" s="22"/>
      <c r="RAX152" s="22"/>
      <c r="RAY152" s="22"/>
      <c r="RAZ152" s="22"/>
      <c r="RBA152" s="22"/>
      <c r="RBB152" s="22"/>
      <c r="RBC152" s="22"/>
      <c r="RBD152" s="22"/>
      <c r="RBE152" s="22"/>
      <c r="RBF152" s="22"/>
      <c r="RBG152" s="22"/>
      <c r="RBH152" s="22"/>
      <c r="RBI152" s="22"/>
      <c r="RBJ152" s="22"/>
      <c r="RBK152" s="22"/>
      <c r="RBL152" s="22"/>
      <c r="RBM152" s="22"/>
      <c r="RBN152" s="22"/>
      <c r="RBO152" s="22"/>
      <c r="RBP152" s="22"/>
      <c r="RBQ152" s="22"/>
      <c r="RBR152" s="22"/>
      <c r="RBS152" s="22"/>
      <c r="RBT152" s="22"/>
      <c r="RBU152" s="22"/>
      <c r="RBV152" s="22"/>
      <c r="RBW152" s="22"/>
      <c r="RBX152" s="22"/>
      <c r="RBY152" s="22"/>
      <c r="RBZ152" s="22"/>
      <c r="RCA152" s="22"/>
      <c r="RCB152" s="22"/>
      <c r="RCC152" s="22"/>
      <c r="RCD152" s="22"/>
      <c r="RCE152" s="22"/>
      <c r="RCF152" s="22"/>
      <c r="RCG152" s="22"/>
      <c r="RCH152" s="22"/>
      <c r="RCI152" s="22"/>
      <c r="RCJ152" s="22"/>
      <c r="RCK152" s="22"/>
      <c r="RCL152" s="22"/>
      <c r="RCM152" s="22"/>
      <c r="RCN152" s="22"/>
      <c r="RCO152" s="22"/>
      <c r="RCP152" s="22"/>
      <c r="RCQ152" s="22"/>
      <c r="RCR152" s="22"/>
      <c r="RCS152" s="22"/>
      <c r="RCT152" s="22"/>
      <c r="RCU152" s="22"/>
      <c r="RCV152" s="22"/>
      <c r="RCW152" s="22"/>
      <c r="RCX152" s="22"/>
      <c r="RCY152" s="22"/>
      <c r="RCZ152" s="22"/>
      <c r="RDA152" s="22"/>
      <c r="RDB152" s="22"/>
      <c r="RDC152" s="22"/>
      <c r="RDD152" s="22"/>
      <c r="RDE152" s="22"/>
      <c r="RDF152" s="22"/>
      <c r="RDG152" s="22"/>
      <c r="RDH152" s="22"/>
      <c r="RDI152" s="22"/>
      <c r="RDJ152" s="22"/>
      <c r="RDK152" s="22"/>
      <c r="RDL152" s="22"/>
      <c r="RDM152" s="22"/>
      <c r="RDN152" s="22"/>
      <c r="RDO152" s="22"/>
      <c r="RDP152" s="22"/>
      <c r="RDQ152" s="22"/>
      <c r="RDR152" s="22"/>
      <c r="RDS152" s="22"/>
      <c r="RDT152" s="22"/>
      <c r="RDU152" s="22"/>
      <c r="RDV152" s="22"/>
      <c r="RDW152" s="22"/>
      <c r="RDX152" s="22"/>
      <c r="RDY152" s="22"/>
      <c r="RDZ152" s="22"/>
      <c r="REA152" s="22"/>
      <c r="REB152" s="22"/>
      <c r="REC152" s="22"/>
      <c r="RED152" s="22"/>
      <c r="REE152" s="22"/>
      <c r="REF152" s="22"/>
      <c r="REG152" s="22"/>
      <c r="REH152" s="22"/>
      <c r="REI152" s="22"/>
      <c r="REJ152" s="22"/>
      <c r="REK152" s="22"/>
      <c r="REL152" s="22"/>
      <c r="REM152" s="22"/>
      <c r="REN152" s="22"/>
      <c r="REO152" s="22"/>
      <c r="REP152" s="22"/>
      <c r="REQ152" s="22"/>
      <c r="RER152" s="22"/>
      <c r="RES152" s="22"/>
      <c r="RET152" s="22"/>
      <c r="REU152" s="22"/>
      <c r="REV152" s="22"/>
      <c r="REW152" s="22"/>
      <c r="REX152" s="22"/>
      <c r="REY152" s="22"/>
      <c r="REZ152" s="22"/>
      <c r="RFA152" s="22"/>
      <c r="RFB152" s="22"/>
      <c r="RFC152" s="22"/>
      <c r="RFD152" s="22"/>
      <c r="RFE152" s="22"/>
      <c r="RFF152" s="22"/>
      <c r="RFG152" s="22"/>
      <c r="RFH152" s="22"/>
      <c r="RFI152" s="22"/>
      <c r="RFJ152" s="22"/>
      <c r="RFK152" s="22"/>
      <c r="RFL152" s="22"/>
      <c r="RFM152" s="22"/>
      <c r="RFN152" s="22"/>
      <c r="RFO152" s="22"/>
      <c r="RFP152" s="22"/>
      <c r="RFQ152" s="22"/>
      <c r="RFR152" s="22"/>
      <c r="RFS152" s="22"/>
      <c r="RFT152" s="22"/>
      <c r="RFU152" s="22"/>
      <c r="RFV152" s="22"/>
      <c r="RFW152" s="22"/>
      <c r="RFX152" s="22"/>
      <c r="RFY152" s="22"/>
      <c r="RFZ152" s="22"/>
      <c r="RGA152" s="22"/>
      <c r="RGB152" s="22"/>
      <c r="RGC152" s="22"/>
      <c r="RGD152" s="22"/>
      <c r="RGE152" s="22"/>
      <c r="RGF152" s="22"/>
      <c r="RGG152" s="22"/>
      <c r="RGH152" s="22"/>
      <c r="RGI152" s="22"/>
      <c r="RGJ152" s="22"/>
      <c r="RGK152" s="22"/>
      <c r="RGL152" s="22"/>
      <c r="RGM152" s="22"/>
      <c r="RGN152" s="22"/>
      <c r="RGO152" s="22"/>
      <c r="RGP152" s="22"/>
      <c r="RGQ152" s="22"/>
      <c r="RGR152" s="22"/>
      <c r="RGS152" s="22"/>
      <c r="RGT152" s="22"/>
      <c r="RGU152" s="22"/>
      <c r="RGV152" s="22"/>
      <c r="RGW152" s="22"/>
      <c r="RGX152" s="22"/>
      <c r="RGY152" s="22"/>
      <c r="RGZ152" s="22"/>
      <c r="RHA152" s="22"/>
      <c r="RHB152" s="22"/>
      <c r="RHC152" s="22"/>
      <c r="RHD152" s="22"/>
      <c r="RHE152" s="22"/>
      <c r="RHF152" s="22"/>
      <c r="RHG152" s="22"/>
      <c r="RHH152" s="22"/>
      <c r="RHI152" s="22"/>
      <c r="RHJ152" s="22"/>
      <c r="RHK152" s="22"/>
      <c r="RHL152" s="22"/>
      <c r="RHM152" s="22"/>
      <c r="RHN152" s="22"/>
      <c r="RHO152" s="22"/>
      <c r="RHP152" s="22"/>
      <c r="RHQ152" s="22"/>
      <c r="RHR152" s="22"/>
      <c r="RHS152" s="22"/>
      <c r="RHT152" s="22"/>
      <c r="RHU152" s="22"/>
      <c r="RHV152" s="22"/>
      <c r="RHW152" s="22"/>
      <c r="RHX152" s="22"/>
      <c r="RHY152" s="22"/>
      <c r="RHZ152" s="22"/>
      <c r="RIA152" s="22"/>
      <c r="RIB152" s="22"/>
      <c r="RIC152" s="22"/>
      <c r="RID152" s="22"/>
      <c r="RIE152" s="22"/>
      <c r="RIF152" s="22"/>
      <c r="RIG152" s="22"/>
      <c r="RIH152" s="22"/>
      <c r="RII152" s="22"/>
      <c r="RIJ152" s="22"/>
      <c r="RIK152" s="22"/>
      <c r="RIL152" s="22"/>
      <c r="RIM152" s="22"/>
      <c r="RIN152" s="22"/>
      <c r="RIO152" s="22"/>
      <c r="RIP152" s="22"/>
      <c r="RIQ152" s="22"/>
      <c r="RIR152" s="22"/>
      <c r="RIS152" s="22"/>
      <c r="RIT152" s="22"/>
      <c r="RIU152" s="22"/>
      <c r="RIV152" s="22"/>
      <c r="RIW152" s="22"/>
      <c r="RIX152" s="22"/>
      <c r="RIY152" s="22"/>
      <c r="RIZ152" s="22"/>
      <c r="RJA152" s="22"/>
      <c r="RJB152" s="22"/>
      <c r="RJC152" s="22"/>
      <c r="RJD152" s="22"/>
      <c r="RJE152" s="22"/>
      <c r="RJF152" s="22"/>
      <c r="RJG152" s="22"/>
      <c r="RJH152" s="22"/>
      <c r="RJI152" s="22"/>
      <c r="RJJ152" s="22"/>
      <c r="RJK152" s="22"/>
      <c r="RJL152" s="22"/>
      <c r="RJM152" s="22"/>
      <c r="RJN152" s="22"/>
      <c r="RJO152" s="22"/>
      <c r="RJP152" s="22"/>
      <c r="RJQ152" s="22"/>
      <c r="RJR152" s="22"/>
      <c r="RJS152" s="22"/>
      <c r="RJT152" s="22"/>
      <c r="RJU152" s="22"/>
      <c r="RJV152" s="22"/>
      <c r="RJW152" s="22"/>
      <c r="RJX152" s="22"/>
      <c r="RJY152" s="22"/>
      <c r="RJZ152" s="22"/>
      <c r="RKA152" s="22"/>
      <c r="RKB152" s="22"/>
      <c r="RKC152" s="22"/>
      <c r="RKD152" s="22"/>
      <c r="RKE152" s="22"/>
      <c r="RKF152" s="22"/>
      <c r="RKG152" s="22"/>
      <c r="RKH152" s="22"/>
      <c r="RKI152" s="22"/>
      <c r="RKJ152" s="22"/>
      <c r="RKK152" s="22"/>
      <c r="RKL152" s="22"/>
      <c r="RKM152" s="22"/>
      <c r="RKN152" s="22"/>
      <c r="RKO152" s="22"/>
      <c r="RKP152" s="22"/>
      <c r="RKQ152" s="22"/>
      <c r="RKR152" s="22"/>
      <c r="RKS152" s="22"/>
      <c r="RKT152" s="22"/>
      <c r="RKU152" s="22"/>
      <c r="RKV152" s="22"/>
      <c r="RKW152" s="22"/>
      <c r="RKX152" s="22"/>
      <c r="RKY152" s="22"/>
      <c r="RKZ152" s="22"/>
      <c r="RLA152" s="22"/>
      <c r="RLB152" s="22"/>
      <c r="RLC152" s="22"/>
      <c r="RLD152" s="22"/>
      <c r="RLE152" s="22"/>
      <c r="RLF152" s="22"/>
      <c r="RLG152" s="22"/>
      <c r="RLH152" s="22"/>
      <c r="RLI152" s="22"/>
      <c r="RLJ152" s="22"/>
      <c r="RLK152" s="22"/>
      <c r="RLL152" s="22"/>
      <c r="RLM152" s="22"/>
      <c r="RLN152" s="22"/>
      <c r="RLO152" s="22"/>
      <c r="RLP152" s="22"/>
      <c r="RLQ152" s="22"/>
      <c r="RLR152" s="22"/>
      <c r="RLS152" s="22"/>
      <c r="RLT152" s="22"/>
      <c r="RLU152" s="22"/>
      <c r="RLV152" s="22"/>
      <c r="RLW152" s="22"/>
      <c r="RLX152" s="22"/>
      <c r="RLY152" s="22"/>
      <c r="RLZ152" s="22"/>
      <c r="RMA152" s="22"/>
      <c r="RMB152" s="22"/>
      <c r="RMC152" s="22"/>
      <c r="RMD152" s="22"/>
      <c r="RME152" s="22"/>
      <c r="RMF152" s="22"/>
      <c r="RMG152" s="22"/>
      <c r="RMH152" s="22"/>
      <c r="RMI152" s="22"/>
      <c r="RMJ152" s="22"/>
      <c r="RMK152" s="22"/>
      <c r="RML152" s="22"/>
      <c r="RMM152" s="22"/>
      <c r="RMN152" s="22"/>
      <c r="RMO152" s="22"/>
      <c r="RMP152" s="22"/>
      <c r="RMQ152" s="22"/>
      <c r="RMR152" s="22"/>
      <c r="RMS152" s="22"/>
      <c r="RMT152" s="22"/>
      <c r="RMU152" s="22"/>
      <c r="RMV152" s="22"/>
      <c r="RMW152" s="22"/>
      <c r="RMX152" s="22"/>
      <c r="RMY152" s="22"/>
      <c r="RMZ152" s="22"/>
      <c r="RNA152" s="22"/>
      <c r="RNB152" s="22"/>
      <c r="RNC152" s="22"/>
      <c r="RND152" s="22"/>
      <c r="RNE152" s="22"/>
      <c r="RNF152" s="22"/>
      <c r="RNG152" s="22"/>
      <c r="RNH152" s="22"/>
      <c r="RNI152" s="22"/>
      <c r="RNJ152" s="22"/>
      <c r="RNK152" s="22"/>
      <c r="RNL152" s="22"/>
      <c r="RNM152" s="22"/>
      <c r="RNN152" s="22"/>
      <c r="RNO152" s="22"/>
      <c r="RNP152" s="22"/>
      <c r="RNQ152" s="22"/>
      <c r="RNR152" s="22"/>
      <c r="RNS152" s="22"/>
      <c r="RNT152" s="22"/>
      <c r="RNU152" s="22"/>
      <c r="RNV152" s="22"/>
      <c r="RNW152" s="22"/>
      <c r="RNX152" s="22"/>
      <c r="RNY152" s="22"/>
      <c r="RNZ152" s="22"/>
      <c r="ROA152" s="22"/>
      <c r="ROB152" s="22"/>
      <c r="ROC152" s="22"/>
      <c r="ROD152" s="22"/>
      <c r="ROE152" s="22"/>
      <c r="ROF152" s="22"/>
      <c r="ROG152" s="22"/>
      <c r="ROH152" s="22"/>
      <c r="ROI152" s="22"/>
      <c r="ROJ152" s="22"/>
      <c r="ROK152" s="22"/>
      <c r="ROL152" s="22"/>
      <c r="ROM152" s="22"/>
      <c r="RON152" s="22"/>
      <c r="ROO152" s="22"/>
      <c r="ROP152" s="22"/>
      <c r="ROQ152" s="22"/>
      <c r="ROR152" s="22"/>
      <c r="ROS152" s="22"/>
      <c r="ROT152" s="22"/>
      <c r="ROU152" s="22"/>
      <c r="ROV152" s="22"/>
      <c r="ROW152" s="22"/>
      <c r="ROX152" s="22"/>
      <c r="ROY152" s="22"/>
      <c r="ROZ152" s="22"/>
      <c r="RPA152" s="22"/>
      <c r="RPB152" s="22"/>
      <c r="RPC152" s="22"/>
      <c r="RPD152" s="22"/>
      <c r="RPE152" s="22"/>
      <c r="RPF152" s="22"/>
      <c r="RPG152" s="22"/>
      <c r="RPH152" s="22"/>
      <c r="RPI152" s="22"/>
      <c r="RPJ152" s="22"/>
      <c r="RPK152" s="22"/>
      <c r="RPL152" s="22"/>
      <c r="RPM152" s="22"/>
      <c r="RPN152" s="22"/>
      <c r="RPO152" s="22"/>
      <c r="RPP152" s="22"/>
      <c r="RPQ152" s="22"/>
      <c r="RPR152" s="22"/>
      <c r="RPS152" s="22"/>
      <c r="RPT152" s="22"/>
      <c r="RPU152" s="22"/>
      <c r="RPV152" s="22"/>
      <c r="RPW152" s="22"/>
      <c r="RPX152" s="22"/>
      <c r="RPY152" s="22"/>
      <c r="RPZ152" s="22"/>
      <c r="RQA152" s="22"/>
      <c r="RQB152" s="22"/>
      <c r="RQC152" s="22"/>
      <c r="RQD152" s="22"/>
      <c r="RQE152" s="22"/>
      <c r="RQF152" s="22"/>
      <c r="RQG152" s="22"/>
      <c r="RQH152" s="22"/>
      <c r="RQI152" s="22"/>
      <c r="RQJ152" s="22"/>
      <c r="RQK152" s="22"/>
      <c r="RQL152" s="22"/>
      <c r="RQM152" s="22"/>
      <c r="RQN152" s="22"/>
      <c r="RQO152" s="22"/>
      <c r="RQP152" s="22"/>
      <c r="RQQ152" s="22"/>
      <c r="RQR152" s="22"/>
      <c r="RQS152" s="22"/>
      <c r="RQT152" s="22"/>
      <c r="RQU152" s="22"/>
      <c r="RQV152" s="22"/>
      <c r="RQW152" s="22"/>
      <c r="RQX152" s="22"/>
      <c r="RQY152" s="22"/>
      <c r="RQZ152" s="22"/>
      <c r="RRA152" s="22"/>
      <c r="RRB152" s="22"/>
      <c r="RRC152" s="22"/>
      <c r="RRD152" s="22"/>
      <c r="RRE152" s="22"/>
      <c r="RRF152" s="22"/>
      <c r="RRG152" s="22"/>
      <c r="RRH152" s="22"/>
      <c r="RRI152" s="22"/>
      <c r="RRJ152" s="22"/>
      <c r="RRK152" s="22"/>
      <c r="RRL152" s="22"/>
      <c r="RRM152" s="22"/>
      <c r="RRN152" s="22"/>
      <c r="RRO152" s="22"/>
      <c r="RRP152" s="22"/>
      <c r="RRQ152" s="22"/>
      <c r="RRR152" s="22"/>
      <c r="RRS152" s="22"/>
      <c r="RRT152" s="22"/>
      <c r="RRU152" s="22"/>
      <c r="RRV152" s="22"/>
      <c r="RRW152" s="22"/>
      <c r="RRX152" s="22"/>
      <c r="RRY152" s="22"/>
      <c r="RRZ152" s="22"/>
      <c r="RSA152" s="22"/>
      <c r="RSB152" s="22"/>
      <c r="RSC152" s="22"/>
      <c r="RSD152" s="22"/>
      <c r="RSE152" s="22"/>
      <c r="RSF152" s="22"/>
      <c r="RSG152" s="22"/>
      <c r="RSH152" s="22"/>
      <c r="RSI152" s="22"/>
      <c r="RSJ152" s="22"/>
      <c r="RSK152" s="22"/>
      <c r="RSL152" s="22"/>
      <c r="RSM152" s="22"/>
      <c r="RSN152" s="22"/>
      <c r="RSO152" s="22"/>
      <c r="RSP152" s="22"/>
      <c r="RSQ152" s="22"/>
      <c r="RSR152" s="22"/>
      <c r="RSS152" s="22"/>
      <c r="RST152" s="22"/>
      <c r="RSU152" s="22"/>
      <c r="RSV152" s="22"/>
      <c r="RSW152" s="22"/>
      <c r="RSX152" s="22"/>
      <c r="RSY152" s="22"/>
      <c r="RSZ152" s="22"/>
      <c r="RTA152" s="22"/>
      <c r="RTB152" s="22"/>
      <c r="RTC152" s="22"/>
      <c r="RTD152" s="22"/>
      <c r="RTE152" s="22"/>
      <c r="RTF152" s="22"/>
      <c r="RTG152" s="22"/>
      <c r="RTH152" s="22"/>
      <c r="RTI152" s="22"/>
      <c r="RTJ152" s="22"/>
      <c r="RTK152" s="22"/>
      <c r="RTL152" s="22"/>
      <c r="RTM152" s="22"/>
      <c r="RTN152" s="22"/>
      <c r="RTO152" s="22"/>
      <c r="RTP152" s="22"/>
      <c r="RTQ152" s="22"/>
      <c r="RTR152" s="22"/>
      <c r="RTS152" s="22"/>
      <c r="RTT152" s="22"/>
      <c r="RTU152" s="22"/>
      <c r="RTV152" s="22"/>
      <c r="RTW152" s="22"/>
      <c r="RTX152" s="22"/>
      <c r="RTY152" s="22"/>
      <c r="RTZ152" s="22"/>
      <c r="RUA152" s="22"/>
      <c r="RUB152" s="22"/>
      <c r="RUC152" s="22"/>
      <c r="RUD152" s="22"/>
      <c r="RUE152" s="22"/>
      <c r="RUF152" s="22"/>
      <c r="RUG152" s="22"/>
      <c r="RUH152" s="22"/>
      <c r="RUI152" s="22"/>
      <c r="RUJ152" s="22"/>
      <c r="RUK152" s="22"/>
      <c r="RUL152" s="22"/>
      <c r="RUM152" s="22"/>
      <c r="RUN152" s="22"/>
      <c r="RUO152" s="22"/>
      <c r="RUP152" s="22"/>
      <c r="RUQ152" s="22"/>
      <c r="RUR152" s="22"/>
      <c r="RUS152" s="22"/>
      <c r="RUT152" s="22"/>
      <c r="RUU152" s="22"/>
      <c r="RUV152" s="22"/>
      <c r="RUW152" s="22"/>
      <c r="RUX152" s="22"/>
      <c r="RUY152" s="22"/>
      <c r="RUZ152" s="22"/>
      <c r="RVA152" s="22"/>
      <c r="RVB152" s="22"/>
      <c r="RVC152" s="22"/>
      <c r="RVD152" s="22"/>
      <c r="RVE152" s="22"/>
      <c r="RVF152" s="22"/>
      <c r="RVG152" s="22"/>
      <c r="RVH152" s="22"/>
      <c r="RVI152" s="22"/>
      <c r="RVJ152" s="22"/>
      <c r="RVK152" s="22"/>
      <c r="RVL152" s="22"/>
      <c r="RVM152" s="22"/>
      <c r="RVN152" s="22"/>
      <c r="RVO152" s="22"/>
      <c r="RVP152" s="22"/>
      <c r="RVQ152" s="22"/>
      <c r="RVR152" s="22"/>
      <c r="RVS152" s="22"/>
      <c r="RVT152" s="22"/>
      <c r="RVU152" s="22"/>
      <c r="RVV152" s="22"/>
      <c r="RVW152" s="22"/>
      <c r="RVX152" s="22"/>
      <c r="RVY152" s="22"/>
      <c r="RVZ152" s="22"/>
      <c r="RWA152" s="22"/>
      <c r="RWB152" s="22"/>
      <c r="RWC152" s="22"/>
      <c r="RWD152" s="22"/>
      <c r="RWE152" s="22"/>
      <c r="RWF152" s="22"/>
      <c r="RWG152" s="22"/>
      <c r="RWH152" s="22"/>
      <c r="RWI152" s="22"/>
      <c r="RWJ152" s="22"/>
      <c r="RWK152" s="22"/>
      <c r="RWL152" s="22"/>
      <c r="RWM152" s="22"/>
      <c r="RWN152" s="22"/>
      <c r="RWO152" s="22"/>
      <c r="RWP152" s="22"/>
      <c r="RWQ152" s="22"/>
      <c r="RWR152" s="22"/>
      <c r="RWS152" s="22"/>
      <c r="RWT152" s="22"/>
      <c r="RWU152" s="22"/>
      <c r="RWV152" s="22"/>
      <c r="RWW152" s="22"/>
      <c r="RWX152" s="22"/>
      <c r="RWY152" s="22"/>
      <c r="RWZ152" s="22"/>
      <c r="RXA152" s="22"/>
      <c r="RXB152" s="22"/>
      <c r="RXC152" s="22"/>
      <c r="RXD152" s="22"/>
      <c r="RXE152" s="22"/>
      <c r="RXF152" s="22"/>
      <c r="RXG152" s="22"/>
      <c r="RXH152" s="22"/>
      <c r="RXI152" s="22"/>
      <c r="RXJ152" s="22"/>
      <c r="RXK152" s="22"/>
      <c r="RXL152" s="22"/>
      <c r="RXM152" s="22"/>
      <c r="RXN152" s="22"/>
      <c r="RXO152" s="22"/>
      <c r="RXP152" s="22"/>
      <c r="RXQ152" s="22"/>
      <c r="RXR152" s="22"/>
      <c r="RXS152" s="22"/>
      <c r="RXT152" s="22"/>
      <c r="RXU152" s="22"/>
      <c r="RXV152" s="22"/>
      <c r="RXW152" s="22"/>
      <c r="RXX152" s="22"/>
      <c r="RXY152" s="22"/>
      <c r="RXZ152" s="22"/>
      <c r="RYA152" s="22"/>
      <c r="RYB152" s="22"/>
      <c r="RYC152" s="22"/>
      <c r="RYD152" s="22"/>
      <c r="RYE152" s="22"/>
      <c r="RYF152" s="22"/>
      <c r="RYG152" s="22"/>
      <c r="RYH152" s="22"/>
      <c r="RYI152" s="22"/>
      <c r="RYJ152" s="22"/>
      <c r="RYK152" s="22"/>
      <c r="RYL152" s="22"/>
      <c r="RYM152" s="22"/>
      <c r="RYN152" s="22"/>
      <c r="RYO152" s="22"/>
      <c r="RYP152" s="22"/>
      <c r="RYQ152" s="22"/>
      <c r="RYR152" s="22"/>
      <c r="RYS152" s="22"/>
      <c r="RYT152" s="22"/>
      <c r="RYU152" s="22"/>
      <c r="RYV152" s="22"/>
      <c r="RYW152" s="22"/>
      <c r="RYX152" s="22"/>
      <c r="RYY152" s="22"/>
      <c r="RYZ152" s="22"/>
      <c r="RZA152" s="22"/>
      <c r="RZB152" s="22"/>
      <c r="RZC152" s="22"/>
      <c r="RZD152" s="22"/>
      <c r="RZE152" s="22"/>
      <c r="RZF152" s="22"/>
      <c r="RZG152" s="22"/>
      <c r="RZH152" s="22"/>
      <c r="RZI152" s="22"/>
      <c r="RZJ152" s="22"/>
      <c r="RZK152" s="22"/>
      <c r="RZL152" s="22"/>
      <c r="RZM152" s="22"/>
      <c r="RZN152" s="22"/>
      <c r="RZO152" s="22"/>
      <c r="RZP152" s="22"/>
      <c r="RZQ152" s="22"/>
      <c r="RZR152" s="22"/>
      <c r="RZS152" s="22"/>
      <c r="RZT152" s="22"/>
      <c r="RZU152" s="22"/>
      <c r="RZV152" s="22"/>
      <c r="RZW152" s="22"/>
      <c r="RZX152" s="22"/>
      <c r="RZY152" s="22"/>
      <c r="RZZ152" s="22"/>
      <c r="SAA152" s="22"/>
      <c r="SAB152" s="22"/>
      <c r="SAC152" s="22"/>
      <c r="SAD152" s="22"/>
      <c r="SAE152" s="22"/>
      <c r="SAF152" s="22"/>
      <c r="SAG152" s="22"/>
      <c r="SAH152" s="22"/>
      <c r="SAI152" s="22"/>
      <c r="SAJ152" s="22"/>
      <c r="SAK152" s="22"/>
      <c r="SAL152" s="22"/>
      <c r="SAM152" s="22"/>
      <c r="SAN152" s="22"/>
      <c r="SAO152" s="22"/>
      <c r="SAP152" s="22"/>
      <c r="SAQ152" s="22"/>
      <c r="SAR152" s="22"/>
      <c r="SAS152" s="22"/>
      <c r="SAT152" s="22"/>
      <c r="SAU152" s="22"/>
      <c r="SAV152" s="22"/>
      <c r="SAW152" s="22"/>
      <c r="SAX152" s="22"/>
      <c r="SAY152" s="22"/>
      <c r="SAZ152" s="22"/>
      <c r="SBA152" s="22"/>
      <c r="SBB152" s="22"/>
      <c r="SBC152" s="22"/>
      <c r="SBD152" s="22"/>
      <c r="SBE152" s="22"/>
      <c r="SBF152" s="22"/>
      <c r="SBG152" s="22"/>
      <c r="SBH152" s="22"/>
      <c r="SBI152" s="22"/>
      <c r="SBJ152" s="22"/>
      <c r="SBK152" s="22"/>
      <c r="SBL152" s="22"/>
      <c r="SBM152" s="22"/>
      <c r="SBN152" s="22"/>
      <c r="SBO152" s="22"/>
      <c r="SBP152" s="22"/>
      <c r="SBQ152" s="22"/>
      <c r="SBR152" s="22"/>
      <c r="SBS152" s="22"/>
      <c r="SBT152" s="22"/>
      <c r="SBU152" s="22"/>
      <c r="SBV152" s="22"/>
      <c r="SBW152" s="22"/>
      <c r="SBX152" s="22"/>
      <c r="SBY152" s="22"/>
      <c r="SBZ152" s="22"/>
      <c r="SCA152" s="22"/>
      <c r="SCB152" s="22"/>
      <c r="SCC152" s="22"/>
      <c r="SCD152" s="22"/>
      <c r="SCE152" s="22"/>
      <c r="SCF152" s="22"/>
      <c r="SCG152" s="22"/>
      <c r="SCH152" s="22"/>
      <c r="SCI152" s="22"/>
      <c r="SCJ152" s="22"/>
      <c r="SCK152" s="22"/>
      <c r="SCL152" s="22"/>
      <c r="SCM152" s="22"/>
      <c r="SCN152" s="22"/>
      <c r="SCO152" s="22"/>
      <c r="SCP152" s="22"/>
      <c r="SCQ152" s="22"/>
      <c r="SCR152" s="22"/>
      <c r="SCS152" s="22"/>
      <c r="SCT152" s="22"/>
      <c r="SCU152" s="22"/>
      <c r="SCV152" s="22"/>
      <c r="SCW152" s="22"/>
      <c r="SCX152" s="22"/>
      <c r="SCY152" s="22"/>
      <c r="SCZ152" s="22"/>
      <c r="SDA152" s="22"/>
      <c r="SDB152" s="22"/>
      <c r="SDC152" s="22"/>
      <c r="SDD152" s="22"/>
      <c r="SDE152" s="22"/>
      <c r="SDF152" s="22"/>
      <c r="SDG152" s="22"/>
      <c r="SDH152" s="22"/>
      <c r="SDI152" s="22"/>
      <c r="SDJ152" s="22"/>
      <c r="SDK152" s="22"/>
      <c r="SDL152" s="22"/>
      <c r="SDM152" s="22"/>
      <c r="SDN152" s="22"/>
      <c r="SDO152" s="22"/>
      <c r="SDP152" s="22"/>
      <c r="SDQ152" s="22"/>
      <c r="SDR152" s="22"/>
      <c r="SDS152" s="22"/>
      <c r="SDT152" s="22"/>
      <c r="SDU152" s="22"/>
      <c r="SDV152" s="22"/>
      <c r="SDW152" s="22"/>
      <c r="SDX152" s="22"/>
      <c r="SDY152" s="22"/>
      <c r="SDZ152" s="22"/>
      <c r="SEA152" s="22"/>
      <c r="SEB152" s="22"/>
      <c r="SEC152" s="22"/>
      <c r="SED152" s="22"/>
      <c r="SEE152" s="22"/>
      <c r="SEF152" s="22"/>
      <c r="SEG152" s="22"/>
      <c r="SEH152" s="22"/>
      <c r="SEI152" s="22"/>
      <c r="SEJ152" s="22"/>
      <c r="SEK152" s="22"/>
      <c r="SEL152" s="22"/>
      <c r="SEM152" s="22"/>
      <c r="SEN152" s="22"/>
      <c r="SEO152" s="22"/>
      <c r="SEP152" s="22"/>
      <c r="SEQ152" s="22"/>
      <c r="SER152" s="22"/>
      <c r="SES152" s="22"/>
      <c r="SET152" s="22"/>
      <c r="SEU152" s="22"/>
      <c r="SEV152" s="22"/>
      <c r="SEW152" s="22"/>
      <c r="SEX152" s="22"/>
      <c r="SEY152" s="22"/>
      <c r="SEZ152" s="22"/>
      <c r="SFA152" s="22"/>
      <c r="SFB152" s="22"/>
      <c r="SFC152" s="22"/>
      <c r="SFD152" s="22"/>
      <c r="SFE152" s="22"/>
      <c r="SFF152" s="22"/>
      <c r="SFG152" s="22"/>
      <c r="SFH152" s="22"/>
      <c r="SFI152" s="22"/>
      <c r="SFJ152" s="22"/>
      <c r="SFK152" s="22"/>
      <c r="SFL152" s="22"/>
      <c r="SFM152" s="22"/>
      <c r="SFN152" s="22"/>
      <c r="SFO152" s="22"/>
      <c r="SFP152" s="22"/>
      <c r="SFQ152" s="22"/>
      <c r="SFR152" s="22"/>
      <c r="SFS152" s="22"/>
      <c r="SFT152" s="22"/>
      <c r="SFU152" s="22"/>
      <c r="SFV152" s="22"/>
      <c r="SFW152" s="22"/>
      <c r="SFX152" s="22"/>
      <c r="SFY152" s="22"/>
      <c r="SFZ152" s="22"/>
      <c r="SGA152" s="22"/>
      <c r="SGB152" s="22"/>
      <c r="SGC152" s="22"/>
      <c r="SGD152" s="22"/>
      <c r="SGE152" s="22"/>
      <c r="SGF152" s="22"/>
      <c r="SGG152" s="22"/>
      <c r="SGH152" s="22"/>
      <c r="SGI152" s="22"/>
      <c r="SGJ152" s="22"/>
      <c r="SGK152" s="22"/>
      <c r="SGL152" s="22"/>
      <c r="SGM152" s="22"/>
      <c r="SGN152" s="22"/>
      <c r="SGO152" s="22"/>
      <c r="SGP152" s="22"/>
      <c r="SGQ152" s="22"/>
      <c r="SGR152" s="22"/>
      <c r="SGS152" s="22"/>
      <c r="SGT152" s="22"/>
      <c r="SGU152" s="22"/>
      <c r="SGV152" s="22"/>
      <c r="SGW152" s="22"/>
      <c r="SGX152" s="22"/>
      <c r="SGY152" s="22"/>
      <c r="SGZ152" s="22"/>
      <c r="SHA152" s="22"/>
      <c r="SHB152" s="22"/>
      <c r="SHC152" s="22"/>
      <c r="SHD152" s="22"/>
      <c r="SHE152" s="22"/>
      <c r="SHF152" s="22"/>
      <c r="SHG152" s="22"/>
      <c r="SHH152" s="22"/>
      <c r="SHI152" s="22"/>
      <c r="SHJ152" s="22"/>
      <c r="SHK152" s="22"/>
      <c r="SHL152" s="22"/>
      <c r="SHM152" s="22"/>
      <c r="SHN152" s="22"/>
      <c r="SHO152" s="22"/>
      <c r="SHP152" s="22"/>
      <c r="SHQ152" s="22"/>
      <c r="SHR152" s="22"/>
      <c r="SHS152" s="22"/>
      <c r="SHT152" s="22"/>
      <c r="SHU152" s="22"/>
      <c r="SHV152" s="22"/>
      <c r="SHW152" s="22"/>
      <c r="SHX152" s="22"/>
      <c r="SHY152" s="22"/>
      <c r="SHZ152" s="22"/>
      <c r="SIA152" s="22"/>
      <c r="SIB152" s="22"/>
      <c r="SIC152" s="22"/>
      <c r="SID152" s="22"/>
      <c r="SIE152" s="22"/>
      <c r="SIF152" s="22"/>
      <c r="SIG152" s="22"/>
      <c r="SIH152" s="22"/>
      <c r="SII152" s="22"/>
      <c r="SIJ152" s="22"/>
      <c r="SIK152" s="22"/>
      <c r="SIL152" s="22"/>
      <c r="SIM152" s="22"/>
      <c r="SIN152" s="22"/>
      <c r="SIO152" s="22"/>
      <c r="SIP152" s="22"/>
      <c r="SIQ152" s="22"/>
      <c r="SIR152" s="22"/>
      <c r="SIS152" s="22"/>
      <c r="SIT152" s="22"/>
      <c r="SIU152" s="22"/>
      <c r="SIV152" s="22"/>
      <c r="SIW152" s="22"/>
      <c r="SIX152" s="22"/>
      <c r="SIY152" s="22"/>
      <c r="SIZ152" s="22"/>
      <c r="SJA152" s="22"/>
      <c r="SJB152" s="22"/>
      <c r="SJC152" s="22"/>
      <c r="SJD152" s="22"/>
      <c r="SJE152" s="22"/>
      <c r="SJF152" s="22"/>
      <c r="SJG152" s="22"/>
      <c r="SJH152" s="22"/>
      <c r="SJI152" s="22"/>
      <c r="SJJ152" s="22"/>
      <c r="SJK152" s="22"/>
      <c r="SJL152" s="22"/>
      <c r="SJM152" s="22"/>
      <c r="SJN152" s="22"/>
      <c r="SJO152" s="22"/>
      <c r="SJP152" s="22"/>
      <c r="SJQ152" s="22"/>
      <c r="SJR152" s="22"/>
      <c r="SJS152" s="22"/>
      <c r="SJT152" s="22"/>
      <c r="SJU152" s="22"/>
      <c r="SJV152" s="22"/>
      <c r="SJW152" s="22"/>
      <c r="SJX152" s="22"/>
      <c r="SJY152" s="22"/>
      <c r="SJZ152" s="22"/>
      <c r="SKA152" s="22"/>
      <c r="SKB152" s="22"/>
      <c r="SKC152" s="22"/>
      <c r="SKD152" s="22"/>
      <c r="SKE152" s="22"/>
      <c r="SKF152" s="22"/>
      <c r="SKG152" s="22"/>
      <c r="SKH152" s="22"/>
      <c r="SKI152" s="22"/>
      <c r="SKJ152" s="22"/>
      <c r="SKK152" s="22"/>
      <c r="SKL152" s="22"/>
      <c r="SKM152" s="22"/>
      <c r="SKN152" s="22"/>
      <c r="SKO152" s="22"/>
      <c r="SKP152" s="22"/>
      <c r="SKQ152" s="22"/>
      <c r="SKR152" s="22"/>
      <c r="SKS152" s="22"/>
      <c r="SKT152" s="22"/>
      <c r="SKU152" s="22"/>
      <c r="SKV152" s="22"/>
      <c r="SKW152" s="22"/>
      <c r="SKX152" s="22"/>
      <c r="SKY152" s="22"/>
      <c r="SKZ152" s="22"/>
      <c r="SLA152" s="22"/>
      <c r="SLB152" s="22"/>
      <c r="SLC152" s="22"/>
      <c r="SLD152" s="22"/>
      <c r="SLE152" s="22"/>
      <c r="SLF152" s="22"/>
      <c r="SLG152" s="22"/>
      <c r="SLH152" s="22"/>
      <c r="SLI152" s="22"/>
      <c r="SLJ152" s="22"/>
      <c r="SLK152" s="22"/>
      <c r="SLL152" s="22"/>
      <c r="SLM152" s="22"/>
      <c r="SLN152" s="22"/>
      <c r="SLO152" s="22"/>
      <c r="SLP152" s="22"/>
      <c r="SLQ152" s="22"/>
      <c r="SLR152" s="22"/>
      <c r="SLS152" s="22"/>
      <c r="SLT152" s="22"/>
      <c r="SLU152" s="22"/>
      <c r="SLV152" s="22"/>
      <c r="SLW152" s="22"/>
      <c r="SLX152" s="22"/>
      <c r="SLY152" s="22"/>
      <c r="SLZ152" s="22"/>
      <c r="SMA152" s="22"/>
      <c r="SMB152" s="22"/>
      <c r="SMC152" s="22"/>
      <c r="SMD152" s="22"/>
      <c r="SME152" s="22"/>
      <c r="SMF152" s="22"/>
      <c r="SMG152" s="22"/>
      <c r="SMH152" s="22"/>
      <c r="SMI152" s="22"/>
      <c r="SMJ152" s="22"/>
      <c r="SMK152" s="22"/>
      <c r="SML152" s="22"/>
      <c r="SMM152" s="22"/>
      <c r="SMN152" s="22"/>
      <c r="SMO152" s="22"/>
      <c r="SMP152" s="22"/>
      <c r="SMQ152" s="22"/>
      <c r="SMR152" s="22"/>
      <c r="SMS152" s="22"/>
      <c r="SMT152" s="22"/>
      <c r="SMU152" s="22"/>
      <c r="SMV152" s="22"/>
      <c r="SMW152" s="22"/>
      <c r="SMX152" s="22"/>
      <c r="SMY152" s="22"/>
      <c r="SMZ152" s="22"/>
      <c r="SNA152" s="22"/>
      <c r="SNB152" s="22"/>
      <c r="SNC152" s="22"/>
      <c r="SND152" s="22"/>
      <c r="SNE152" s="22"/>
      <c r="SNF152" s="22"/>
      <c r="SNG152" s="22"/>
      <c r="SNH152" s="22"/>
      <c r="SNI152" s="22"/>
      <c r="SNJ152" s="22"/>
      <c r="SNK152" s="22"/>
      <c r="SNL152" s="22"/>
      <c r="SNM152" s="22"/>
      <c r="SNN152" s="22"/>
      <c r="SNO152" s="22"/>
      <c r="SNP152" s="22"/>
      <c r="SNQ152" s="22"/>
      <c r="SNR152" s="22"/>
      <c r="SNS152" s="22"/>
      <c r="SNT152" s="22"/>
      <c r="SNU152" s="22"/>
      <c r="SNV152" s="22"/>
      <c r="SNW152" s="22"/>
      <c r="SNX152" s="22"/>
      <c r="SNY152" s="22"/>
      <c r="SNZ152" s="22"/>
      <c r="SOA152" s="22"/>
      <c r="SOB152" s="22"/>
      <c r="SOC152" s="22"/>
      <c r="SOD152" s="22"/>
      <c r="SOE152" s="22"/>
      <c r="SOF152" s="22"/>
      <c r="SOG152" s="22"/>
      <c r="SOH152" s="22"/>
      <c r="SOI152" s="22"/>
      <c r="SOJ152" s="22"/>
      <c r="SOK152" s="22"/>
      <c r="SOL152" s="22"/>
      <c r="SOM152" s="22"/>
      <c r="SON152" s="22"/>
      <c r="SOO152" s="22"/>
      <c r="SOP152" s="22"/>
      <c r="SOQ152" s="22"/>
      <c r="SOR152" s="22"/>
      <c r="SOS152" s="22"/>
      <c r="SOT152" s="22"/>
      <c r="SOU152" s="22"/>
      <c r="SOV152" s="22"/>
      <c r="SOW152" s="22"/>
      <c r="SOX152" s="22"/>
      <c r="SOY152" s="22"/>
      <c r="SOZ152" s="22"/>
      <c r="SPA152" s="22"/>
      <c r="SPB152" s="22"/>
      <c r="SPC152" s="22"/>
      <c r="SPD152" s="22"/>
      <c r="SPE152" s="22"/>
      <c r="SPF152" s="22"/>
      <c r="SPG152" s="22"/>
      <c r="SPH152" s="22"/>
      <c r="SPI152" s="22"/>
      <c r="SPJ152" s="22"/>
      <c r="SPK152" s="22"/>
      <c r="SPL152" s="22"/>
      <c r="SPM152" s="22"/>
      <c r="SPN152" s="22"/>
      <c r="SPO152" s="22"/>
      <c r="SPP152" s="22"/>
      <c r="SPQ152" s="22"/>
      <c r="SPR152" s="22"/>
      <c r="SPS152" s="22"/>
      <c r="SPT152" s="22"/>
      <c r="SPU152" s="22"/>
      <c r="SPV152" s="22"/>
      <c r="SPW152" s="22"/>
      <c r="SPX152" s="22"/>
      <c r="SPY152" s="22"/>
      <c r="SPZ152" s="22"/>
      <c r="SQA152" s="22"/>
      <c r="SQB152" s="22"/>
      <c r="SQC152" s="22"/>
      <c r="SQD152" s="22"/>
      <c r="SQE152" s="22"/>
      <c r="SQF152" s="22"/>
      <c r="SQG152" s="22"/>
      <c r="SQH152" s="22"/>
      <c r="SQI152" s="22"/>
      <c r="SQJ152" s="22"/>
      <c r="SQK152" s="22"/>
      <c r="SQL152" s="22"/>
      <c r="SQM152" s="22"/>
      <c r="SQN152" s="22"/>
      <c r="SQO152" s="22"/>
      <c r="SQP152" s="22"/>
      <c r="SQQ152" s="22"/>
      <c r="SQR152" s="22"/>
      <c r="SQS152" s="22"/>
      <c r="SQT152" s="22"/>
      <c r="SQU152" s="22"/>
      <c r="SQV152" s="22"/>
      <c r="SQW152" s="22"/>
      <c r="SQX152" s="22"/>
      <c r="SQY152" s="22"/>
      <c r="SQZ152" s="22"/>
      <c r="SRA152" s="22"/>
      <c r="SRB152" s="22"/>
      <c r="SRC152" s="22"/>
      <c r="SRD152" s="22"/>
      <c r="SRE152" s="22"/>
      <c r="SRF152" s="22"/>
      <c r="SRG152" s="22"/>
      <c r="SRH152" s="22"/>
      <c r="SRI152" s="22"/>
      <c r="SRJ152" s="22"/>
      <c r="SRK152" s="22"/>
      <c r="SRL152" s="22"/>
      <c r="SRM152" s="22"/>
      <c r="SRN152" s="22"/>
      <c r="SRO152" s="22"/>
      <c r="SRP152" s="22"/>
      <c r="SRQ152" s="22"/>
      <c r="SRR152" s="22"/>
      <c r="SRS152" s="22"/>
      <c r="SRT152" s="22"/>
      <c r="SRU152" s="22"/>
      <c r="SRV152" s="22"/>
      <c r="SRW152" s="22"/>
      <c r="SRX152" s="22"/>
      <c r="SRY152" s="22"/>
      <c r="SRZ152" s="22"/>
      <c r="SSA152" s="22"/>
      <c r="SSB152" s="22"/>
      <c r="SSC152" s="22"/>
      <c r="SSD152" s="22"/>
      <c r="SSE152" s="22"/>
      <c r="SSF152" s="22"/>
      <c r="SSG152" s="22"/>
      <c r="SSH152" s="22"/>
      <c r="SSI152" s="22"/>
      <c r="SSJ152" s="22"/>
      <c r="SSK152" s="22"/>
      <c r="SSL152" s="22"/>
      <c r="SSM152" s="22"/>
      <c r="SSN152" s="22"/>
      <c r="SSO152" s="22"/>
      <c r="SSP152" s="22"/>
      <c r="SSQ152" s="22"/>
      <c r="SSR152" s="22"/>
      <c r="SSS152" s="22"/>
      <c r="SST152" s="22"/>
      <c r="SSU152" s="22"/>
      <c r="SSV152" s="22"/>
      <c r="SSW152" s="22"/>
      <c r="SSX152" s="22"/>
      <c r="SSY152" s="22"/>
      <c r="SSZ152" s="22"/>
      <c r="STA152" s="22"/>
      <c r="STB152" s="22"/>
      <c r="STC152" s="22"/>
      <c r="STD152" s="22"/>
      <c r="STE152" s="22"/>
      <c r="STF152" s="22"/>
      <c r="STG152" s="22"/>
      <c r="STH152" s="22"/>
      <c r="STI152" s="22"/>
      <c r="STJ152" s="22"/>
      <c r="STK152" s="22"/>
      <c r="STL152" s="22"/>
      <c r="STM152" s="22"/>
      <c r="STN152" s="22"/>
      <c r="STO152" s="22"/>
      <c r="STP152" s="22"/>
      <c r="STQ152" s="22"/>
      <c r="STR152" s="22"/>
      <c r="STS152" s="22"/>
      <c r="STT152" s="22"/>
      <c r="STU152" s="22"/>
      <c r="STV152" s="22"/>
      <c r="STW152" s="22"/>
      <c r="STX152" s="22"/>
      <c r="STY152" s="22"/>
      <c r="STZ152" s="22"/>
      <c r="SUA152" s="22"/>
      <c r="SUB152" s="22"/>
      <c r="SUC152" s="22"/>
      <c r="SUD152" s="22"/>
      <c r="SUE152" s="22"/>
      <c r="SUF152" s="22"/>
      <c r="SUG152" s="22"/>
      <c r="SUH152" s="22"/>
      <c r="SUI152" s="22"/>
      <c r="SUJ152" s="22"/>
      <c r="SUK152" s="22"/>
      <c r="SUL152" s="22"/>
      <c r="SUM152" s="22"/>
      <c r="SUN152" s="22"/>
      <c r="SUO152" s="22"/>
      <c r="SUP152" s="22"/>
      <c r="SUQ152" s="22"/>
      <c r="SUR152" s="22"/>
      <c r="SUS152" s="22"/>
      <c r="SUT152" s="22"/>
      <c r="SUU152" s="22"/>
      <c r="SUV152" s="22"/>
      <c r="SUW152" s="22"/>
      <c r="SUX152" s="22"/>
      <c r="SUY152" s="22"/>
      <c r="SUZ152" s="22"/>
      <c r="SVA152" s="22"/>
      <c r="SVB152" s="22"/>
      <c r="SVC152" s="22"/>
      <c r="SVD152" s="22"/>
      <c r="SVE152" s="22"/>
      <c r="SVF152" s="22"/>
      <c r="SVG152" s="22"/>
      <c r="SVH152" s="22"/>
      <c r="SVI152" s="22"/>
      <c r="SVJ152" s="22"/>
      <c r="SVK152" s="22"/>
      <c r="SVL152" s="22"/>
      <c r="SVM152" s="22"/>
      <c r="SVN152" s="22"/>
      <c r="SVO152" s="22"/>
      <c r="SVP152" s="22"/>
      <c r="SVQ152" s="22"/>
      <c r="SVR152" s="22"/>
      <c r="SVS152" s="22"/>
      <c r="SVT152" s="22"/>
      <c r="SVU152" s="22"/>
      <c r="SVV152" s="22"/>
      <c r="SVW152" s="22"/>
      <c r="SVX152" s="22"/>
      <c r="SVY152" s="22"/>
      <c r="SVZ152" s="22"/>
      <c r="SWA152" s="22"/>
      <c r="SWB152" s="22"/>
      <c r="SWC152" s="22"/>
      <c r="SWD152" s="22"/>
      <c r="SWE152" s="22"/>
      <c r="SWF152" s="22"/>
      <c r="SWG152" s="22"/>
      <c r="SWH152" s="22"/>
      <c r="SWI152" s="22"/>
      <c r="SWJ152" s="22"/>
      <c r="SWK152" s="22"/>
      <c r="SWL152" s="22"/>
      <c r="SWM152" s="22"/>
      <c r="SWN152" s="22"/>
      <c r="SWO152" s="22"/>
      <c r="SWP152" s="22"/>
      <c r="SWQ152" s="22"/>
      <c r="SWR152" s="22"/>
      <c r="SWS152" s="22"/>
      <c r="SWT152" s="22"/>
      <c r="SWU152" s="22"/>
      <c r="SWV152" s="22"/>
      <c r="SWW152" s="22"/>
      <c r="SWX152" s="22"/>
      <c r="SWY152" s="22"/>
      <c r="SWZ152" s="22"/>
      <c r="SXA152" s="22"/>
      <c r="SXB152" s="22"/>
      <c r="SXC152" s="22"/>
      <c r="SXD152" s="22"/>
      <c r="SXE152" s="22"/>
      <c r="SXF152" s="22"/>
      <c r="SXG152" s="22"/>
      <c r="SXH152" s="22"/>
      <c r="SXI152" s="22"/>
      <c r="SXJ152" s="22"/>
      <c r="SXK152" s="22"/>
      <c r="SXL152" s="22"/>
      <c r="SXM152" s="22"/>
      <c r="SXN152" s="22"/>
      <c r="SXO152" s="22"/>
      <c r="SXP152" s="22"/>
      <c r="SXQ152" s="22"/>
      <c r="SXR152" s="22"/>
      <c r="SXS152" s="22"/>
      <c r="SXT152" s="22"/>
      <c r="SXU152" s="22"/>
      <c r="SXV152" s="22"/>
      <c r="SXW152" s="22"/>
      <c r="SXX152" s="22"/>
      <c r="SXY152" s="22"/>
      <c r="SXZ152" s="22"/>
      <c r="SYA152" s="22"/>
      <c r="SYB152" s="22"/>
      <c r="SYC152" s="22"/>
      <c r="SYD152" s="22"/>
      <c r="SYE152" s="22"/>
      <c r="SYF152" s="22"/>
      <c r="SYG152" s="22"/>
      <c r="SYH152" s="22"/>
      <c r="SYI152" s="22"/>
      <c r="SYJ152" s="22"/>
      <c r="SYK152" s="22"/>
      <c r="SYL152" s="22"/>
      <c r="SYM152" s="22"/>
      <c r="SYN152" s="22"/>
      <c r="SYO152" s="22"/>
      <c r="SYP152" s="22"/>
      <c r="SYQ152" s="22"/>
      <c r="SYR152" s="22"/>
      <c r="SYS152" s="22"/>
      <c r="SYT152" s="22"/>
      <c r="SYU152" s="22"/>
      <c r="SYV152" s="22"/>
      <c r="SYW152" s="22"/>
      <c r="SYX152" s="22"/>
      <c r="SYY152" s="22"/>
      <c r="SYZ152" s="22"/>
      <c r="SZA152" s="22"/>
      <c r="SZB152" s="22"/>
      <c r="SZC152" s="22"/>
      <c r="SZD152" s="22"/>
      <c r="SZE152" s="22"/>
      <c r="SZF152" s="22"/>
      <c r="SZG152" s="22"/>
      <c r="SZH152" s="22"/>
      <c r="SZI152" s="22"/>
      <c r="SZJ152" s="22"/>
      <c r="SZK152" s="22"/>
      <c r="SZL152" s="22"/>
      <c r="SZM152" s="22"/>
      <c r="SZN152" s="22"/>
      <c r="SZO152" s="22"/>
      <c r="SZP152" s="22"/>
      <c r="SZQ152" s="22"/>
      <c r="SZR152" s="22"/>
      <c r="SZS152" s="22"/>
      <c r="SZT152" s="22"/>
      <c r="SZU152" s="22"/>
      <c r="SZV152" s="22"/>
      <c r="SZW152" s="22"/>
      <c r="SZX152" s="22"/>
      <c r="SZY152" s="22"/>
      <c r="SZZ152" s="22"/>
      <c r="TAA152" s="22"/>
      <c r="TAB152" s="22"/>
      <c r="TAC152" s="22"/>
      <c r="TAD152" s="22"/>
      <c r="TAE152" s="22"/>
      <c r="TAF152" s="22"/>
      <c r="TAG152" s="22"/>
      <c r="TAH152" s="22"/>
      <c r="TAI152" s="22"/>
      <c r="TAJ152" s="22"/>
      <c r="TAK152" s="22"/>
      <c r="TAL152" s="22"/>
      <c r="TAM152" s="22"/>
      <c r="TAN152" s="22"/>
      <c r="TAO152" s="22"/>
      <c r="TAP152" s="22"/>
      <c r="TAQ152" s="22"/>
      <c r="TAR152" s="22"/>
      <c r="TAS152" s="22"/>
      <c r="TAT152" s="22"/>
      <c r="TAU152" s="22"/>
      <c r="TAV152" s="22"/>
      <c r="TAW152" s="22"/>
      <c r="TAX152" s="22"/>
      <c r="TAY152" s="22"/>
      <c r="TAZ152" s="22"/>
      <c r="TBA152" s="22"/>
      <c r="TBB152" s="22"/>
      <c r="TBC152" s="22"/>
      <c r="TBD152" s="22"/>
      <c r="TBE152" s="22"/>
      <c r="TBF152" s="22"/>
      <c r="TBG152" s="22"/>
      <c r="TBH152" s="22"/>
      <c r="TBI152" s="22"/>
      <c r="TBJ152" s="22"/>
      <c r="TBK152" s="22"/>
      <c r="TBL152" s="22"/>
      <c r="TBM152" s="22"/>
      <c r="TBN152" s="22"/>
      <c r="TBO152" s="22"/>
      <c r="TBP152" s="22"/>
      <c r="TBQ152" s="22"/>
      <c r="TBR152" s="22"/>
      <c r="TBS152" s="22"/>
      <c r="TBT152" s="22"/>
      <c r="TBU152" s="22"/>
      <c r="TBV152" s="22"/>
      <c r="TBW152" s="22"/>
      <c r="TBX152" s="22"/>
      <c r="TBY152" s="22"/>
      <c r="TBZ152" s="22"/>
      <c r="TCA152" s="22"/>
      <c r="TCB152" s="22"/>
      <c r="TCC152" s="22"/>
      <c r="TCD152" s="22"/>
      <c r="TCE152" s="22"/>
      <c r="TCF152" s="22"/>
      <c r="TCG152" s="22"/>
      <c r="TCH152" s="22"/>
      <c r="TCI152" s="22"/>
      <c r="TCJ152" s="22"/>
      <c r="TCK152" s="22"/>
      <c r="TCL152" s="22"/>
      <c r="TCM152" s="22"/>
      <c r="TCN152" s="22"/>
      <c r="TCO152" s="22"/>
      <c r="TCP152" s="22"/>
      <c r="TCQ152" s="22"/>
      <c r="TCR152" s="22"/>
      <c r="TCS152" s="22"/>
      <c r="TCT152" s="22"/>
      <c r="TCU152" s="22"/>
      <c r="TCV152" s="22"/>
      <c r="TCW152" s="22"/>
      <c r="TCX152" s="22"/>
      <c r="TCY152" s="22"/>
      <c r="TCZ152" s="22"/>
      <c r="TDA152" s="22"/>
      <c r="TDB152" s="22"/>
      <c r="TDC152" s="22"/>
      <c r="TDD152" s="22"/>
      <c r="TDE152" s="22"/>
      <c r="TDF152" s="22"/>
      <c r="TDG152" s="22"/>
      <c r="TDH152" s="22"/>
      <c r="TDI152" s="22"/>
      <c r="TDJ152" s="22"/>
      <c r="TDK152" s="22"/>
      <c r="TDL152" s="22"/>
      <c r="TDM152" s="22"/>
      <c r="TDN152" s="22"/>
      <c r="TDO152" s="22"/>
      <c r="TDP152" s="22"/>
      <c r="TDQ152" s="22"/>
      <c r="TDR152" s="22"/>
      <c r="TDS152" s="22"/>
      <c r="TDT152" s="22"/>
      <c r="TDU152" s="22"/>
      <c r="TDV152" s="22"/>
      <c r="TDW152" s="22"/>
      <c r="TDX152" s="22"/>
      <c r="TDY152" s="22"/>
      <c r="TDZ152" s="22"/>
      <c r="TEA152" s="22"/>
      <c r="TEB152" s="22"/>
      <c r="TEC152" s="22"/>
      <c r="TED152" s="22"/>
      <c r="TEE152" s="22"/>
      <c r="TEF152" s="22"/>
      <c r="TEG152" s="22"/>
      <c r="TEH152" s="22"/>
      <c r="TEI152" s="22"/>
      <c r="TEJ152" s="22"/>
      <c r="TEK152" s="22"/>
      <c r="TEL152" s="22"/>
      <c r="TEM152" s="22"/>
      <c r="TEN152" s="22"/>
      <c r="TEO152" s="22"/>
      <c r="TEP152" s="22"/>
      <c r="TEQ152" s="22"/>
      <c r="TER152" s="22"/>
      <c r="TES152" s="22"/>
      <c r="TET152" s="22"/>
      <c r="TEU152" s="22"/>
      <c r="TEV152" s="22"/>
      <c r="TEW152" s="22"/>
      <c r="TEX152" s="22"/>
      <c r="TEY152" s="22"/>
      <c r="TEZ152" s="22"/>
      <c r="TFA152" s="22"/>
      <c r="TFB152" s="22"/>
      <c r="TFC152" s="22"/>
      <c r="TFD152" s="22"/>
      <c r="TFE152" s="22"/>
      <c r="TFF152" s="22"/>
      <c r="TFG152" s="22"/>
      <c r="TFH152" s="22"/>
      <c r="TFI152" s="22"/>
      <c r="TFJ152" s="22"/>
      <c r="TFK152" s="22"/>
      <c r="TFL152" s="22"/>
      <c r="TFM152" s="22"/>
      <c r="TFN152" s="22"/>
      <c r="TFO152" s="22"/>
      <c r="TFP152" s="22"/>
      <c r="TFQ152" s="22"/>
      <c r="TFR152" s="22"/>
      <c r="TFS152" s="22"/>
      <c r="TFT152" s="22"/>
      <c r="TFU152" s="22"/>
      <c r="TFV152" s="22"/>
      <c r="TFW152" s="22"/>
      <c r="TFX152" s="22"/>
      <c r="TFY152" s="22"/>
      <c r="TFZ152" s="22"/>
      <c r="TGA152" s="22"/>
      <c r="TGB152" s="22"/>
      <c r="TGC152" s="22"/>
      <c r="TGD152" s="22"/>
      <c r="TGE152" s="22"/>
      <c r="TGF152" s="22"/>
      <c r="TGG152" s="22"/>
      <c r="TGH152" s="22"/>
      <c r="TGI152" s="22"/>
      <c r="TGJ152" s="22"/>
      <c r="TGK152" s="22"/>
      <c r="TGL152" s="22"/>
      <c r="TGM152" s="22"/>
      <c r="TGN152" s="22"/>
      <c r="TGO152" s="22"/>
      <c r="TGP152" s="22"/>
      <c r="TGQ152" s="22"/>
      <c r="TGR152" s="22"/>
      <c r="TGS152" s="22"/>
      <c r="TGT152" s="22"/>
      <c r="TGU152" s="22"/>
      <c r="TGV152" s="22"/>
      <c r="TGW152" s="22"/>
      <c r="TGX152" s="22"/>
      <c r="TGY152" s="22"/>
      <c r="TGZ152" s="22"/>
      <c r="THA152" s="22"/>
      <c r="THB152" s="22"/>
      <c r="THC152" s="22"/>
      <c r="THD152" s="22"/>
      <c r="THE152" s="22"/>
      <c r="THF152" s="22"/>
      <c r="THG152" s="22"/>
      <c r="THH152" s="22"/>
      <c r="THI152" s="22"/>
      <c r="THJ152" s="22"/>
      <c r="THK152" s="22"/>
      <c r="THL152" s="22"/>
      <c r="THM152" s="22"/>
      <c r="THN152" s="22"/>
      <c r="THO152" s="22"/>
      <c r="THP152" s="22"/>
      <c r="THQ152" s="22"/>
      <c r="THR152" s="22"/>
      <c r="THS152" s="22"/>
      <c r="THT152" s="22"/>
      <c r="THU152" s="22"/>
      <c r="THV152" s="22"/>
      <c r="THW152" s="22"/>
      <c r="THX152" s="22"/>
      <c r="THY152" s="22"/>
      <c r="THZ152" s="22"/>
      <c r="TIA152" s="22"/>
      <c r="TIB152" s="22"/>
      <c r="TIC152" s="22"/>
      <c r="TID152" s="22"/>
      <c r="TIE152" s="22"/>
      <c r="TIF152" s="22"/>
      <c r="TIG152" s="22"/>
      <c r="TIH152" s="22"/>
      <c r="TII152" s="22"/>
      <c r="TIJ152" s="22"/>
      <c r="TIK152" s="22"/>
      <c r="TIL152" s="22"/>
      <c r="TIM152" s="22"/>
      <c r="TIN152" s="22"/>
      <c r="TIO152" s="22"/>
      <c r="TIP152" s="22"/>
      <c r="TIQ152" s="22"/>
      <c r="TIR152" s="22"/>
      <c r="TIS152" s="22"/>
      <c r="TIT152" s="22"/>
      <c r="TIU152" s="22"/>
      <c r="TIV152" s="22"/>
      <c r="TIW152" s="22"/>
      <c r="TIX152" s="22"/>
      <c r="TIY152" s="22"/>
      <c r="TIZ152" s="22"/>
      <c r="TJA152" s="22"/>
      <c r="TJB152" s="22"/>
      <c r="TJC152" s="22"/>
      <c r="TJD152" s="22"/>
      <c r="TJE152" s="22"/>
      <c r="TJF152" s="22"/>
      <c r="TJG152" s="22"/>
      <c r="TJH152" s="22"/>
      <c r="TJI152" s="22"/>
      <c r="TJJ152" s="22"/>
      <c r="TJK152" s="22"/>
      <c r="TJL152" s="22"/>
      <c r="TJM152" s="22"/>
      <c r="TJN152" s="22"/>
      <c r="TJO152" s="22"/>
      <c r="TJP152" s="22"/>
      <c r="TJQ152" s="22"/>
      <c r="TJR152" s="22"/>
      <c r="TJS152" s="22"/>
      <c r="TJT152" s="22"/>
      <c r="TJU152" s="22"/>
      <c r="TJV152" s="22"/>
      <c r="TJW152" s="22"/>
      <c r="TJX152" s="22"/>
      <c r="TJY152" s="22"/>
      <c r="TJZ152" s="22"/>
      <c r="TKA152" s="22"/>
      <c r="TKB152" s="22"/>
      <c r="TKC152" s="22"/>
      <c r="TKD152" s="22"/>
      <c r="TKE152" s="22"/>
      <c r="TKF152" s="22"/>
      <c r="TKG152" s="22"/>
      <c r="TKH152" s="22"/>
      <c r="TKI152" s="22"/>
      <c r="TKJ152" s="22"/>
      <c r="TKK152" s="22"/>
      <c r="TKL152" s="22"/>
      <c r="TKM152" s="22"/>
      <c r="TKN152" s="22"/>
      <c r="TKO152" s="22"/>
      <c r="TKP152" s="22"/>
      <c r="TKQ152" s="22"/>
      <c r="TKR152" s="22"/>
      <c r="TKS152" s="22"/>
      <c r="TKT152" s="22"/>
      <c r="TKU152" s="22"/>
      <c r="TKV152" s="22"/>
      <c r="TKW152" s="22"/>
      <c r="TKX152" s="22"/>
      <c r="TKY152" s="22"/>
      <c r="TKZ152" s="22"/>
      <c r="TLA152" s="22"/>
      <c r="TLB152" s="22"/>
      <c r="TLC152" s="22"/>
      <c r="TLD152" s="22"/>
      <c r="TLE152" s="22"/>
      <c r="TLF152" s="22"/>
      <c r="TLG152" s="22"/>
      <c r="TLH152" s="22"/>
      <c r="TLI152" s="22"/>
      <c r="TLJ152" s="22"/>
      <c r="TLK152" s="22"/>
      <c r="TLL152" s="22"/>
      <c r="TLM152" s="22"/>
      <c r="TLN152" s="22"/>
      <c r="TLO152" s="22"/>
      <c r="TLP152" s="22"/>
      <c r="TLQ152" s="22"/>
      <c r="TLR152" s="22"/>
      <c r="TLS152" s="22"/>
      <c r="TLT152" s="22"/>
      <c r="TLU152" s="22"/>
      <c r="TLV152" s="22"/>
      <c r="TLW152" s="22"/>
      <c r="TLX152" s="22"/>
      <c r="TLY152" s="22"/>
      <c r="TLZ152" s="22"/>
      <c r="TMA152" s="22"/>
      <c r="TMB152" s="22"/>
      <c r="TMC152" s="22"/>
      <c r="TMD152" s="22"/>
      <c r="TME152" s="22"/>
      <c r="TMF152" s="22"/>
      <c r="TMG152" s="22"/>
      <c r="TMH152" s="22"/>
      <c r="TMI152" s="22"/>
      <c r="TMJ152" s="22"/>
      <c r="TMK152" s="22"/>
      <c r="TML152" s="22"/>
      <c r="TMM152" s="22"/>
      <c r="TMN152" s="22"/>
      <c r="TMO152" s="22"/>
      <c r="TMP152" s="22"/>
      <c r="TMQ152" s="22"/>
      <c r="TMR152" s="22"/>
      <c r="TMS152" s="22"/>
      <c r="TMT152" s="22"/>
      <c r="TMU152" s="22"/>
      <c r="TMV152" s="22"/>
      <c r="TMW152" s="22"/>
      <c r="TMX152" s="22"/>
      <c r="TMY152" s="22"/>
      <c r="TMZ152" s="22"/>
      <c r="TNA152" s="22"/>
      <c r="TNB152" s="22"/>
      <c r="TNC152" s="22"/>
      <c r="TND152" s="22"/>
      <c r="TNE152" s="22"/>
      <c r="TNF152" s="22"/>
      <c r="TNG152" s="22"/>
      <c r="TNH152" s="22"/>
      <c r="TNI152" s="22"/>
      <c r="TNJ152" s="22"/>
      <c r="TNK152" s="22"/>
      <c r="TNL152" s="22"/>
      <c r="TNM152" s="22"/>
      <c r="TNN152" s="22"/>
      <c r="TNO152" s="22"/>
      <c r="TNP152" s="22"/>
      <c r="TNQ152" s="22"/>
      <c r="TNR152" s="22"/>
      <c r="TNS152" s="22"/>
      <c r="TNT152" s="22"/>
      <c r="TNU152" s="22"/>
      <c r="TNV152" s="22"/>
      <c r="TNW152" s="22"/>
      <c r="TNX152" s="22"/>
      <c r="TNY152" s="22"/>
      <c r="TNZ152" s="22"/>
      <c r="TOA152" s="22"/>
      <c r="TOB152" s="22"/>
      <c r="TOC152" s="22"/>
      <c r="TOD152" s="22"/>
      <c r="TOE152" s="22"/>
      <c r="TOF152" s="22"/>
      <c r="TOG152" s="22"/>
      <c r="TOH152" s="22"/>
      <c r="TOI152" s="22"/>
      <c r="TOJ152" s="22"/>
      <c r="TOK152" s="22"/>
      <c r="TOL152" s="22"/>
      <c r="TOM152" s="22"/>
      <c r="TON152" s="22"/>
      <c r="TOO152" s="22"/>
      <c r="TOP152" s="22"/>
      <c r="TOQ152" s="22"/>
      <c r="TOR152" s="22"/>
      <c r="TOS152" s="22"/>
      <c r="TOT152" s="22"/>
      <c r="TOU152" s="22"/>
      <c r="TOV152" s="22"/>
      <c r="TOW152" s="22"/>
      <c r="TOX152" s="22"/>
      <c r="TOY152" s="22"/>
      <c r="TOZ152" s="22"/>
      <c r="TPA152" s="22"/>
      <c r="TPB152" s="22"/>
      <c r="TPC152" s="22"/>
      <c r="TPD152" s="22"/>
      <c r="TPE152" s="22"/>
      <c r="TPF152" s="22"/>
      <c r="TPG152" s="22"/>
      <c r="TPH152" s="22"/>
      <c r="TPI152" s="22"/>
      <c r="TPJ152" s="22"/>
      <c r="TPK152" s="22"/>
      <c r="TPL152" s="22"/>
      <c r="TPM152" s="22"/>
      <c r="TPN152" s="22"/>
      <c r="TPO152" s="22"/>
      <c r="TPP152" s="22"/>
      <c r="TPQ152" s="22"/>
      <c r="TPR152" s="22"/>
      <c r="TPS152" s="22"/>
      <c r="TPT152" s="22"/>
      <c r="TPU152" s="22"/>
      <c r="TPV152" s="22"/>
      <c r="TPW152" s="22"/>
      <c r="TPX152" s="22"/>
      <c r="TPY152" s="22"/>
      <c r="TPZ152" s="22"/>
      <c r="TQA152" s="22"/>
      <c r="TQB152" s="22"/>
      <c r="TQC152" s="22"/>
      <c r="TQD152" s="22"/>
      <c r="TQE152" s="22"/>
      <c r="TQF152" s="22"/>
      <c r="TQG152" s="22"/>
      <c r="TQH152" s="22"/>
      <c r="TQI152" s="22"/>
      <c r="TQJ152" s="22"/>
      <c r="TQK152" s="22"/>
      <c r="TQL152" s="22"/>
      <c r="TQM152" s="22"/>
      <c r="TQN152" s="22"/>
      <c r="TQO152" s="22"/>
      <c r="TQP152" s="22"/>
      <c r="TQQ152" s="22"/>
      <c r="TQR152" s="22"/>
      <c r="TQS152" s="22"/>
      <c r="TQT152" s="22"/>
      <c r="TQU152" s="22"/>
      <c r="TQV152" s="22"/>
      <c r="TQW152" s="22"/>
      <c r="TQX152" s="22"/>
      <c r="TQY152" s="22"/>
      <c r="TQZ152" s="22"/>
      <c r="TRA152" s="22"/>
      <c r="TRB152" s="22"/>
      <c r="TRC152" s="22"/>
      <c r="TRD152" s="22"/>
      <c r="TRE152" s="22"/>
      <c r="TRF152" s="22"/>
      <c r="TRG152" s="22"/>
      <c r="TRH152" s="22"/>
      <c r="TRI152" s="22"/>
      <c r="TRJ152" s="22"/>
      <c r="TRK152" s="22"/>
      <c r="TRL152" s="22"/>
      <c r="TRM152" s="22"/>
      <c r="TRN152" s="22"/>
      <c r="TRO152" s="22"/>
      <c r="TRP152" s="22"/>
      <c r="TRQ152" s="22"/>
      <c r="TRR152" s="22"/>
      <c r="TRS152" s="22"/>
      <c r="TRT152" s="22"/>
      <c r="TRU152" s="22"/>
      <c r="TRV152" s="22"/>
      <c r="TRW152" s="22"/>
      <c r="TRX152" s="22"/>
      <c r="TRY152" s="22"/>
      <c r="TRZ152" s="22"/>
      <c r="TSA152" s="22"/>
      <c r="TSB152" s="22"/>
      <c r="TSC152" s="22"/>
      <c r="TSD152" s="22"/>
      <c r="TSE152" s="22"/>
      <c r="TSF152" s="22"/>
      <c r="TSG152" s="22"/>
      <c r="TSH152" s="22"/>
      <c r="TSI152" s="22"/>
      <c r="TSJ152" s="22"/>
      <c r="TSK152" s="22"/>
      <c r="TSL152" s="22"/>
      <c r="TSM152" s="22"/>
      <c r="TSN152" s="22"/>
      <c r="TSO152" s="22"/>
      <c r="TSP152" s="22"/>
      <c r="TSQ152" s="22"/>
      <c r="TSR152" s="22"/>
      <c r="TSS152" s="22"/>
      <c r="TST152" s="22"/>
      <c r="TSU152" s="22"/>
      <c r="TSV152" s="22"/>
      <c r="TSW152" s="22"/>
      <c r="TSX152" s="22"/>
      <c r="TSY152" s="22"/>
      <c r="TSZ152" s="22"/>
      <c r="TTA152" s="22"/>
      <c r="TTB152" s="22"/>
      <c r="TTC152" s="22"/>
      <c r="TTD152" s="22"/>
      <c r="TTE152" s="22"/>
      <c r="TTF152" s="22"/>
      <c r="TTG152" s="22"/>
      <c r="TTH152" s="22"/>
      <c r="TTI152" s="22"/>
      <c r="TTJ152" s="22"/>
      <c r="TTK152" s="22"/>
      <c r="TTL152" s="22"/>
      <c r="TTM152" s="22"/>
      <c r="TTN152" s="22"/>
      <c r="TTO152" s="22"/>
      <c r="TTP152" s="22"/>
      <c r="TTQ152" s="22"/>
      <c r="TTR152" s="22"/>
      <c r="TTS152" s="22"/>
      <c r="TTT152" s="22"/>
      <c r="TTU152" s="22"/>
      <c r="TTV152" s="22"/>
      <c r="TTW152" s="22"/>
      <c r="TTX152" s="22"/>
      <c r="TTY152" s="22"/>
      <c r="TTZ152" s="22"/>
      <c r="TUA152" s="22"/>
      <c r="TUB152" s="22"/>
      <c r="TUC152" s="22"/>
      <c r="TUD152" s="22"/>
      <c r="TUE152" s="22"/>
      <c r="TUF152" s="22"/>
      <c r="TUG152" s="22"/>
      <c r="TUH152" s="22"/>
      <c r="TUI152" s="22"/>
      <c r="TUJ152" s="22"/>
      <c r="TUK152" s="22"/>
      <c r="TUL152" s="22"/>
      <c r="TUM152" s="22"/>
      <c r="TUN152" s="22"/>
      <c r="TUO152" s="22"/>
      <c r="TUP152" s="22"/>
      <c r="TUQ152" s="22"/>
      <c r="TUR152" s="22"/>
      <c r="TUS152" s="22"/>
      <c r="TUT152" s="22"/>
      <c r="TUU152" s="22"/>
      <c r="TUV152" s="22"/>
      <c r="TUW152" s="22"/>
      <c r="TUX152" s="22"/>
      <c r="TUY152" s="22"/>
      <c r="TUZ152" s="22"/>
      <c r="TVA152" s="22"/>
      <c r="TVB152" s="22"/>
      <c r="TVC152" s="22"/>
      <c r="TVD152" s="22"/>
      <c r="TVE152" s="22"/>
      <c r="TVF152" s="22"/>
      <c r="TVG152" s="22"/>
      <c r="TVH152" s="22"/>
      <c r="TVI152" s="22"/>
      <c r="TVJ152" s="22"/>
      <c r="TVK152" s="22"/>
      <c r="TVL152" s="22"/>
      <c r="TVM152" s="22"/>
      <c r="TVN152" s="22"/>
      <c r="TVO152" s="22"/>
      <c r="TVP152" s="22"/>
      <c r="TVQ152" s="22"/>
      <c r="TVR152" s="22"/>
      <c r="TVS152" s="22"/>
      <c r="TVT152" s="22"/>
      <c r="TVU152" s="22"/>
      <c r="TVV152" s="22"/>
      <c r="TVW152" s="22"/>
      <c r="TVX152" s="22"/>
      <c r="TVY152" s="22"/>
      <c r="TVZ152" s="22"/>
      <c r="TWA152" s="22"/>
      <c r="TWB152" s="22"/>
      <c r="TWC152" s="22"/>
      <c r="TWD152" s="22"/>
      <c r="TWE152" s="22"/>
      <c r="TWF152" s="22"/>
      <c r="TWG152" s="22"/>
      <c r="TWH152" s="22"/>
      <c r="TWI152" s="22"/>
      <c r="TWJ152" s="22"/>
      <c r="TWK152" s="22"/>
      <c r="TWL152" s="22"/>
      <c r="TWM152" s="22"/>
      <c r="TWN152" s="22"/>
      <c r="TWO152" s="22"/>
      <c r="TWP152" s="22"/>
      <c r="TWQ152" s="22"/>
      <c r="TWR152" s="22"/>
      <c r="TWS152" s="22"/>
      <c r="TWT152" s="22"/>
      <c r="TWU152" s="22"/>
      <c r="TWV152" s="22"/>
      <c r="TWW152" s="22"/>
      <c r="TWX152" s="22"/>
      <c r="TWY152" s="22"/>
      <c r="TWZ152" s="22"/>
      <c r="TXA152" s="22"/>
      <c r="TXB152" s="22"/>
      <c r="TXC152" s="22"/>
      <c r="TXD152" s="22"/>
      <c r="TXE152" s="22"/>
      <c r="TXF152" s="22"/>
      <c r="TXG152" s="22"/>
      <c r="TXH152" s="22"/>
      <c r="TXI152" s="22"/>
      <c r="TXJ152" s="22"/>
      <c r="TXK152" s="22"/>
      <c r="TXL152" s="22"/>
      <c r="TXM152" s="22"/>
      <c r="TXN152" s="22"/>
      <c r="TXO152" s="22"/>
      <c r="TXP152" s="22"/>
      <c r="TXQ152" s="22"/>
      <c r="TXR152" s="22"/>
      <c r="TXS152" s="22"/>
      <c r="TXT152" s="22"/>
      <c r="TXU152" s="22"/>
      <c r="TXV152" s="22"/>
      <c r="TXW152" s="22"/>
      <c r="TXX152" s="22"/>
      <c r="TXY152" s="22"/>
      <c r="TXZ152" s="22"/>
      <c r="TYA152" s="22"/>
      <c r="TYB152" s="22"/>
      <c r="TYC152" s="22"/>
      <c r="TYD152" s="22"/>
      <c r="TYE152" s="22"/>
      <c r="TYF152" s="22"/>
      <c r="TYG152" s="22"/>
      <c r="TYH152" s="22"/>
      <c r="TYI152" s="22"/>
      <c r="TYJ152" s="22"/>
      <c r="TYK152" s="22"/>
      <c r="TYL152" s="22"/>
      <c r="TYM152" s="22"/>
      <c r="TYN152" s="22"/>
      <c r="TYO152" s="22"/>
      <c r="TYP152" s="22"/>
      <c r="TYQ152" s="22"/>
      <c r="TYR152" s="22"/>
      <c r="TYS152" s="22"/>
      <c r="TYT152" s="22"/>
      <c r="TYU152" s="22"/>
      <c r="TYV152" s="22"/>
      <c r="TYW152" s="22"/>
      <c r="TYX152" s="22"/>
      <c r="TYY152" s="22"/>
      <c r="TYZ152" s="22"/>
      <c r="TZA152" s="22"/>
      <c r="TZB152" s="22"/>
      <c r="TZC152" s="22"/>
      <c r="TZD152" s="22"/>
      <c r="TZE152" s="22"/>
      <c r="TZF152" s="22"/>
      <c r="TZG152" s="22"/>
      <c r="TZH152" s="22"/>
      <c r="TZI152" s="22"/>
      <c r="TZJ152" s="22"/>
      <c r="TZK152" s="22"/>
      <c r="TZL152" s="22"/>
      <c r="TZM152" s="22"/>
      <c r="TZN152" s="22"/>
      <c r="TZO152" s="22"/>
      <c r="TZP152" s="22"/>
      <c r="TZQ152" s="22"/>
      <c r="TZR152" s="22"/>
      <c r="TZS152" s="22"/>
      <c r="TZT152" s="22"/>
      <c r="TZU152" s="22"/>
      <c r="TZV152" s="22"/>
      <c r="TZW152" s="22"/>
      <c r="TZX152" s="22"/>
      <c r="TZY152" s="22"/>
      <c r="TZZ152" s="22"/>
      <c r="UAA152" s="22"/>
      <c r="UAB152" s="22"/>
      <c r="UAC152" s="22"/>
      <c r="UAD152" s="22"/>
      <c r="UAE152" s="22"/>
      <c r="UAF152" s="22"/>
      <c r="UAG152" s="22"/>
      <c r="UAH152" s="22"/>
      <c r="UAI152" s="22"/>
      <c r="UAJ152" s="22"/>
      <c r="UAK152" s="22"/>
      <c r="UAL152" s="22"/>
      <c r="UAM152" s="22"/>
      <c r="UAN152" s="22"/>
      <c r="UAO152" s="22"/>
      <c r="UAP152" s="22"/>
      <c r="UAQ152" s="22"/>
      <c r="UAR152" s="22"/>
      <c r="UAS152" s="22"/>
      <c r="UAT152" s="22"/>
      <c r="UAU152" s="22"/>
      <c r="UAV152" s="22"/>
      <c r="UAW152" s="22"/>
      <c r="UAX152" s="22"/>
      <c r="UAY152" s="22"/>
      <c r="UAZ152" s="22"/>
      <c r="UBA152" s="22"/>
      <c r="UBB152" s="22"/>
      <c r="UBC152" s="22"/>
      <c r="UBD152" s="22"/>
      <c r="UBE152" s="22"/>
      <c r="UBF152" s="22"/>
      <c r="UBG152" s="22"/>
      <c r="UBH152" s="22"/>
      <c r="UBI152" s="22"/>
      <c r="UBJ152" s="22"/>
      <c r="UBK152" s="22"/>
      <c r="UBL152" s="22"/>
      <c r="UBM152" s="22"/>
      <c r="UBN152" s="22"/>
      <c r="UBO152" s="22"/>
      <c r="UBP152" s="22"/>
      <c r="UBQ152" s="22"/>
      <c r="UBR152" s="22"/>
      <c r="UBS152" s="22"/>
      <c r="UBT152" s="22"/>
      <c r="UBU152" s="22"/>
      <c r="UBV152" s="22"/>
      <c r="UBW152" s="22"/>
      <c r="UBX152" s="22"/>
      <c r="UBY152" s="22"/>
      <c r="UBZ152" s="22"/>
      <c r="UCA152" s="22"/>
      <c r="UCB152" s="22"/>
      <c r="UCC152" s="22"/>
      <c r="UCD152" s="22"/>
      <c r="UCE152" s="22"/>
      <c r="UCF152" s="22"/>
      <c r="UCG152" s="22"/>
      <c r="UCH152" s="22"/>
      <c r="UCI152" s="22"/>
      <c r="UCJ152" s="22"/>
      <c r="UCK152" s="22"/>
      <c r="UCL152" s="22"/>
      <c r="UCM152" s="22"/>
      <c r="UCN152" s="22"/>
      <c r="UCO152" s="22"/>
      <c r="UCP152" s="22"/>
      <c r="UCQ152" s="22"/>
      <c r="UCR152" s="22"/>
      <c r="UCS152" s="22"/>
      <c r="UCT152" s="22"/>
      <c r="UCU152" s="22"/>
      <c r="UCV152" s="22"/>
      <c r="UCW152" s="22"/>
      <c r="UCX152" s="22"/>
      <c r="UCY152" s="22"/>
      <c r="UCZ152" s="22"/>
      <c r="UDA152" s="22"/>
      <c r="UDB152" s="22"/>
      <c r="UDC152" s="22"/>
      <c r="UDD152" s="22"/>
      <c r="UDE152" s="22"/>
      <c r="UDF152" s="22"/>
      <c r="UDG152" s="22"/>
      <c r="UDH152" s="22"/>
      <c r="UDI152" s="22"/>
      <c r="UDJ152" s="22"/>
      <c r="UDK152" s="22"/>
      <c r="UDL152" s="22"/>
      <c r="UDM152" s="22"/>
      <c r="UDN152" s="22"/>
      <c r="UDO152" s="22"/>
      <c r="UDP152" s="22"/>
      <c r="UDQ152" s="22"/>
      <c r="UDR152" s="22"/>
      <c r="UDS152" s="22"/>
      <c r="UDT152" s="22"/>
      <c r="UDU152" s="22"/>
      <c r="UDV152" s="22"/>
      <c r="UDW152" s="22"/>
      <c r="UDX152" s="22"/>
      <c r="UDY152" s="22"/>
      <c r="UDZ152" s="22"/>
      <c r="UEA152" s="22"/>
      <c r="UEB152" s="22"/>
      <c r="UEC152" s="22"/>
      <c r="UED152" s="22"/>
      <c r="UEE152" s="22"/>
      <c r="UEF152" s="22"/>
      <c r="UEG152" s="22"/>
      <c r="UEH152" s="22"/>
      <c r="UEI152" s="22"/>
      <c r="UEJ152" s="22"/>
      <c r="UEK152" s="22"/>
      <c r="UEL152" s="22"/>
      <c r="UEM152" s="22"/>
      <c r="UEN152" s="22"/>
      <c r="UEO152" s="22"/>
      <c r="UEP152" s="22"/>
      <c r="UEQ152" s="22"/>
      <c r="UER152" s="22"/>
      <c r="UES152" s="22"/>
      <c r="UET152" s="22"/>
      <c r="UEU152" s="22"/>
      <c r="UEV152" s="22"/>
      <c r="UEW152" s="22"/>
      <c r="UEX152" s="22"/>
      <c r="UEY152" s="22"/>
      <c r="UEZ152" s="22"/>
      <c r="UFA152" s="22"/>
      <c r="UFB152" s="22"/>
      <c r="UFC152" s="22"/>
      <c r="UFD152" s="22"/>
      <c r="UFE152" s="22"/>
      <c r="UFF152" s="22"/>
      <c r="UFG152" s="22"/>
      <c r="UFH152" s="22"/>
      <c r="UFI152" s="22"/>
      <c r="UFJ152" s="22"/>
      <c r="UFK152" s="22"/>
      <c r="UFL152" s="22"/>
      <c r="UFM152" s="22"/>
      <c r="UFN152" s="22"/>
      <c r="UFO152" s="22"/>
      <c r="UFP152" s="22"/>
      <c r="UFQ152" s="22"/>
      <c r="UFR152" s="22"/>
      <c r="UFS152" s="22"/>
      <c r="UFT152" s="22"/>
      <c r="UFU152" s="22"/>
      <c r="UFV152" s="22"/>
      <c r="UFW152" s="22"/>
      <c r="UFX152" s="22"/>
      <c r="UFY152" s="22"/>
      <c r="UFZ152" s="22"/>
      <c r="UGA152" s="22"/>
      <c r="UGB152" s="22"/>
      <c r="UGC152" s="22"/>
      <c r="UGD152" s="22"/>
      <c r="UGE152" s="22"/>
      <c r="UGF152" s="22"/>
      <c r="UGG152" s="22"/>
      <c r="UGH152" s="22"/>
      <c r="UGI152" s="22"/>
      <c r="UGJ152" s="22"/>
      <c r="UGK152" s="22"/>
      <c r="UGL152" s="22"/>
      <c r="UGM152" s="22"/>
      <c r="UGN152" s="22"/>
      <c r="UGO152" s="22"/>
      <c r="UGP152" s="22"/>
      <c r="UGQ152" s="22"/>
      <c r="UGR152" s="22"/>
      <c r="UGS152" s="22"/>
      <c r="UGT152" s="22"/>
      <c r="UGU152" s="22"/>
      <c r="UGV152" s="22"/>
      <c r="UGW152" s="22"/>
      <c r="UGX152" s="22"/>
      <c r="UGY152" s="22"/>
      <c r="UGZ152" s="22"/>
      <c r="UHA152" s="22"/>
      <c r="UHB152" s="22"/>
      <c r="UHC152" s="22"/>
      <c r="UHD152" s="22"/>
      <c r="UHE152" s="22"/>
      <c r="UHF152" s="22"/>
      <c r="UHG152" s="22"/>
      <c r="UHH152" s="22"/>
      <c r="UHI152" s="22"/>
      <c r="UHJ152" s="22"/>
      <c r="UHK152" s="22"/>
      <c r="UHL152" s="22"/>
      <c r="UHM152" s="22"/>
      <c r="UHN152" s="22"/>
      <c r="UHO152" s="22"/>
      <c r="UHP152" s="22"/>
      <c r="UHQ152" s="22"/>
      <c r="UHR152" s="22"/>
      <c r="UHS152" s="22"/>
      <c r="UHT152" s="22"/>
      <c r="UHU152" s="22"/>
      <c r="UHV152" s="22"/>
      <c r="UHW152" s="22"/>
      <c r="UHX152" s="22"/>
      <c r="UHY152" s="22"/>
      <c r="UHZ152" s="22"/>
      <c r="UIA152" s="22"/>
      <c r="UIB152" s="22"/>
      <c r="UIC152" s="22"/>
      <c r="UID152" s="22"/>
      <c r="UIE152" s="22"/>
      <c r="UIF152" s="22"/>
      <c r="UIG152" s="22"/>
      <c r="UIH152" s="22"/>
      <c r="UII152" s="22"/>
      <c r="UIJ152" s="22"/>
      <c r="UIK152" s="22"/>
      <c r="UIL152" s="22"/>
      <c r="UIM152" s="22"/>
      <c r="UIN152" s="22"/>
      <c r="UIO152" s="22"/>
      <c r="UIP152" s="22"/>
      <c r="UIQ152" s="22"/>
      <c r="UIR152" s="22"/>
      <c r="UIS152" s="22"/>
      <c r="UIT152" s="22"/>
      <c r="UIU152" s="22"/>
      <c r="UIV152" s="22"/>
      <c r="UIW152" s="22"/>
      <c r="UIX152" s="22"/>
      <c r="UIY152" s="22"/>
      <c r="UIZ152" s="22"/>
      <c r="UJA152" s="22"/>
      <c r="UJB152" s="22"/>
      <c r="UJC152" s="22"/>
      <c r="UJD152" s="22"/>
      <c r="UJE152" s="22"/>
      <c r="UJF152" s="22"/>
      <c r="UJG152" s="22"/>
      <c r="UJH152" s="22"/>
      <c r="UJI152" s="22"/>
      <c r="UJJ152" s="22"/>
      <c r="UJK152" s="22"/>
      <c r="UJL152" s="22"/>
      <c r="UJM152" s="22"/>
      <c r="UJN152" s="22"/>
      <c r="UJO152" s="22"/>
      <c r="UJP152" s="22"/>
      <c r="UJQ152" s="22"/>
      <c r="UJR152" s="22"/>
      <c r="UJS152" s="22"/>
      <c r="UJT152" s="22"/>
      <c r="UJU152" s="22"/>
      <c r="UJV152" s="22"/>
      <c r="UJW152" s="22"/>
      <c r="UJX152" s="22"/>
      <c r="UJY152" s="22"/>
      <c r="UJZ152" s="22"/>
      <c r="UKA152" s="22"/>
      <c r="UKB152" s="22"/>
      <c r="UKC152" s="22"/>
      <c r="UKD152" s="22"/>
      <c r="UKE152" s="22"/>
      <c r="UKF152" s="22"/>
      <c r="UKG152" s="22"/>
      <c r="UKH152" s="22"/>
      <c r="UKI152" s="22"/>
      <c r="UKJ152" s="22"/>
      <c r="UKK152" s="22"/>
      <c r="UKL152" s="22"/>
      <c r="UKM152" s="22"/>
      <c r="UKN152" s="22"/>
      <c r="UKO152" s="22"/>
      <c r="UKP152" s="22"/>
      <c r="UKQ152" s="22"/>
      <c r="UKR152" s="22"/>
      <c r="UKS152" s="22"/>
      <c r="UKT152" s="22"/>
      <c r="UKU152" s="22"/>
      <c r="UKV152" s="22"/>
      <c r="UKW152" s="22"/>
      <c r="UKX152" s="22"/>
      <c r="UKY152" s="22"/>
      <c r="UKZ152" s="22"/>
      <c r="ULA152" s="22"/>
      <c r="ULB152" s="22"/>
      <c r="ULC152" s="22"/>
      <c r="ULD152" s="22"/>
      <c r="ULE152" s="22"/>
      <c r="ULF152" s="22"/>
      <c r="ULG152" s="22"/>
      <c r="ULH152" s="22"/>
      <c r="ULI152" s="22"/>
      <c r="ULJ152" s="22"/>
      <c r="ULK152" s="22"/>
      <c r="ULL152" s="22"/>
      <c r="ULM152" s="22"/>
      <c r="ULN152" s="22"/>
      <c r="ULO152" s="22"/>
      <c r="ULP152" s="22"/>
      <c r="ULQ152" s="22"/>
      <c r="ULR152" s="22"/>
      <c r="ULS152" s="22"/>
      <c r="ULT152" s="22"/>
      <c r="ULU152" s="22"/>
      <c r="ULV152" s="22"/>
      <c r="ULW152" s="22"/>
      <c r="ULX152" s="22"/>
      <c r="ULY152" s="22"/>
      <c r="ULZ152" s="22"/>
      <c r="UMA152" s="22"/>
      <c r="UMB152" s="22"/>
      <c r="UMC152" s="22"/>
      <c r="UMD152" s="22"/>
      <c r="UME152" s="22"/>
      <c r="UMF152" s="22"/>
      <c r="UMG152" s="22"/>
      <c r="UMH152" s="22"/>
      <c r="UMI152" s="22"/>
      <c r="UMJ152" s="22"/>
      <c r="UMK152" s="22"/>
      <c r="UML152" s="22"/>
      <c r="UMM152" s="22"/>
      <c r="UMN152" s="22"/>
      <c r="UMO152" s="22"/>
      <c r="UMP152" s="22"/>
      <c r="UMQ152" s="22"/>
      <c r="UMR152" s="22"/>
      <c r="UMS152" s="22"/>
      <c r="UMT152" s="22"/>
      <c r="UMU152" s="22"/>
      <c r="UMV152" s="22"/>
      <c r="UMW152" s="22"/>
      <c r="UMX152" s="22"/>
      <c r="UMY152" s="22"/>
      <c r="UMZ152" s="22"/>
      <c r="UNA152" s="22"/>
      <c r="UNB152" s="22"/>
      <c r="UNC152" s="22"/>
      <c r="UND152" s="22"/>
      <c r="UNE152" s="22"/>
      <c r="UNF152" s="22"/>
      <c r="UNG152" s="22"/>
      <c r="UNH152" s="22"/>
      <c r="UNI152" s="22"/>
      <c r="UNJ152" s="22"/>
      <c r="UNK152" s="22"/>
      <c r="UNL152" s="22"/>
      <c r="UNM152" s="22"/>
      <c r="UNN152" s="22"/>
      <c r="UNO152" s="22"/>
      <c r="UNP152" s="22"/>
      <c r="UNQ152" s="22"/>
      <c r="UNR152" s="22"/>
      <c r="UNS152" s="22"/>
      <c r="UNT152" s="22"/>
      <c r="UNU152" s="22"/>
      <c r="UNV152" s="22"/>
      <c r="UNW152" s="22"/>
      <c r="UNX152" s="22"/>
      <c r="UNY152" s="22"/>
      <c r="UNZ152" s="22"/>
      <c r="UOA152" s="22"/>
      <c r="UOB152" s="22"/>
      <c r="UOC152" s="22"/>
      <c r="UOD152" s="22"/>
      <c r="UOE152" s="22"/>
      <c r="UOF152" s="22"/>
      <c r="UOG152" s="22"/>
      <c r="UOH152" s="22"/>
      <c r="UOI152" s="22"/>
      <c r="UOJ152" s="22"/>
      <c r="UOK152" s="22"/>
      <c r="UOL152" s="22"/>
      <c r="UOM152" s="22"/>
      <c r="UON152" s="22"/>
      <c r="UOO152" s="22"/>
      <c r="UOP152" s="22"/>
      <c r="UOQ152" s="22"/>
      <c r="UOR152" s="22"/>
      <c r="UOS152" s="22"/>
      <c r="UOT152" s="22"/>
      <c r="UOU152" s="22"/>
      <c r="UOV152" s="22"/>
      <c r="UOW152" s="22"/>
      <c r="UOX152" s="22"/>
      <c r="UOY152" s="22"/>
      <c r="UOZ152" s="22"/>
      <c r="UPA152" s="22"/>
      <c r="UPB152" s="22"/>
      <c r="UPC152" s="22"/>
      <c r="UPD152" s="22"/>
      <c r="UPE152" s="22"/>
      <c r="UPF152" s="22"/>
      <c r="UPG152" s="22"/>
      <c r="UPH152" s="22"/>
      <c r="UPI152" s="22"/>
      <c r="UPJ152" s="22"/>
      <c r="UPK152" s="22"/>
      <c r="UPL152" s="22"/>
      <c r="UPM152" s="22"/>
      <c r="UPN152" s="22"/>
      <c r="UPO152" s="22"/>
      <c r="UPP152" s="22"/>
      <c r="UPQ152" s="22"/>
      <c r="UPR152" s="22"/>
      <c r="UPS152" s="22"/>
      <c r="UPT152" s="22"/>
      <c r="UPU152" s="22"/>
      <c r="UPV152" s="22"/>
      <c r="UPW152" s="22"/>
      <c r="UPX152" s="22"/>
      <c r="UPY152" s="22"/>
      <c r="UPZ152" s="22"/>
      <c r="UQA152" s="22"/>
      <c r="UQB152" s="22"/>
      <c r="UQC152" s="22"/>
      <c r="UQD152" s="22"/>
      <c r="UQE152" s="22"/>
      <c r="UQF152" s="22"/>
      <c r="UQG152" s="22"/>
      <c r="UQH152" s="22"/>
      <c r="UQI152" s="22"/>
      <c r="UQJ152" s="22"/>
      <c r="UQK152" s="22"/>
      <c r="UQL152" s="22"/>
      <c r="UQM152" s="22"/>
      <c r="UQN152" s="22"/>
      <c r="UQO152" s="22"/>
      <c r="UQP152" s="22"/>
      <c r="UQQ152" s="22"/>
      <c r="UQR152" s="22"/>
      <c r="UQS152" s="22"/>
      <c r="UQT152" s="22"/>
      <c r="UQU152" s="22"/>
      <c r="UQV152" s="22"/>
      <c r="UQW152" s="22"/>
      <c r="UQX152" s="22"/>
      <c r="UQY152" s="22"/>
      <c r="UQZ152" s="22"/>
      <c r="URA152" s="22"/>
      <c r="URB152" s="22"/>
      <c r="URC152" s="22"/>
      <c r="URD152" s="22"/>
      <c r="URE152" s="22"/>
      <c r="URF152" s="22"/>
      <c r="URG152" s="22"/>
      <c r="URH152" s="22"/>
      <c r="URI152" s="22"/>
      <c r="URJ152" s="22"/>
      <c r="URK152" s="22"/>
      <c r="URL152" s="22"/>
      <c r="URM152" s="22"/>
      <c r="URN152" s="22"/>
      <c r="URO152" s="22"/>
      <c r="URP152" s="22"/>
      <c r="URQ152" s="22"/>
      <c r="URR152" s="22"/>
      <c r="URS152" s="22"/>
      <c r="URT152" s="22"/>
      <c r="URU152" s="22"/>
      <c r="URV152" s="22"/>
      <c r="URW152" s="22"/>
      <c r="URX152" s="22"/>
      <c r="URY152" s="22"/>
      <c r="URZ152" s="22"/>
      <c r="USA152" s="22"/>
      <c r="USB152" s="22"/>
      <c r="USC152" s="22"/>
      <c r="USD152" s="22"/>
      <c r="USE152" s="22"/>
      <c r="USF152" s="22"/>
      <c r="USG152" s="22"/>
      <c r="USH152" s="22"/>
      <c r="USI152" s="22"/>
      <c r="USJ152" s="22"/>
      <c r="USK152" s="22"/>
      <c r="USL152" s="22"/>
      <c r="USM152" s="22"/>
      <c r="USN152" s="22"/>
      <c r="USO152" s="22"/>
      <c r="USP152" s="22"/>
      <c r="USQ152" s="22"/>
      <c r="USR152" s="22"/>
      <c r="USS152" s="22"/>
      <c r="UST152" s="22"/>
      <c r="USU152" s="22"/>
      <c r="USV152" s="22"/>
      <c r="USW152" s="22"/>
      <c r="USX152" s="22"/>
      <c r="USY152" s="22"/>
      <c r="USZ152" s="22"/>
      <c r="UTA152" s="22"/>
      <c r="UTB152" s="22"/>
      <c r="UTC152" s="22"/>
      <c r="UTD152" s="22"/>
      <c r="UTE152" s="22"/>
      <c r="UTF152" s="22"/>
      <c r="UTG152" s="22"/>
      <c r="UTH152" s="22"/>
      <c r="UTI152" s="22"/>
      <c r="UTJ152" s="22"/>
      <c r="UTK152" s="22"/>
      <c r="UTL152" s="22"/>
      <c r="UTM152" s="22"/>
      <c r="UTN152" s="22"/>
      <c r="UTO152" s="22"/>
      <c r="UTP152" s="22"/>
      <c r="UTQ152" s="22"/>
      <c r="UTR152" s="22"/>
      <c r="UTS152" s="22"/>
      <c r="UTT152" s="22"/>
      <c r="UTU152" s="22"/>
      <c r="UTV152" s="22"/>
      <c r="UTW152" s="22"/>
      <c r="UTX152" s="22"/>
      <c r="UTY152" s="22"/>
      <c r="UTZ152" s="22"/>
      <c r="UUA152" s="22"/>
      <c r="UUB152" s="22"/>
      <c r="UUC152" s="22"/>
      <c r="UUD152" s="22"/>
      <c r="UUE152" s="22"/>
      <c r="UUF152" s="22"/>
      <c r="UUG152" s="22"/>
      <c r="UUH152" s="22"/>
      <c r="UUI152" s="22"/>
      <c r="UUJ152" s="22"/>
      <c r="UUK152" s="22"/>
      <c r="UUL152" s="22"/>
      <c r="UUM152" s="22"/>
      <c r="UUN152" s="22"/>
      <c r="UUO152" s="22"/>
      <c r="UUP152" s="22"/>
      <c r="UUQ152" s="22"/>
      <c r="UUR152" s="22"/>
      <c r="UUS152" s="22"/>
      <c r="UUT152" s="22"/>
      <c r="UUU152" s="22"/>
      <c r="UUV152" s="22"/>
      <c r="UUW152" s="22"/>
      <c r="UUX152" s="22"/>
      <c r="UUY152" s="22"/>
      <c r="UUZ152" s="22"/>
      <c r="UVA152" s="22"/>
      <c r="UVB152" s="22"/>
      <c r="UVC152" s="22"/>
      <c r="UVD152" s="22"/>
      <c r="UVE152" s="22"/>
      <c r="UVF152" s="22"/>
      <c r="UVG152" s="22"/>
      <c r="UVH152" s="22"/>
      <c r="UVI152" s="22"/>
      <c r="UVJ152" s="22"/>
      <c r="UVK152" s="22"/>
      <c r="UVL152" s="22"/>
      <c r="UVM152" s="22"/>
      <c r="UVN152" s="22"/>
      <c r="UVO152" s="22"/>
      <c r="UVP152" s="22"/>
      <c r="UVQ152" s="22"/>
      <c r="UVR152" s="22"/>
      <c r="UVS152" s="22"/>
      <c r="UVT152" s="22"/>
      <c r="UVU152" s="22"/>
      <c r="UVV152" s="22"/>
      <c r="UVW152" s="22"/>
      <c r="UVX152" s="22"/>
      <c r="UVY152" s="22"/>
      <c r="UVZ152" s="22"/>
      <c r="UWA152" s="22"/>
      <c r="UWB152" s="22"/>
      <c r="UWC152" s="22"/>
      <c r="UWD152" s="22"/>
      <c r="UWE152" s="22"/>
      <c r="UWF152" s="22"/>
      <c r="UWG152" s="22"/>
      <c r="UWH152" s="22"/>
      <c r="UWI152" s="22"/>
      <c r="UWJ152" s="22"/>
      <c r="UWK152" s="22"/>
      <c r="UWL152" s="22"/>
      <c r="UWM152" s="22"/>
      <c r="UWN152" s="22"/>
      <c r="UWO152" s="22"/>
      <c r="UWP152" s="22"/>
      <c r="UWQ152" s="22"/>
      <c r="UWR152" s="22"/>
      <c r="UWS152" s="22"/>
      <c r="UWT152" s="22"/>
      <c r="UWU152" s="22"/>
      <c r="UWV152" s="22"/>
      <c r="UWW152" s="22"/>
      <c r="UWX152" s="22"/>
      <c r="UWY152" s="22"/>
      <c r="UWZ152" s="22"/>
      <c r="UXA152" s="22"/>
      <c r="UXB152" s="22"/>
      <c r="UXC152" s="22"/>
      <c r="UXD152" s="22"/>
      <c r="UXE152" s="22"/>
      <c r="UXF152" s="22"/>
      <c r="UXG152" s="22"/>
      <c r="UXH152" s="22"/>
      <c r="UXI152" s="22"/>
      <c r="UXJ152" s="22"/>
      <c r="UXK152" s="22"/>
      <c r="UXL152" s="22"/>
      <c r="UXM152" s="22"/>
      <c r="UXN152" s="22"/>
      <c r="UXO152" s="22"/>
      <c r="UXP152" s="22"/>
      <c r="UXQ152" s="22"/>
      <c r="UXR152" s="22"/>
      <c r="UXS152" s="22"/>
      <c r="UXT152" s="22"/>
      <c r="UXU152" s="22"/>
      <c r="UXV152" s="22"/>
      <c r="UXW152" s="22"/>
      <c r="UXX152" s="22"/>
      <c r="UXY152" s="22"/>
      <c r="UXZ152" s="22"/>
      <c r="UYA152" s="22"/>
      <c r="UYB152" s="22"/>
      <c r="UYC152" s="22"/>
      <c r="UYD152" s="22"/>
      <c r="UYE152" s="22"/>
      <c r="UYF152" s="22"/>
      <c r="UYG152" s="22"/>
      <c r="UYH152" s="22"/>
      <c r="UYI152" s="22"/>
      <c r="UYJ152" s="22"/>
      <c r="UYK152" s="22"/>
      <c r="UYL152" s="22"/>
      <c r="UYM152" s="22"/>
      <c r="UYN152" s="22"/>
      <c r="UYO152" s="22"/>
      <c r="UYP152" s="22"/>
      <c r="UYQ152" s="22"/>
      <c r="UYR152" s="22"/>
      <c r="UYS152" s="22"/>
      <c r="UYT152" s="22"/>
      <c r="UYU152" s="22"/>
      <c r="UYV152" s="22"/>
      <c r="UYW152" s="22"/>
      <c r="UYX152" s="22"/>
      <c r="UYY152" s="22"/>
      <c r="UYZ152" s="22"/>
      <c r="UZA152" s="22"/>
      <c r="UZB152" s="22"/>
      <c r="UZC152" s="22"/>
      <c r="UZD152" s="22"/>
      <c r="UZE152" s="22"/>
      <c r="UZF152" s="22"/>
      <c r="UZG152" s="22"/>
      <c r="UZH152" s="22"/>
      <c r="UZI152" s="22"/>
      <c r="UZJ152" s="22"/>
      <c r="UZK152" s="22"/>
      <c r="UZL152" s="22"/>
      <c r="UZM152" s="22"/>
      <c r="UZN152" s="22"/>
      <c r="UZO152" s="22"/>
      <c r="UZP152" s="22"/>
      <c r="UZQ152" s="22"/>
      <c r="UZR152" s="22"/>
      <c r="UZS152" s="22"/>
      <c r="UZT152" s="22"/>
      <c r="UZU152" s="22"/>
      <c r="UZV152" s="22"/>
      <c r="UZW152" s="22"/>
      <c r="UZX152" s="22"/>
      <c r="UZY152" s="22"/>
      <c r="UZZ152" s="22"/>
      <c r="VAA152" s="22"/>
      <c r="VAB152" s="22"/>
      <c r="VAC152" s="22"/>
      <c r="VAD152" s="22"/>
      <c r="VAE152" s="22"/>
      <c r="VAF152" s="22"/>
      <c r="VAG152" s="22"/>
      <c r="VAH152" s="22"/>
      <c r="VAI152" s="22"/>
      <c r="VAJ152" s="22"/>
      <c r="VAK152" s="22"/>
      <c r="VAL152" s="22"/>
      <c r="VAM152" s="22"/>
      <c r="VAN152" s="22"/>
      <c r="VAO152" s="22"/>
      <c r="VAP152" s="22"/>
      <c r="VAQ152" s="22"/>
      <c r="VAR152" s="22"/>
      <c r="VAS152" s="22"/>
      <c r="VAT152" s="22"/>
      <c r="VAU152" s="22"/>
      <c r="VAV152" s="22"/>
      <c r="VAW152" s="22"/>
      <c r="VAX152" s="22"/>
      <c r="VAY152" s="22"/>
      <c r="VAZ152" s="22"/>
      <c r="VBA152" s="22"/>
      <c r="VBB152" s="22"/>
      <c r="VBC152" s="22"/>
      <c r="VBD152" s="22"/>
      <c r="VBE152" s="22"/>
      <c r="VBF152" s="22"/>
      <c r="VBG152" s="22"/>
      <c r="VBH152" s="22"/>
      <c r="VBI152" s="22"/>
      <c r="VBJ152" s="22"/>
      <c r="VBK152" s="22"/>
      <c r="VBL152" s="22"/>
      <c r="VBM152" s="22"/>
      <c r="VBN152" s="22"/>
      <c r="VBO152" s="22"/>
      <c r="VBP152" s="22"/>
      <c r="VBQ152" s="22"/>
      <c r="VBR152" s="22"/>
      <c r="VBS152" s="22"/>
      <c r="VBT152" s="22"/>
      <c r="VBU152" s="22"/>
      <c r="VBV152" s="22"/>
      <c r="VBW152" s="22"/>
      <c r="VBX152" s="22"/>
      <c r="VBY152" s="22"/>
      <c r="VBZ152" s="22"/>
      <c r="VCA152" s="22"/>
      <c r="VCB152" s="22"/>
      <c r="VCC152" s="22"/>
      <c r="VCD152" s="22"/>
      <c r="VCE152" s="22"/>
      <c r="VCF152" s="22"/>
      <c r="VCG152" s="22"/>
      <c r="VCH152" s="22"/>
      <c r="VCI152" s="22"/>
      <c r="VCJ152" s="22"/>
      <c r="VCK152" s="22"/>
      <c r="VCL152" s="22"/>
      <c r="VCM152" s="22"/>
      <c r="VCN152" s="22"/>
      <c r="VCO152" s="22"/>
      <c r="VCP152" s="22"/>
      <c r="VCQ152" s="22"/>
      <c r="VCR152" s="22"/>
      <c r="VCS152" s="22"/>
      <c r="VCT152" s="22"/>
      <c r="VCU152" s="22"/>
      <c r="VCV152" s="22"/>
      <c r="VCW152" s="22"/>
      <c r="VCX152" s="22"/>
      <c r="VCY152" s="22"/>
      <c r="VCZ152" s="22"/>
      <c r="VDA152" s="22"/>
      <c r="VDB152" s="22"/>
      <c r="VDC152" s="22"/>
      <c r="VDD152" s="22"/>
      <c r="VDE152" s="22"/>
      <c r="VDF152" s="22"/>
      <c r="VDG152" s="22"/>
      <c r="VDH152" s="22"/>
      <c r="VDI152" s="22"/>
      <c r="VDJ152" s="22"/>
      <c r="VDK152" s="22"/>
      <c r="VDL152" s="22"/>
      <c r="VDM152" s="22"/>
      <c r="VDN152" s="22"/>
      <c r="VDO152" s="22"/>
      <c r="VDP152" s="22"/>
      <c r="VDQ152" s="22"/>
      <c r="VDR152" s="22"/>
      <c r="VDS152" s="22"/>
      <c r="VDT152" s="22"/>
      <c r="VDU152" s="22"/>
      <c r="VDV152" s="22"/>
      <c r="VDW152" s="22"/>
      <c r="VDX152" s="22"/>
      <c r="VDY152" s="22"/>
      <c r="VDZ152" s="22"/>
      <c r="VEA152" s="22"/>
      <c r="VEB152" s="22"/>
      <c r="VEC152" s="22"/>
      <c r="VED152" s="22"/>
      <c r="VEE152" s="22"/>
      <c r="VEF152" s="22"/>
      <c r="VEG152" s="22"/>
      <c r="VEH152" s="22"/>
      <c r="VEI152" s="22"/>
      <c r="VEJ152" s="22"/>
      <c r="VEK152" s="22"/>
      <c r="VEL152" s="22"/>
      <c r="VEM152" s="22"/>
      <c r="VEN152" s="22"/>
      <c r="VEO152" s="22"/>
      <c r="VEP152" s="22"/>
      <c r="VEQ152" s="22"/>
      <c r="VER152" s="22"/>
      <c r="VES152" s="22"/>
      <c r="VET152" s="22"/>
      <c r="VEU152" s="22"/>
      <c r="VEV152" s="22"/>
      <c r="VEW152" s="22"/>
      <c r="VEX152" s="22"/>
      <c r="VEY152" s="22"/>
      <c r="VEZ152" s="22"/>
      <c r="VFA152" s="22"/>
      <c r="VFB152" s="22"/>
      <c r="VFC152" s="22"/>
      <c r="VFD152" s="22"/>
      <c r="VFE152" s="22"/>
      <c r="VFF152" s="22"/>
      <c r="VFG152" s="22"/>
      <c r="VFH152" s="22"/>
      <c r="VFI152" s="22"/>
      <c r="VFJ152" s="22"/>
      <c r="VFK152" s="22"/>
      <c r="VFL152" s="22"/>
      <c r="VFM152" s="22"/>
      <c r="VFN152" s="22"/>
      <c r="VFO152" s="22"/>
      <c r="VFP152" s="22"/>
      <c r="VFQ152" s="22"/>
      <c r="VFR152" s="22"/>
      <c r="VFS152" s="22"/>
      <c r="VFT152" s="22"/>
      <c r="VFU152" s="22"/>
      <c r="VFV152" s="22"/>
      <c r="VFW152" s="22"/>
      <c r="VFX152" s="22"/>
      <c r="VFY152" s="22"/>
      <c r="VFZ152" s="22"/>
      <c r="VGA152" s="22"/>
      <c r="VGB152" s="22"/>
      <c r="VGC152" s="22"/>
      <c r="VGD152" s="22"/>
      <c r="VGE152" s="22"/>
      <c r="VGF152" s="22"/>
      <c r="VGG152" s="22"/>
      <c r="VGH152" s="22"/>
      <c r="VGI152" s="22"/>
      <c r="VGJ152" s="22"/>
      <c r="VGK152" s="22"/>
      <c r="VGL152" s="22"/>
      <c r="VGM152" s="22"/>
      <c r="VGN152" s="22"/>
      <c r="VGO152" s="22"/>
      <c r="VGP152" s="22"/>
      <c r="VGQ152" s="22"/>
      <c r="VGR152" s="22"/>
      <c r="VGS152" s="22"/>
      <c r="VGT152" s="22"/>
      <c r="VGU152" s="22"/>
      <c r="VGV152" s="22"/>
      <c r="VGW152" s="22"/>
      <c r="VGX152" s="22"/>
      <c r="VGY152" s="22"/>
      <c r="VGZ152" s="22"/>
      <c r="VHA152" s="22"/>
      <c r="VHB152" s="22"/>
      <c r="VHC152" s="22"/>
      <c r="VHD152" s="22"/>
      <c r="VHE152" s="22"/>
      <c r="VHF152" s="22"/>
      <c r="VHG152" s="22"/>
      <c r="VHH152" s="22"/>
      <c r="VHI152" s="22"/>
      <c r="VHJ152" s="22"/>
      <c r="VHK152" s="22"/>
      <c r="VHL152" s="22"/>
      <c r="VHM152" s="22"/>
      <c r="VHN152" s="22"/>
      <c r="VHO152" s="22"/>
      <c r="VHP152" s="22"/>
      <c r="VHQ152" s="22"/>
      <c r="VHR152" s="22"/>
      <c r="VHS152" s="22"/>
      <c r="VHT152" s="22"/>
      <c r="VHU152" s="22"/>
      <c r="VHV152" s="22"/>
      <c r="VHW152" s="22"/>
      <c r="VHX152" s="22"/>
      <c r="VHY152" s="22"/>
      <c r="VHZ152" s="22"/>
      <c r="VIA152" s="22"/>
      <c r="VIB152" s="22"/>
      <c r="VIC152" s="22"/>
      <c r="VID152" s="22"/>
      <c r="VIE152" s="22"/>
      <c r="VIF152" s="22"/>
      <c r="VIG152" s="22"/>
      <c r="VIH152" s="22"/>
      <c r="VII152" s="22"/>
      <c r="VIJ152" s="22"/>
      <c r="VIK152" s="22"/>
      <c r="VIL152" s="22"/>
      <c r="VIM152" s="22"/>
      <c r="VIN152" s="22"/>
      <c r="VIO152" s="22"/>
      <c r="VIP152" s="22"/>
      <c r="VIQ152" s="22"/>
      <c r="VIR152" s="22"/>
      <c r="VIS152" s="22"/>
      <c r="VIT152" s="22"/>
      <c r="VIU152" s="22"/>
      <c r="VIV152" s="22"/>
      <c r="VIW152" s="22"/>
      <c r="VIX152" s="22"/>
      <c r="VIY152" s="22"/>
      <c r="VIZ152" s="22"/>
      <c r="VJA152" s="22"/>
      <c r="VJB152" s="22"/>
      <c r="VJC152" s="22"/>
      <c r="VJD152" s="22"/>
      <c r="VJE152" s="22"/>
      <c r="VJF152" s="22"/>
      <c r="VJG152" s="22"/>
      <c r="VJH152" s="22"/>
      <c r="VJI152" s="22"/>
      <c r="VJJ152" s="22"/>
      <c r="VJK152" s="22"/>
      <c r="VJL152" s="22"/>
      <c r="VJM152" s="22"/>
      <c r="VJN152" s="22"/>
      <c r="VJO152" s="22"/>
      <c r="VJP152" s="22"/>
      <c r="VJQ152" s="22"/>
      <c r="VJR152" s="22"/>
      <c r="VJS152" s="22"/>
      <c r="VJT152" s="22"/>
      <c r="VJU152" s="22"/>
      <c r="VJV152" s="22"/>
      <c r="VJW152" s="22"/>
      <c r="VJX152" s="22"/>
      <c r="VJY152" s="22"/>
      <c r="VJZ152" s="22"/>
      <c r="VKA152" s="22"/>
      <c r="VKB152" s="22"/>
      <c r="VKC152" s="22"/>
      <c r="VKD152" s="22"/>
      <c r="VKE152" s="22"/>
      <c r="VKF152" s="22"/>
      <c r="VKG152" s="22"/>
      <c r="VKH152" s="22"/>
      <c r="VKI152" s="22"/>
      <c r="VKJ152" s="22"/>
      <c r="VKK152" s="22"/>
      <c r="VKL152" s="22"/>
      <c r="VKM152" s="22"/>
      <c r="VKN152" s="22"/>
      <c r="VKO152" s="22"/>
      <c r="VKP152" s="22"/>
      <c r="VKQ152" s="22"/>
      <c r="VKR152" s="22"/>
      <c r="VKS152" s="22"/>
      <c r="VKT152" s="22"/>
      <c r="VKU152" s="22"/>
      <c r="VKV152" s="22"/>
      <c r="VKW152" s="22"/>
      <c r="VKX152" s="22"/>
      <c r="VKY152" s="22"/>
      <c r="VKZ152" s="22"/>
      <c r="VLA152" s="22"/>
      <c r="VLB152" s="22"/>
      <c r="VLC152" s="22"/>
      <c r="VLD152" s="22"/>
      <c r="VLE152" s="22"/>
      <c r="VLF152" s="22"/>
      <c r="VLG152" s="22"/>
      <c r="VLH152" s="22"/>
      <c r="VLI152" s="22"/>
      <c r="VLJ152" s="22"/>
      <c r="VLK152" s="22"/>
      <c r="VLL152" s="22"/>
      <c r="VLM152" s="22"/>
      <c r="VLN152" s="22"/>
      <c r="VLO152" s="22"/>
      <c r="VLP152" s="22"/>
      <c r="VLQ152" s="22"/>
      <c r="VLR152" s="22"/>
      <c r="VLS152" s="22"/>
      <c r="VLT152" s="22"/>
      <c r="VLU152" s="22"/>
      <c r="VLV152" s="22"/>
      <c r="VLW152" s="22"/>
      <c r="VLX152" s="22"/>
      <c r="VLY152" s="22"/>
      <c r="VLZ152" s="22"/>
      <c r="VMA152" s="22"/>
      <c r="VMB152" s="22"/>
      <c r="VMC152" s="22"/>
      <c r="VMD152" s="22"/>
      <c r="VME152" s="22"/>
      <c r="VMF152" s="22"/>
      <c r="VMG152" s="22"/>
      <c r="VMH152" s="22"/>
      <c r="VMI152" s="22"/>
      <c r="VMJ152" s="22"/>
      <c r="VMK152" s="22"/>
      <c r="VML152" s="22"/>
      <c r="VMM152" s="22"/>
      <c r="VMN152" s="22"/>
      <c r="VMO152" s="22"/>
      <c r="VMP152" s="22"/>
      <c r="VMQ152" s="22"/>
      <c r="VMR152" s="22"/>
      <c r="VMS152" s="22"/>
      <c r="VMT152" s="22"/>
      <c r="VMU152" s="22"/>
      <c r="VMV152" s="22"/>
      <c r="VMW152" s="22"/>
      <c r="VMX152" s="22"/>
      <c r="VMY152" s="22"/>
      <c r="VMZ152" s="22"/>
      <c r="VNA152" s="22"/>
      <c r="VNB152" s="22"/>
      <c r="VNC152" s="22"/>
      <c r="VND152" s="22"/>
      <c r="VNE152" s="22"/>
      <c r="VNF152" s="22"/>
      <c r="VNG152" s="22"/>
      <c r="VNH152" s="22"/>
      <c r="VNI152" s="22"/>
      <c r="VNJ152" s="22"/>
      <c r="VNK152" s="22"/>
      <c r="VNL152" s="22"/>
      <c r="VNM152" s="22"/>
      <c r="VNN152" s="22"/>
      <c r="VNO152" s="22"/>
      <c r="VNP152" s="22"/>
      <c r="VNQ152" s="22"/>
      <c r="VNR152" s="22"/>
      <c r="VNS152" s="22"/>
      <c r="VNT152" s="22"/>
      <c r="VNU152" s="22"/>
      <c r="VNV152" s="22"/>
      <c r="VNW152" s="22"/>
      <c r="VNX152" s="22"/>
      <c r="VNY152" s="22"/>
      <c r="VNZ152" s="22"/>
      <c r="VOA152" s="22"/>
      <c r="VOB152" s="22"/>
      <c r="VOC152" s="22"/>
      <c r="VOD152" s="22"/>
      <c r="VOE152" s="22"/>
      <c r="VOF152" s="22"/>
      <c r="VOG152" s="22"/>
      <c r="VOH152" s="22"/>
      <c r="VOI152" s="22"/>
      <c r="VOJ152" s="22"/>
      <c r="VOK152" s="22"/>
      <c r="VOL152" s="22"/>
      <c r="VOM152" s="22"/>
      <c r="VON152" s="22"/>
      <c r="VOO152" s="22"/>
      <c r="VOP152" s="22"/>
      <c r="VOQ152" s="22"/>
      <c r="VOR152" s="22"/>
      <c r="VOS152" s="22"/>
      <c r="VOT152" s="22"/>
      <c r="VOU152" s="22"/>
      <c r="VOV152" s="22"/>
      <c r="VOW152" s="22"/>
      <c r="VOX152" s="22"/>
      <c r="VOY152" s="22"/>
      <c r="VOZ152" s="22"/>
      <c r="VPA152" s="22"/>
      <c r="VPB152" s="22"/>
      <c r="VPC152" s="22"/>
      <c r="VPD152" s="22"/>
      <c r="VPE152" s="22"/>
      <c r="VPF152" s="22"/>
      <c r="VPG152" s="22"/>
      <c r="VPH152" s="22"/>
      <c r="VPI152" s="22"/>
      <c r="VPJ152" s="22"/>
      <c r="VPK152" s="22"/>
      <c r="VPL152" s="22"/>
      <c r="VPM152" s="22"/>
      <c r="VPN152" s="22"/>
      <c r="VPO152" s="22"/>
      <c r="VPP152" s="22"/>
      <c r="VPQ152" s="22"/>
      <c r="VPR152" s="22"/>
      <c r="VPS152" s="22"/>
      <c r="VPT152" s="22"/>
      <c r="VPU152" s="22"/>
      <c r="VPV152" s="22"/>
      <c r="VPW152" s="22"/>
      <c r="VPX152" s="22"/>
      <c r="VPY152" s="22"/>
      <c r="VPZ152" s="22"/>
      <c r="VQA152" s="22"/>
      <c r="VQB152" s="22"/>
      <c r="VQC152" s="22"/>
      <c r="VQD152" s="22"/>
      <c r="VQE152" s="22"/>
      <c r="VQF152" s="22"/>
      <c r="VQG152" s="22"/>
      <c r="VQH152" s="22"/>
      <c r="VQI152" s="22"/>
      <c r="VQJ152" s="22"/>
      <c r="VQK152" s="22"/>
      <c r="VQL152" s="22"/>
      <c r="VQM152" s="22"/>
      <c r="VQN152" s="22"/>
      <c r="VQO152" s="22"/>
      <c r="VQP152" s="22"/>
      <c r="VQQ152" s="22"/>
      <c r="VQR152" s="22"/>
      <c r="VQS152" s="22"/>
      <c r="VQT152" s="22"/>
      <c r="VQU152" s="22"/>
      <c r="VQV152" s="22"/>
      <c r="VQW152" s="22"/>
      <c r="VQX152" s="22"/>
      <c r="VQY152" s="22"/>
      <c r="VQZ152" s="22"/>
      <c r="VRA152" s="22"/>
      <c r="VRB152" s="22"/>
      <c r="VRC152" s="22"/>
      <c r="VRD152" s="22"/>
      <c r="VRE152" s="22"/>
      <c r="VRF152" s="22"/>
      <c r="VRG152" s="22"/>
      <c r="VRH152" s="22"/>
      <c r="VRI152" s="22"/>
      <c r="VRJ152" s="22"/>
      <c r="VRK152" s="22"/>
      <c r="VRL152" s="22"/>
      <c r="VRM152" s="22"/>
      <c r="VRN152" s="22"/>
      <c r="VRO152" s="22"/>
      <c r="VRP152" s="22"/>
      <c r="VRQ152" s="22"/>
      <c r="VRR152" s="22"/>
      <c r="VRS152" s="22"/>
      <c r="VRT152" s="22"/>
      <c r="VRU152" s="22"/>
      <c r="VRV152" s="22"/>
      <c r="VRW152" s="22"/>
      <c r="VRX152" s="22"/>
      <c r="VRY152" s="22"/>
      <c r="VRZ152" s="22"/>
      <c r="VSA152" s="22"/>
      <c r="VSB152" s="22"/>
      <c r="VSC152" s="22"/>
      <c r="VSD152" s="22"/>
      <c r="VSE152" s="22"/>
      <c r="VSF152" s="22"/>
      <c r="VSG152" s="22"/>
      <c r="VSH152" s="22"/>
      <c r="VSI152" s="22"/>
      <c r="VSJ152" s="22"/>
      <c r="VSK152" s="22"/>
      <c r="VSL152" s="22"/>
      <c r="VSM152" s="22"/>
      <c r="VSN152" s="22"/>
      <c r="VSO152" s="22"/>
      <c r="VSP152" s="22"/>
      <c r="VSQ152" s="22"/>
      <c r="VSR152" s="22"/>
      <c r="VSS152" s="22"/>
      <c r="VST152" s="22"/>
      <c r="VSU152" s="22"/>
      <c r="VSV152" s="22"/>
      <c r="VSW152" s="22"/>
      <c r="VSX152" s="22"/>
      <c r="VSY152" s="22"/>
      <c r="VSZ152" s="22"/>
      <c r="VTA152" s="22"/>
      <c r="VTB152" s="22"/>
      <c r="VTC152" s="22"/>
      <c r="VTD152" s="22"/>
      <c r="VTE152" s="22"/>
      <c r="VTF152" s="22"/>
      <c r="VTG152" s="22"/>
      <c r="VTH152" s="22"/>
      <c r="VTI152" s="22"/>
      <c r="VTJ152" s="22"/>
      <c r="VTK152" s="22"/>
      <c r="VTL152" s="22"/>
      <c r="VTM152" s="22"/>
      <c r="VTN152" s="22"/>
      <c r="VTO152" s="22"/>
      <c r="VTP152" s="22"/>
      <c r="VTQ152" s="22"/>
      <c r="VTR152" s="22"/>
      <c r="VTS152" s="22"/>
      <c r="VTT152" s="22"/>
      <c r="VTU152" s="22"/>
      <c r="VTV152" s="22"/>
      <c r="VTW152" s="22"/>
      <c r="VTX152" s="22"/>
      <c r="VTY152" s="22"/>
      <c r="VTZ152" s="22"/>
      <c r="VUA152" s="22"/>
      <c r="VUB152" s="22"/>
      <c r="VUC152" s="22"/>
      <c r="VUD152" s="22"/>
      <c r="VUE152" s="22"/>
      <c r="VUF152" s="22"/>
      <c r="VUG152" s="22"/>
      <c r="VUH152" s="22"/>
      <c r="VUI152" s="22"/>
      <c r="VUJ152" s="22"/>
      <c r="VUK152" s="22"/>
      <c r="VUL152" s="22"/>
      <c r="VUM152" s="22"/>
      <c r="VUN152" s="22"/>
      <c r="VUO152" s="22"/>
      <c r="VUP152" s="22"/>
      <c r="VUQ152" s="22"/>
      <c r="VUR152" s="22"/>
      <c r="VUS152" s="22"/>
      <c r="VUT152" s="22"/>
      <c r="VUU152" s="22"/>
      <c r="VUV152" s="22"/>
      <c r="VUW152" s="22"/>
      <c r="VUX152" s="22"/>
      <c r="VUY152" s="22"/>
      <c r="VUZ152" s="22"/>
      <c r="VVA152" s="22"/>
      <c r="VVB152" s="22"/>
      <c r="VVC152" s="22"/>
      <c r="VVD152" s="22"/>
      <c r="VVE152" s="22"/>
      <c r="VVF152" s="22"/>
      <c r="VVG152" s="22"/>
      <c r="VVH152" s="22"/>
      <c r="VVI152" s="22"/>
      <c r="VVJ152" s="22"/>
      <c r="VVK152" s="22"/>
      <c r="VVL152" s="22"/>
      <c r="VVM152" s="22"/>
      <c r="VVN152" s="22"/>
      <c r="VVO152" s="22"/>
      <c r="VVP152" s="22"/>
      <c r="VVQ152" s="22"/>
      <c r="VVR152" s="22"/>
      <c r="VVS152" s="22"/>
      <c r="VVT152" s="22"/>
      <c r="VVU152" s="22"/>
      <c r="VVV152" s="22"/>
      <c r="VVW152" s="22"/>
      <c r="VVX152" s="22"/>
      <c r="VVY152" s="22"/>
      <c r="VVZ152" s="22"/>
      <c r="VWA152" s="22"/>
      <c r="VWB152" s="22"/>
      <c r="VWC152" s="22"/>
      <c r="VWD152" s="22"/>
      <c r="VWE152" s="22"/>
      <c r="VWF152" s="22"/>
      <c r="VWG152" s="22"/>
      <c r="VWH152" s="22"/>
      <c r="VWI152" s="22"/>
      <c r="VWJ152" s="22"/>
      <c r="VWK152" s="22"/>
      <c r="VWL152" s="22"/>
      <c r="VWM152" s="22"/>
      <c r="VWN152" s="22"/>
      <c r="VWO152" s="22"/>
      <c r="VWP152" s="22"/>
      <c r="VWQ152" s="22"/>
      <c r="VWR152" s="22"/>
      <c r="VWS152" s="22"/>
      <c r="VWT152" s="22"/>
      <c r="VWU152" s="22"/>
      <c r="VWV152" s="22"/>
      <c r="VWW152" s="22"/>
      <c r="VWX152" s="22"/>
      <c r="VWY152" s="22"/>
      <c r="VWZ152" s="22"/>
      <c r="VXA152" s="22"/>
      <c r="VXB152" s="22"/>
      <c r="VXC152" s="22"/>
      <c r="VXD152" s="22"/>
      <c r="VXE152" s="22"/>
      <c r="VXF152" s="22"/>
      <c r="VXG152" s="22"/>
      <c r="VXH152" s="22"/>
      <c r="VXI152" s="22"/>
      <c r="VXJ152" s="22"/>
      <c r="VXK152" s="22"/>
      <c r="VXL152" s="22"/>
      <c r="VXM152" s="22"/>
      <c r="VXN152" s="22"/>
      <c r="VXO152" s="22"/>
      <c r="VXP152" s="22"/>
      <c r="VXQ152" s="22"/>
      <c r="VXR152" s="22"/>
      <c r="VXS152" s="22"/>
      <c r="VXT152" s="22"/>
      <c r="VXU152" s="22"/>
      <c r="VXV152" s="22"/>
      <c r="VXW152" s="22"/>
      <c r="VXX152" s="22"/>
      <c r="VXY152" s="22"/>
      <c r="VXZ152" s="22"/>
      <c r="VYA152" s="22"/>
      <c r="VYB152" s="22"/>
      <c r="VYC152" s="22"/>
      <c r="VYD152" s="22"/>
      <c r="VYE152" s="22"/>
      <c r="VYF152" s="22"/>
      <c r="VYG152" s="22"/>
      <c r="VYH152" s="22"/>
      <c r="VYI152" s="22"/>
      <c r="VYJ152" s="22"/>
      <c r="VYK152" s="22"/>
      <c r="VYL152" s="22"/>
      <c r="VYM152" s="22"/>
      <c r="VYN152" s="22"/>
      <c r="VYO152" s="22"/>
      <c r="VYP152" s="22"/>
      <c r="VYQ152" s="22"/>
      <c r="VYR152" s="22"/>
      <c r="VYS152" s="22"/>
      <c r="VYT152" s="22"/>
      <c r="VYU152" s="22"/>
      <c r="VYV152" s="22"/>
      <c r="VYW152" s="22"/>
      <c r="VYX152" s="22"/>
      <c r="VYY152" s="22"/>
      <c r="VYZ152" s="22"/>
      <c r="VZA152" s="22"/>
      <c r="VZB152" s="22"/>
      <c r="VZC152" s="22"/>
      <c r="VZD152" s="22"/>
      <c r="VZE152" s="22"/>
      <c r="VZF152" s="22"/>
      <c r="VZG152" s="22"/>
      <c r="VZH152" s="22"/>
      <c r="VZI152" s="22"/>
      <c r="VZJ152" s="22"/>
      <c r="VZK152" s="22"/>
      <c r="VZL152" s="22"/>
      <c r="VZM152" s="22"/>
      <c r="VZN152" s="22"/>
      <c r="VZO152" s="22"/>
      <c r="VZP152" s="22"/>
      <c r="VZQ152" s="22"/>
      <c r="VZR152" s="22"/>
      <c r="VZS152" s="22"/>
      <c r="VZT152" s="22"/>
      <c r="VZU152" s="22"/>
      <c r="VZV152" s="22"/>
      <c r="VZW152" s="22"/>
      <c r="VZX152" s="22"/>
      <c r="VZY152" s="22"/>
      <c r="VZZ152" s="22"/>
      <c r="WAA152" s="22"/>
      <c r="WAB152" s="22"/>
      <c r="WAC152" s="22"/>
      <c r="WAD152" s="22"/>
      <c r="WAE152" s="22"/>
      <c r="WAF152" s="22"/>
      <c r="WAG152" s="22"/>
      <c r="WAH152" s="22"/>
      <c r="WAI152" s="22"/>
      <c r="WAJ152" s="22"/>
      <c r="WAK152" s="22"/>
      <c r="WAL152" s="22"/>
      <c r="WAM152" s="22"/>
      <c r="WAN152" s="22"/>
      <c r="WAO152" s="22"/>
      <c r="WAP152" s="22"/>
      <c r="WAQ152" s="22"/>
      <c r="WAR152" s="22"/>
      <c r="WAS152" s="22"/>
      <c r="WAT152" s="22"/>
      <c r="WAU152" s="22"/>
      <c r="WAV152" s="22"/>
      <c r="WAW152" s="22"/>
      <c r="WAX152" s="22"/>
      <c r="WAY152" s="22"/>
      <c r="WAZ152" s="22"/>
      <c r="WBA152" s="22"/>
      <c r="WBB152" s="22"/>
      <c r="WBC152" s="22"/>
      <c r="WBD152" s="22"/>
      <c r="WBE152" s="22"/>
      <c r="WBF152" s="22"/>
      <c r="WBG152" s="22"/>
      <c r="WBH152" s="22"/>
      <c r="WBI152" s="22"/>
      <c r="WBJ152" s="22"/>
      <c r="WBK152" s="22"/>
      <c r="WBL152" s="22"/>
      <c r="WBM152" s="22"/>
      <c r="WBN152" s="22"/>
      <c r="WBO152" s="22"/>
      <c r="WBP152" s="22"/>
      <c r="WBQ152" s="22"/>
      <c r="WBR152" s="22"/>
      <c r="WBS152" s="22"/>
      <c r="WBT152" s="22"/>
      <c r="WBU152" s="22"/>
      <c r="WBV152" s="22"/>
      <c r="WBW152" s="22"/>
      <c r="WBX152" s="22"/>
      <c r="WBY152" s="22"/>
      <c r="WBZ152" s="22"/>
      <c r="WCA152" s="22"/>
      <c r="WCB152" s="22"/>
      <c r="WCC152" s="22"/>
      <c r="WCD152" s="22"/>
      <c r="WCE152" s="22"/>
      <c r="WCF152" s="22"/>
      <c r="WCG152" s="22"/>
      <c r="WCH152" s="22"/>
      <c r="WCI152" s="22"/>
      <c r="WCJ152" s="22"/>
      <c r="WCK152" s="22"/>
      <c r="WCL152" s="22"/>
      <c r="WCM152" s="22"/>
      <c r="WCN152" s="22"/>
      <c r="WCO152" s="22"/>
      <c r="WCP152" s="22"/>
      <c r="WCQ152" s="22"/>
      <c r="WCR152" s="22"/>
      <c r="WCS152" s="22"/>
      <c r="WCT152" s="22"/>
      <c r="WCU152" s="22"/>
      <c r="WCV152" s="22"/>
      <c r="WCW152" s="22"/>
      <c r="WCX152" s="22"/>
      <c r="WCY152" s="22"/>
      <c r="WCZ152" s="22"/>
      <c r="WDA152" s="22"/>
      <c r="WDB152" s="22"/>
      <c r="WDC152" s="22"/>
      <c r="WDD152" s="22"/>
      <c r="WDE152" s="22"/>
      <c r="WDF152" s="22"/>
      <c r="WDG152" s="22"/>
      <c r="WDH152" s="22"/>
      <c r="WDI152" s="22"/>
      <c r="WDJ152" s="22"/>
      <c r="WDK152" s="22"/>
      <c r="WDL152" s="22"/>
      <c r="WDM152" s="22"/>
      <c r="WDN152" s="22"/>
      <c r="WDO152" s="22"/>
      <c r="WDP152" s="22"/>
      <c r="WDQ152" s="22"/>
      <c r="WDR152" s="22"/>
      <c r="WDS152" s="22"/>
      <c r="WDT152" s="22"/>
      <c r="WDU152" s="22"/>
      <c r="WDV152" s="22"/>
      <c r="WDW152" s="22"/>
      <c r="WDX152" s="22"/>
      <c r="WDY152" s="22"/>
      <c r="WDZ152" s="22"/>
      <c r="WEA152" s="22"/>
      <c r="WEB152" s="22"/>
      <c r="WEC152" s="22"/>
      <c r="WED152" s="22"/>
      <c r="WEE152" s="22"/>
      <c r="WEF152" s="22"/>
      <c r="WEG152" s="22"/>
      <c r="WEH152" s="22"/>
      <c r="WEI152" s="22"/>
      <c r="WEJ152" s="22"/>
      <c r="WEK152" s="22"/>
      <c r="WEL152" s="22"/>
      <c r="WEM152" s="22"/>
      <c r="WEN152" s="22"/>
      <c r="WEO152" s="22"/>
      <c r="WEP152" s="22"/>
      <c r="WEQ152" s="22"/>
      <c r="WER152" s="22"/>
      <c r="WES152" s="22"/>
      <c r="WET152" s="22"/>
      <c r="WEU152" s="22"/>
      <c r="WEV152" s="22"/>
      <c r="WEW152" s="22"/>
      <c r="WEX152" s="22"/>
      <c r="WEY152" s="22"/>
      <c r="WEZ152" s="22"/>
      <c r="WFA152" s="22"/>
      <c r="WFB152" s="22"/>
      <c r="WFC152" s="22"/>
      <c r="WFD152" s="22"/>
      <c r="WFE152" s="22"/>
      <c r="WFF152" s="22"/>
      <c r="WFG152" s="22"/>
      <c r="WFH152" s="22"/>
      <c r="WFI152" s="22"/>
      <c r="WFJ152" s="22"/>
      <c r="WFK152" s="22"/>
      <c r="WFL152" s="22"/>
      <c r="WFM152" s="22"/>
      <c r="WFN152" s="22"/>
      <c r="WFO152" s="22"/>
      <c r="WFP152" s="22"/>
      <c r="WFQ152" s="22"/>
      <c r="WFR152" s="22"/>
      <c r="WFS152" s="22"/>
      <c r="WFT152" s="22"/>
      <c r="WFU152" s="22"/>
      <c r="WFV152" s="22"/>
      <c r="WFW152" s="22"/>
      <c r="WFX152" s="22"/>
      <c r="WFY152" s="22"/>
      <c r="WFZ152" s="22"/>
      <c r="WGA152" s="22"/>
      <c r="WGB152" s="22"/>
      <c r="WGC152" s="22"/>
      <c r="WGD152" s="22"/>
      <c r="WGE152" s="22"/>
      <c r="WGF152" s="22"/>
      <c r="WGG152" s="22"/>
      <c r="WGH152" s="22"/>
      <c r="WGI152" s="22"/>
      <c r="WGJ152" s="22"/>
      <c r="WGK152" s="22"/>
      <c r="WGL152" s="22"/>
      <c r="WGM152" s="22"/>
      <c r="WGN152" s="22"/>
      <c r="WGO152" s="22"/>
      <c r="WGP152" s="22"/>
      <c r="WGQ152" s="22"/>
      <c r="WGR152" s="22"/>
      <c r="WGS152" s="22"/>
      <c r="WGT152" s="22"/>
      <c r="WGU152" s="22"/>
      <c r="WGV152" s="22"/>
      <c r="WGW152" s="22"/>
      <c r="WGX152" s="22"/>
      <c r="WGY152" s="22"/>
      <c r="WGZ152" s="22"/>
      <c r="WHA152" s="22"/>
      <c r="WHB152" s="22"/>
      <c r="WHC152" s="22"/>
      <c r="WHD152" s="22"/>
      <c r="WHE152" s="22"/>
      <c r="WHF152" s="22"/>
      <c r="WHG152" s="22"/>
      <c r="WHH152" s="22"/>
      <c r="WHI152" s="22"/>
      <c r="WHJ152" s="22"/>
      <c r="WHK152" s="22"/>
      <c r="WHL152" s="22"/>
      <c r="WHM152" s="22"/>
      <c r="WHN152" s="22"/>
      <c r="WHO152" s="22"/>
      <c r="WHP152" s="22"/>
      <c r="WHQ152" s="22"/>
      <c r="WHR152" s="22"/>
      <c r="WHS152" s="22"/>
      <c r="WHT152" s="22"/>
      <c r="WHU152" s="22"/>
      <c r="WHV152" s="22"/>
      <c r="WHW152" s="22"/>
      <c r="WHX152" s="22"/>
      <c r="WHY152" s="22"/>
      <c r="WHZ152" s="22"/>
      <c r="WIA152" s="22"/>
      <c r="WIB152" s="22"/>
      <c r="WIC152" s="22"/>
      <c r="WID152" s="22"/>
      <c r="WIE152" s="22"/>
      <c r="WIF152" s="22"/>
      <c r="WIG152" s="22"/>
      <c r="WIH152" s="22"/>
      <c r="WII152" s="22"/>
      <c r="WIJ152" s="22"/>
      <c r="WIK152" s="22"/>
      <c r="WIL152" s="22"/>
      <c r="WIM152" s="22"/>
      <c r="WIN152" s="22"/>
      <c r="WIO152" s="22"/>
      <c r="WIP152" s="22"/>
      <c r="WIQ152" s="22"/>
      <c r="WIR152" s="22"/>
      <c r="WIS152" s="22"/>
      <c r="WIT152" s="22"/>
      <c r="WIU152" s="22"/>
      <c r="WIV152" s="22"/>
      <c r="WIW152" s="22"/>
      <c r="WIX152" s="22"/>
      <c r="WIY152" s="22"/>
      <c r="WIZ152" s="22"/>
      <c r="WJA152" s="22"/>
      <c r="WJB152" s="22"/>
      <c r="WJC152" s="22"/>
      <c r="WJD152" s="22"/>
      <c r="WJE152" s="22"/>
      <c r="WJF152" s="22"/>
      <c r="WJG152" s="22"/>
      <c r="WJH152" s="22"/>
      <c r="WJI152" s="22"/>
      <c r="WJJ152" s="22"/>
      <c r="WJK152" s="22"/>
      <c r="WJL152" s="22"/>
      <c r="WJM152" s="22"/>
      <c r="WJN152" s="22"/>
      <c r="WJO152" s="22"/>
      <c r="WJP152" s="22"/>
      <c r="WJQ152" s="22"/>
      <c r="WJR152" s="22"/>
      <c r="WJS152" s="22"/>
      <c r="WJT152" s="22"/>
      <c r="WJU152" s="22"/>
      <c r="WJV152" s="22"/>
      <c r="WJW152" s="22"/>
      <c r="WJX152" s="22"/>
      <c r="WJY152" s="22"/>
      <c r="WJZ152" s="22"/>
      <c r="WKA152" s="22"/>
      <c r="WKB152" s="22"/>
      <c r="WKC152" s="22"/>
      <c r="WKD152" s="22"/>
      <c r="WKE152" s="22"/>
      <c r="WKF152" s="22"/>
      <c r="WKG152" s="22"/>
      <c r="WKH152" s="22"/>
      <c r="WKI152" s="22"/>
      <c r="WKJ152" s="22"/>
      <c r="WKK152" s="22"/>
      <c r="WKL152" s="22"/>
      <c r="WKM152" s="22"/>
      <c r="WKN152" s="22"/>
      <c r="WKO152" s="22"/>
      <c r="WKP152" s="22"/>
      <c r="WKQ152" s="22"/>
      <c r="WKR152" s="22"/>
      <c r="WKS152" s="22"/>
      <c r="WKT152" s="22"/>
      <c r="WKU152" s="22"/>
      <c r="WKV152" s="22"/>
      <c r="WKW152" s="22"/>
      <c r="WKX152" s="22"/>
      <c r="WKY152" s="22"/>
      <c r="WKZ152" s="22"/>
      <c r="WLA152" s="22"/>
      <c r="WLB152" s="22"/>
      <c r="WLC152" s="22"/>
      <c r="WLD152" s="22"/>
      <c r="WLE152" s="22"/>
      <c r="WLF152" s="22"/>
      <c r="WLG152" s="22"/>
      <c r="WLH152" s="22"/>
      <c r="WLI152" s="22"/>
      <c r="WLJ152" s="22"/>
      <c r="WLK152" s="22"/>
      <c r="WLL152" s="22"/>
      <c r="WLM152" s="22"/>
      <c r="WLN152" s="22"/>
      <c r="WLO152" s="22"/>
      <c r="WLP152" s="22"/>
      <c r="WLQ152" s="22"/>
      <c r="WLR152" s="22"/>
      <c r="WLS152" s="22"/>
      <c r="WLT152" s="22"/>
      <c r="WLU152" s="22"/>
      <c r="WLV152" s="22"/>
      <c r="WLW152" s="22"/>
      <c r="WLX152" s="22"/>
      <c r="WLY152" s="22"/>
      <c r="WLZ152" s="22"/>
      <c r="WMA152" s="22"/>
      <c r="WMB152" s="22"/>
      <c r="WMC152" s="22"/>
      <c r="WMD152" s="22"/>
      <c r="WME152" s="22"/>
      <c r="WMF152" s="22"/>
      <c r="WMG152" s="22"/>
      <c r="WMH152" s="22"/>
      <c r="WMI152" s="22"/>
      <c r="WMJ152" s="22"/>
      <c r="WMK152" s="22"/>
      <c r="WML152" s="22"/>
      <c r="WMM152" s="22"/>
      <c r="WMN152" s="22"/>
      <c r="WMO152" s="22"/>
      <c r="WMP152" s="22"/>
      <c r="WMQ152" s="22"/>
      <c r="WMR152" s="22"/>
      <c r="WMS152" s="22"/>
      <c r="WMT152" s="22"/>
      <c r="WMU152" s="22"/>
      <c r="WMV152" s="22"/>
      <c r="WMW152" s="22"/>
      <c r="WMX152" s="22"/>
      <c r="WMY152" s="22"/>
      <c r="WMZ152" s="22"/>
      <c r="WNA152" s="22"/>
      <c r="WNB152" s="22"/>
      <c r="WNC152" s="22"/>
      <c r="WND152" s="22"/>
      <c r="WNE152" s="22"/>
      <c r="WNF152" s="22"/>
      <c r="WNG152" s="22"/>
      <c r="WNH152" s="22"/>
      <c r="WNI152" s="22"/>
      <c r="WNJ152" s="22"/>
      <c r="WNK152" s="22"/>
      <c r="WNL152" s="22"/>
      <c r="WNM152" s="22"/>
      <c r="WNN152" s="22"/>
      <c r="WNO152" s="22"/>
      <c r="WNP152" s="22"/>
      <c r="WNQ152" s="22"/>
      <c r="WNR152" s="22"/>
      <c r="WNS152" s="22"/>
      <c r="WNT152" s="22"/>
      <c r="WNU152" s="22"/>
      <c r="WNV152" s="22"/>
      <c r="WNW152" s="22"/>
      <c r="WNX152" s="22"/>
      <c r="WNY152" s="22"/>
      <c r="WNZ152" s="22"/>
      <c r="WOA152" s="22"/>
      <c r="WOB152" s="22"/>
      <c r="WOC152" s="22"/>
      <c r="WOD152" s="22"/>
      <c r="WOE152" s="22"/>
      <c r="WOF152" s="22"/>
      <c r="WOG152" s="22"/>
      <c r="WOH152" s="22"/>
      <c r="WOI152" s="22"/>
      <c r="WOJ152" s="22"/>
      <c r="WOK152" s="22"/>
      <c r="WOL152" s="22"/>
      <c r="WOM152" s="22"/>
      <c r="WON152" s="22"/>
      <c r="WOO152" s="22"/>
      <c r="WOP152" s="22"/>
      <c r="WOQ152" s="22"/>
      <c r="WOR152" s="22"/>
      <c r="WOS152" s="22"/>
      <c r="WOT152" s="22"/>
      <c r="WOU152" s="22"/>
      <c r="WOV152" s="22"/>
      <c r="WOW152" s="22"/>
      <c r="WOX152" s="22"/>
      <c r="WOY152" s="22"/>
      <c r="WOZ152" s="22"/>
      <c r="WPA152" s="22"/>
      <c r="WPB152" s="22"/>
      <c r="WPC152" s="22"/>
      <c r="WPD152" s="22"/>
      <c r="WPE152" s="22"/>
      <c r="WPF152" s="22"/>
      <c r="WPG152" s="22"/>
      <c r="WPH152" s="22"/>
      <c r="WPI152" s="22"/>
      <c r="WPJ152" s="22"/>
      <c r="WPK152" s="22"/>
      <c r="WPL152" s="22"/>
      <c r="WPM152" s="22"/>
      <c r="WPN152" s="22"/>
      <c r="WPO152" s="22"/>
      <c r="WPP152" s="22"/>
      <c r="WPQ152" s="22"/>
      <c r="WPR152" s="22"/>
      <c r="WPS152" s="22"/>
      <c r="WPT152" s="22"/>
      <c r="WPU152" s="22"/>
      <c r="WPV152" s="22"/>
      <c r="WPW152" s="22"/>
      <c r="WPX152" s="22"/>
      <c r="WPY152" s="22"/>
      <c r="WPZ152" s="22"/>
      <c r="WQA152" s="22"/>
      <c r="WQB152" s="22"/>
      <c r="WQC152" s="22"/>
      <c r="WQD152" s="22"/>
      <c r="WQE152" s="22"/>
      <c r="WQF152" s="22"/>
      <c r="WQG152" s="22"/>
      <c r="WQH152" s="22"/>
      <c r="WQI152" s="22"/>
      <c r="WQJ152" s="22"/>
      <c r="WQK152" s="22"/>
      <c r="WQL152" s="22"/>
      <c r="WQM152" s="22"/>
      <c r="WQN152" s="22"/>
      <c r="WQO152" s="22"/>
      <c r="WQP152" s="22"/>
      <c r="WQQ152" s="22"/>
      <c r="WQR152" s="22"/>
      <c r="WQS152" s="22"/>
      <c r="WQT152" s="22"/>
      <c r="WQU152" s="22"/>
      <c r="WQV152" s="22"/>
      <c r="WQW152" s="22"/>
      <c r="WQX152" s="22"/>
      <c r="WQY152" s="22"/>
      <c r="WQZ152" s="22"/>
      <c r="WRA152" s="22"/>
      <c r="WRB152" s="22"/>
      <c r="WRC152" s="22"/>
      <c r="WRD152" s="22"/>
      <c r="WRE152" s="22"/>
      <c r="WRF152" s="22"/>
      <c r="WRG152" s="22"/>
      <c r="WRH152" s="22"/>
      <c r="WRI152" s="22"/>
      <c r="WRJ152" s="22"/>
      <c r="WRK152" s="22"/>
      <c r="WRL152" s="22"/>
      <c r="WRM152" s="22"/>
      <c r="WRN152" s="22"/>
      <c r="WRO152" s="22"/>
      <c r="WRP152" s="22"/>
      <c r="WRQ152" s="22"/>
      <c r="WRR152" s="22"/>
      <c r="WRS152" s="22"/>
      <c r="WRT152" s="22"/>
      <c r="WRU152" s="22"/>
      <c r="WRV152" s="22"/>
      <c r="WRW152" s="22"/>
      <c r="WRX152" s="22"/>
      <c r="WRY152" s="22"/>
      <c r="WRZ152" s="22"/>
      <c r="WSA152" s="22"/>
      <c r="WSB152" s="22"/>
      <c r="WSC152" s="22"/>
      <c r="WSD152" s="22"/>
      <c r="WSE152" s="22"/>
      <c r="WSF152" s="22"/>
      <c r="WSG152" s="22"/>
      <c r="WSH152" s="22"/>
      <c r="WSI152" s="22"/>
      <c r="WSJ152" s="22"/>
      <c r="WSK152" s="22"/>
      <c r="WSL152" s="22"/>
      <c r="WSM152" s="22"/>
      <c r="WSN152" s="22"/>
      <c r="WSO152" s="22"/>
      <c r="WSP152" s="22"/>
      <c r="WSQ152" s="22"/>
      <c r="WSR152" s="22"/>
      <c r="WSS152" s="22"/>
      <c r="WST152" s="22"/>
      <c r="WSU152" s="22"/>
      <c r="WSV152" s="22"/>
      <c r="WSW152" s="22"/>
      <c r="WSX152" s="22"/>
      <c r="WSY152" s="22"/>
      <c r="WSZ152" s="22"/>
      <c r="WTA152" s="22"/>
      <c r="WTB152" s="22"/>
      <c r="WTC152" s="22"/>
      <c r="WTD152" s="22"/>
      <c r="WTE152" s="22"/>
      <c r="WTF152" s="22"/>
      <c r="WTG152" s="22"/>
      <c r="WTH152" s="22"/>
      <c r="WTI152" s="22"/>
      <c r="WTJ152" s="22"/>
      <c r="WTK152" s="22"/>
      <c r="WTL152" s="22"/>
      <c r="WTM152" s="22"/>
      <c r="WTN152" s="22"/>
      <c r="WTO152" s="22"/>
      <c r="WTP152" s="22"/>
      <c r="WTQ152" s="22"/>
      <c r="WTR152" s="22"/>
      <c r="WTS152" s="22"/>
      <c r="WTT152" s="22"/>
      <c r="WTU152" s="22"/>
      <c r="WTV152" s="22"/>
      <c r="WTW152" s="22"/>
      <c r="WTX152" s="22"/>
      <c r="WTY152" s="22"/>
      <c r="WTZ152" s="22"/>
      <c r="WUA152" s="22"/>
      <c r="WUB152" s="22"/>
      <c r="WUC152" s="22"/>
      <c r="WUD152" s="22"/>
      <c r="WUE152" s="22"/>
      <c r="WUF152" s="22"/>
      <c r="WUG152" s="22"/>
      <c r="WUH152" s="22"/>
      <c r="WUI152" s="22"/>
      <c r="WUJ152" s="22"/>
      <c r="WUK152" s="22"/>
      <c r="WUL152" s="22"/>
      <c r="WUM152" s="22"/>
      <c r="WUN152" s="22"/>
      <c r="WUO152" s="22"/>
      <c r="WUP152" s="22"/>
      <c r="WUQ152" s="22"/>
      <c r="WUR152" s="22"/>
      <c r="WUS152" s="22"/>
      <c r="WUT152" s="22"/>
      <c r="WUU152" s="22"/>
      <c r="WUV152" s="22"/>
      <c r="WUW152" s="22"/>
      <c r="WUX152" s="22"/>
      <c r="WUY152" s="22"/>
      <c r="WUZ152" s="22"/>
      <c r="WVA152" s="22"/>
      <c r="WVB152" s="22"/>
      <c r="WVC152" s="22"/>
      <c r="WVD152" s="22"/>
      <c r="WVE152" s="22"/>
      <c r="WVF152" s="22"/>
      <c r="WVG152" s="22"/>
      <c r="WVH152" s="22"/>
      <c r="WVI152" s="22"/>
      <c r="WVJ152" s="22"/>
      <c r="WVK152" s="22"/>
      <c r="WVL152" s="22"/>
      <c r="WVM152" s="22"/>
      <c r="WVN152" s="22"/>
      <c r="WVO152" s="22"/>
      <c r="WVP152" s="22"/>
      <c r="WVQ152" s="22"/>
      <c r="WVR152" s="22"/>
      <c r="WVS152" s="22"/>
      <c r="WVT152" s="22"/>
      <c r="WVU152" s="22"/>
      <c r="WVV152" s="22"/>
      <c r="WVW152" s="22"/>
      <c r="WVX152" s="22"/>
      <c r="WVY152" s="22"/>
      <c r="WVZ152" s="22"/>
      <c r="WWA152" s="22"/>
      <c r="WWB152" s="22"/>
      <c r="WWC152" s="22"/>
      <c r="WWD152" s="22"/>
      <c r="WWE152" s="22"/>
      <c r="WWF152" s="22"/>
      <c r="WWG152" s="22"/>
      <c r="WWH152" s="22"/>
      <c r="WWI152" s="22"/>
      <c r="WWJ152" s="22"/>
      <c r="WWK152" s="22"/>
      <c r="WWL152" s="22"/>
      <c r="WWM152" s="22"/>
      <c r="WWN152" s="22"/>
      <c r="WWO152" s="22"/>
      <c r="WWP152" s="22"/>
      <c r="WWQ152" s="22"/>
      <c r="WWR152" s="22"/>
      <c r="WWS152" s="22"/>
      <c r="WWT152" s="22"/>
      <c r="WWU152" s="22"/>
      <c r="WWV152" s="22"/>
      <c r="WWW152" s="22"/>
      <c r="WWX152" s="22"/>
      <c r="WWY152" s="22"/>
      <c r="WWZ152" s="22"/>
      <c r="WXA152" s="22"/>
      <c r="WXB152" s="22"/>
      <c r="WXC152" s="22"/>
      <c r="WXD152" s="22"/>
      <c r="WXE152" s="22"/>
      <c r="WXF152" s="22"/>
      <c r="WXG152" s="22"/>
      <c r="WXH152" s="22"/>
      <c r="WXI152" s="22"/>
      <c r="WXJ152" s="22"/>
      <c r="WXK152" s="22"/>
      <c r="WXL152" s="22"/>
      <c r="WXM152" s="22"/>
      <c r="WXN152" s="22"/>
      <c r="WXO152" s="22"/>
      <c r="WXP152" s="22"/>
      <c r="WXQ152" s="22"/>
      <c r="WXR152" s="22"/>
      <c r="WXS152" s="22"/>
      <c r="WXT152" s="22"/>
      <c r="WXU152" s="22"/>
      <c r="WXV152" s="22"/>
      <c r="WXW152" s="22"/>
      <c r="WXX152" s="22"/>
      <c r="WXY152" s="22"/>
      <c r="WXZ152" s="22"/>
      <c r="WYA152" s="22"/>
      <c r="WYB152" s="22"/>
      <c r="WYC152" s="22"/>
      <c r="WYD152" s="22"/>
      <c r="WYE152" s="22"/>
      <c r="WYF152" s="22"/>
      <c r="WYG152" s="22"/>
      <c r="WYH152" s="22"/>
      <c r="WYI152" s="22"/>
      <c r="WYJ152" s="22"/>
      <c r="WYK152" s="22"/>
      <c r="WYL152" s="22"/>
      <c r="WYM152" s="22"/>
      <c r="WYN152" s="22"/>
      <c r="WYO152" s="22"/>
      <c r="WYP152" s="22"/>
      <c r="WYQ152" s="22"/>
      <c r="WYR152" s="22"/>
      <c r="WYS152" s="22"/>
      <c r="WYT152" s="22"/>
      <c r="WYU152" s="22"/>
      <c r="WYV152" s="22"/>
      <c r="WYW152" s="22"/>
      <c r="WYX152" s="22"/>
      <c r="WYY152" s="22"/>
      <c r="WYZ152" s="22"/>
      <c r="WZA152" s="22"/>
      <c r="WZB152" s="22"/>
      <c r="WZC152" s="22"/>
      <c r="WZD152" s="22"/>
      <c r="WZE152" s="22"/>
      <c r="WZF152" s="22"/>
      <c r="WZG152" s="22"/>
      <c r="WZH152" s="22"/>
      <c r="WZI152" s="22"/>
      <c r="WZJ152" s="22"/>
      <c r="WZK152" s="22"/>
      <c r="WZL152" s="22"/>
      <c r="WZM152" s="22"/>
      <c r="WZN152" s="22"/>
      <c r="WZO152" s="22"/>
      <c r="WZP152" s="22"/>
      <c r="WZQ152" s="22"/>
      <c r="WZR152" s="22"/>
      <c r="WZS152" s="22"/>
      <c r="WZT152" s="22"/>
      <c r="WZU152" s="22"/>
      <c r="WZV152" s="22"/>
      <c r="WZW152" s="22"/>
      <c r="WZX152" s="22"/>
      <c r="WZY152" s="22"/>
      <c r="WZZ152" s="22"/>
      <c r="XAA152" s="22"/>
      <c r="XAB152" s="22"/>
      <c r="XAC152" s="22"/>
      <c r="XAD152" s="22"/>
      <c r="XAE152" s="22"/>
      <c r="XAF152" s="22"/>
      <c r="XAG152" s="22"/>
      <c r="XAH152" s="22"/>
      <c r="XAI152" s="22"/>
      <c r="XAJ152" s="22"/>
      <c r="XAK152" s="22"/>
      <c r="XAL152" s="22"/>
      <c r="XAM152" s="22"/>
      <c r="XAN152" s="22"/>
      <c r="XAO152" s="22"/>
      <c r="XAP152" s="22"/>
      <c r="XAQ152" s="22"/>
      <c r="XAR152" s="22"/>
      <c r="XAS152" s="22"/>
      <c r="XAT152" s="22"/>
      <c r="XAU152" s="22"/>
      <c r="XAV152" s="22"/>
      <c r="XAW152" s="22"/>
      <c r="XAX152" s="22"/>
      <c r="XAY152" s="22"/>
      <c r="XAZ152" s="22"/>
      <c r="XBA152" s="22"/>
      <c r="XBB152" s="22"/>
      <c r="XBC152" s="22"/>
      <c r="XBD152" s="22"/>
      <c r="XBE152" s="22"/>
      <c r="XBF152" s="22"/>
      <c r="XBG152" s="22"/>
      <c r="XBH152" s="22"/>
      <c r="XBI152" s="22"/>
      <c r="XBJ152" s="22"/>
      <c r="XBK152" s="22"/>
      <c r="XBL152" s="22"/>
      <c r="XBM152" s="22"/>
      <c r="XBN152" s="22"/>
      <c r="XBO152" s="22"/>
      <c r="XBP152" s="22"/>
      <c r="XBQ152" s="22"/>
      <c r="XBR152" s="22"/>
      <c r="XBS152" s="22"/>
      <c r="XBT152" s="22"/>
      <c r="XBU152" s="22"/>
      <c r="XBV152" s="22"/>
      <c r="XBW152" s="22"/>
      <c r="XBX152" s="22"/>
      <c r="XBY152" s="22"/>
      <c r="XBZ152" s="22"/>
      <c r="XCA152" s="22"/>
      <c r="XCB152" s="22"/>
      <c r="XCC152" s="22"/>
      <c r="XCD152" s="22"/>
      <c r="XCE152" s="22"/>
      <c r="XCF152" s="22"/>
      <c r="XCG152" s="22"/>
      <c r="XCH152" s="22"/>
      <c r="XCI152" s="22"/>
      <c r="XCJ152" s="22"/>
      <c r="XCK152" s="22"/>
      <c r="XCL152" s="22"/>
      <c r="XCM152" s="22"/>
      <c r="XCN152" s="22"/>
      <c r="XCO152" s="22"/>
      <c r="XCP152" s="22"/>
      <c r="XCQ152" s="22"/>
      <c r="XCR152" s="22"/>
      <c r="XCS152" s="22"/>
      <c r="XCT152" s="22"/>
      <c r="XCU152" s="22"/>
      <c r="XCV152" s="22"/>
      <c r="XCW152" s="22"/>
      <c r="XCX152" s="22"/>
      <c r="XCY152" s="22"/>
      <c r="XCZ152" s="22"/>
      <c r="XDA152" s="22"/>
      <c r="XDB152" s="22"/>
      <c r="XDC152" s="22"/>
      <c r="XDD152" s="22"/>
      <c r="XDE152" s="22"/>
      <c r="XDF152" s="22"/>
      <c r="XDG152" s="22"/>
      <c r="XDH152" s="22"/>
      <c r="XDI152" s="22"/>
      <c r="XDJ152" s="22"/>
      <c r="XDK152" s="22"/>
      <c r="XDL152" s="22"/>
      <c r="XDM152" s="22"/>
      <c r="XDN152" s="22"/>
      <c r="XDO152" s="22"/>
      <c r="XDP152" s="22"/>
      <c r="XDQ152" s="22"/>
      <c r="XDR152" s="22"/>
      <c r="XDS152" s="22"/>
      <c r="XDT152" s="22"/>
      <c r="XDU152" s="22"/>
      <c r="XDV152" s="22"/>
      <c r="XDW152" s="22"/>
      <c r="XDX152" s="22"/>
      <c r="XDY152" s="22"/>
      <c r="XDZ152" s="22"/>
      <c r="XEA152" s="22"/>
      <c r="XEB152" s="22"/>
      <c r="XEC152" s="22"/>
      <c r="XED152" s="22"/>
      <c r="XEE152" s="22"/>
      <c r="XEF152" s="22"/>
      <c r="XEG152" s="22"/>
      <c r="XEH152" s="22"/>
      <c r="XEI152" s="22"/>
      <c r="XEJ152" s="22"/>
      <c r="XEK152" s="22"/>
      <c r="XEL152" s="22"/>
      <c r="XEM152" s="22"/>
      <c r="XEN152" s="22"/>
      <c r="XEO152" s="22"/>
      <c r="XEP152" s="22"/>
      <c r="XEQ152" s="22"/>
      <c r="XER152" s="22"/>
      <c r="XES152" s="22"/>
      <c r="XET152" s="22"/>
      <c r="XEU152" s="22"/>
      <c r="XEV152" s="22"/>
      <c r="XEW152" s="22"/>
      <c r="XEX152" s="22"/>
      <c r="XEY152" s="22"/>
      <c r="XEZ152" s="22"/>
      <c r="XFA152" s="22"/>
      <c r="XFB152" s="22"/>
      <c r="XFC152" s="22"/>
      <c r="XFD152" s="22"/>
    </row>
    <row r="153" spans="1:16384" s="54" customFormat="1" hidden="1" outlineLevel="1" x14ac:dyDescent="0.25">
      <c r="A153" s="14"/>
      <c r="B153" s="15"/>
      <c r="C153" s="16" t="str">
        <f t="shared" si="191"/>
        <v xml:space="preserve"> </v>
      </c>
      <c r="D153" s="16" t="str">
        <f t="shared" si="192"/>
        <v xml:space="preserve"> </v>
      </c>
      <c r="E153" s="18"/>
      <c r="F153" s="18"/>
      <c r="G153" s="47">
        <f t="shared" si="193"/>
        <v>0</v>
      </c>
      <c r="H153" s="20">
        <f t="shared" si="194"/>
        <v>0</v>
      </c>
      <c r="I153" s="18"/>
      <c r="J153" s="21">
        <f t="shared" si="195"/>
        <v>0</v>
      </c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2"/>
      <c r="BO153" s="22"/>
      <c r="BP153" s="22"/>
      <c r="BQ153" s="22"/>
      <c r="BR153" s="22"/>
      <c r="BS153" s="22"/>
      <c r="BT153" s="22"/>
      <c r="BU153" s="22"/>
      <c r="BV153" s="22"/>
      <c r="BW153" s="22"/>
      <c r="BX153" s="22"/>
      <c r="BY153" s="22"/>
      <c r="BZ153" s="22"/>
      <c r="CA153" s="22"/>
      <c r="CB153" s="22"/>
      <c r="CC153" s="22"/>
      <c r="CD153" s="22"/>
      <c r="CE153" s="22"/>
      <c r="CF153" s="22"/>
      <c r="CG153" s="22"/>
      <c r="CH153" s="22"/>
      <c r="CI153" s="22"/>
      <c r="CJ153" s="22"/>
      <c r="CK153" s="22"/>
      <c r="CL153" s="22"/>
      <c r="CM153" s="22"/>
      <c r="CN153" s="22"/>
      <c r="CO153" s="22"/>
      <c r="CP153" s="22"/>
      <c r="CQ153" s="22"/>
      <c r="CR153" s="22"/>
      <c r="CS153" s="22"/>
      <c r="CT153" s="22"/>
      <c r="CU153" s="22"/>
      <c r="CV153" s="22"/>
      <c r="CW153" s="22"/>
      <c r="CX153" s="22"/>
      <c r="CY153" s="22"/>
      <c r="CZ153" s="22"/>
      <c r="DA153" s="22"/>
      <c r="DB153" s="22"/>
      <c r="DC153" s="22"/>
      <c r="DD153" s="22"/>
      <c r="DE153" s="22"/>
      <c r="DF153" s="22"/>
      <c r="DG153" s="22"/>
      <c r="DH153" s="22"/>
      <c r="DI153" s="22"/>
      <c r="DJ153" s="22"/>
      <c r="DK153" s="22"/>
      <c r="DL153" s="22"/>
      <c r="DM153" s="22"/>
      <c r="DN153" s="22"/>
      <c r="DO153" s="22"/>
      <c r="DP153" s="22"/>
      <c r="DQ153" s="22"/>
      <c r="DR153" s="22"/>
      <c r="DS153" s="22"/>
      <c r="DT153" s="22"/>
      <c r="DU153" s="22"/>
      <c r="DV153" s="22"/>
      <c r="DW153" s="22"/>
      <c r="DX153" s="22"/>
      <c r="DY153" s="22"/>
      <c r="DZ153" s="22"/>
      <c r="EA153" s="22"/>
      <c r="EB153" s="22"/>
      <c r="EC153" s="22"/>
      <c r="ED153" s="22"/>
      <c r="EE153" s="22"/>
      <c r="EF153" s="22"/>
      <c r="EG153" s="22"/>
      <c r="EH153" s="22"/>
      <c r="EI153" s="22"/>
      <c r="EJ153" s="22"/>
      <c r="EK153" s="22"/>
      <c r="EL153" s="22"/>
      <c r="EM153" s="22"/>
      <c r="EN153" s="22"/>
      <c r="EO153" s="22"/>
      <c r="EP153" s="22"/>
      <c r="EQ153" s="22"/>
      <c r="ER153" s="22"/>
      <c r="ES153" s="22"/>
      <c r="ET153" s="22"/>
      <c r="EU153" s="22"/>
      <c r="EV153" s="22"/>
      <c r="EW153" s="22"/>
      <c r="EX153" s="22"/>
      <c r="EY153" s="22"/>
      <c r="EZ153" s="22"/>
      <c r="FA153" s="22"/>
      <c r="FB153" s="22"/>
      <c r="FC153" s="22"/>
      <c r="FD153" s="22"/>
      <c r="FE153" s="22"/>
      <c r="FF153" s="22"/>
      <c r="FG153" s="22"/>
      <c r="FH153" s="22"/>
      <c r="FI153" s="22"/>
      <c r="FJ153" s="22"/>
      <c r="FK153" s="22"/>
      <c r="FL153" s="22"/>
      <c r="FM153" s="22"/>
      <c r="FN153" s="22"/>
      <c r="FO153" s="22"/>
      <c r="FP153" s="22"/>
      <c r="FQ153" s="22"/>
      <c r="FR153" s="22"/>
      <c r="FS153" s="22"/>
      <c r="FT153" s="22"/>
      <c r="FU153" s="22"/>
      <c r="FV153" s="22"/>
      <c r="FW153" s="22"/>
      <c r="FX153" s="22"/>
      <c r="FY153" s="22"/>
      <c r="FZ153" s="22"/>
      <c r="GA153" s="22"/>
      <c r="GB153" s="22"/>
      <c r="GC153" s="22"/>
      <c r="GD153" s="22"/>
      <c r="GE153" s="22"/>
      <c r="GF153" s="22"/>
      <c r="GG153" s="22"/>
      <c r="GH153" s="22"/>
      <c r="GI153" s="22"/>
      <c r="GJ153" s="22"/>
      <c r="GK153" s="22"/>
      <c r="GL153" s="22"/>
      <c r="GM153" s="22"/>
      <c r="GN153" s="22"/>
      <c r="GO153" s="22"/>
      <c r="GP153" s="22"/>
      <c r="GQ153" s="22"/>
      <c r="GR153" s="22"/>
      <c r="GS153" s="22"/>
      <c r="GT153" s="22"/>
      <c r="GU153" s="22"/>
      <c r="GV153" s="22"/>
      <c r="GW153" s="22"/>
      <c r="GX153" s="22"/>
      <c r="GY153" s="22"/>
      <c r="GZ153" s="22"/>
      <c r="HA153" s="22"/>
      <c r="HB153" s="22"/>
      <c r="HC153" s="22"/>
      <c r="HD153" s="22"/>
      <c r="HE153" s="22"/>
      <c r="HF153" s="22"/>
      <c r="HG153" s="22"/>
      <c r="HH153" s="22"/>
      <c r="HI153" s="22"/>
      <c r="HJ153" s="22"/>
      <c r="HK153" s="22"/>
      <c r="HL153" s="22"/>
      <c r="HM153" s="22"/>
      <c r="HN153" s="22"/>
      <c r="HO153" s="22"/>
      <c r="HP153" s="22"/>
      <c r="HQ153" s="22"/>
      <c r="HR153" s="22"/>
      <c r="HS153" s="22"/>
      <c r="HT153" s="22"/>
      <c r="HU153" s="22"/>
      <c r="HV153" s="22"/>
      <c r="HW153" s="22"/>
      <c r="HX153" s="22"/>
      <c r="HY153" s="22"/>
      <c r="HZ153" s="22"/>
      <c r="IA153" s="22"/>
      <c r="IB153" s="22"/>
      <c r="IC153" s="22"/>
      <c r="ID153" s="22"/>
      <c r="IE153" s="22"/>
      <c r="IF153" s="22"/>
      <c r="IG153" s="22"/>
      <c r="IH153" s="22"/>
      <c r="II153" s="22"/>
      <c r="IJ153" s="22"/>
      <c r="IK153" s="22"/>
      <c r="IL153" s="22"/>
      <c r="IM153" s="22"/>
      <c r="IN153" s="22"/>
      <c r="IO153" s="22"/>
      <c r="IP153" s="22"/>
      <c r="IQ153" s="22"/>
      <c r="IR153" s="22"/>
      <c r="IS153" s="22"/>
      <c r="IT153" s="22"/>
      <c r="IU153" s="22"/>
      <c r="IV153" s="22"/>
      <c r="IW153" s="22"/>
      <c r="IX153" s="22"/>
      <c r="IY153" s="22"/>
      <c r="IZ153" s="22"/>
      <c r="JA153" s="22"/>
      <c r="JB153" s="22"/>
      <c r="JC153" s="22"/>
      <c r="JD153" s="22"/>
      <c r="JE153" s="22"/>
      <c r="JF153" s="22"/>
      <c r="JG153" s="22"/>
      <c r="JH153" s="22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2"/>
      <c r="LK153" s="22"/>
      <c r="LL153" s="22"/>
      <c r="LM153" s="22"/>
      <c r="LN153" s="22"/>
      <c r="LO153" s="22"/>
      <c r="LP153" s="22"/>
      <c r="LQ153" s="22"/>
      <c r="LR153" s="22"/>
      <c r="LS153" s="22"/>
      <c r="LT153" s="22"/>
      <c r="LU153" s="22"/>
      <c r="LV153" s="22"/>
      <c r="LW153" s="22"/>
      <c r="LX153" s="22"/>
      <c r="LY153" s="22"/>
      <c r="LZ153" s="22"/>
      <c r="MA153" s="22"/>
      <c r="MB153" s="22"/>
      <c r="MC153" s="22"/>
      <c r="MD153" s="22"/>
      <c r="ME153" s="22"/>
      <c r="MF153" s="22"/>
      <c r="MG153" s="22"/>
      <c r="MH153" s="22"/>
      <c r="MI153" s="22"/>
      <c r="MJ153" s="22"/>
      <c r="MK153" s="22"/>
      <c r="ML153" s="22"/>
      <c r="MM153" s="22"/>
      <c r="MN153" s="22"/>
      <c r="MO153" s="22"/>
      <c r="MP153" s="22"/>
      <c r="MQ153" s="22"/>
      <c r="MR153" s="22"/>
      <c r="MS153" s="22"/>
      <c r="MT153" s="22"/>
      <c r="MU153" s="22"/>
      <c r="MV153" s="22"/>
      <c r="MW153" s="22"/>
      <c r="MX153" s="22"/>
      <c r="MY153" s="22"/>
      <c r="MZ153" s="22"/>
      <c r="NA153" s="22"/>
      <c r="NB153" s="22"/>
      <c r="NC153" s="22"/>
      <c r="ND153" s="22"/>
      <c r="NE153" s="22"/>
      <c r="NF153" s="22"/>
      <c r="NG153" s="22"/>
      <c r="NH153" s="22"/>
      <c r="NI153" s="22"/>
      <c r="NJ153" s="22"/>
      <c r="NK153" s="22"/>
      <c r="NL153" s="22"/>
      <c r="NM153" s="22"/>
      <c r="NN153" s="22"/>
      <c r="NO153" s="22"/>
      <c r="NP153" s="22"/>
      <c r="NQ153" s="22"/>
      <c r="NR153" s="22"/>
      <c r="NS153" s="22"/>
      <c r="NT153" s="22"/>
      <c r="NU153" s="22"/>
      <c r="NV153" s="22"/>
      <c r="NW153" s="22"/>
      <c r="NX153" s="22"/>
      <c r="NY153" s="22"/>
      <c r="NZ153" s="22"/>
      <c r="OA153" s="22"/>
      <c r="OB153" s="22"/>
      <c r="OC153" s="22"/>
      <c r="OD153" s="22"/>
      <c r="OE153" s="22"/>
      <c r="OF153" s="22"/>
      <c r="OG153" s="22"/>
      <c r="OH153" s="22"/>
      <c r="OI153" s="22"/>
      <c r="OJ153" s="22"/>
      <c r="OK153" s="22"/>
      <c r="OL153" s="22"/>
      <c r="OM153" s="22"/>
      <c r="ON153" s="22"/>
      <c r="OO153" s="22"/>
      <c r="OP153" s="22"/>
      <c r="OQ153" s="22"/>
      <c r="OR153" s="22"/>
      <c r="OS153" s="22"/>
      <c r="OT153" s="22"/>
      <c r="OU153" s="22"/>
      <c r="OV153" s="22"/>
      <c r="OW153" s="22"/>
      <c r="OX153" s="22"/>
      <c r="OY153" s="22"/>
      <c r="OZ153" s="22"/>
      <c r="PA153" s="22"/>
      <c r="PB153" s="22"/>
      <c r="PC153" s="22"/>
      <c r="PD153" s="22"/>
      <c r="PE153" s="22"/>
      <c r="PF153" s="22"/>
      <c r="PG153" s="22"/>
      <c r="PH153" s="22"/>
      <c r="PI153" s="22"/>
      <c r="PJ153" s="22"/>
      <c r="PK153" s="22"/>
      <c r="PL153" s="22"/>
      <c r="PM153" s="22"/>
      <c r="PN153" s="22"/>
      <c r="PO153" s="22"/>
      <c r="PP153" s="22"/>
      <c r="PQ153" s="22"/>
      <c r="PR153" s="22"/>
      <c r="PS153" s="22"/>
      <c r="PT153" s="22"/>
      <c r="PU153" s="22"/>
      <c r="PV153" s="22"/>
      <c r="PW153" s="22"/>
      <c r="PX153" s="22"/>
      <c r="PY153" s="22"/>
      <c r="PZ153" s="22"/>
      <c r="QA153" s="22"/>
      <c r="QB153" s="22"/>
      <c r="QC153" s="22"/>
      <c r="QD153" s="22"/>
      <c r="QE153" s="22"/>
      <c r="QF153" s="22"/>
      <c r="QG153" s="22"/>
      <c r="QH153" s="22"/>
      <c r="QI153" s="22"/>
      <c r="QJ153" s="22"/>
      <c r="QK153" s="22"/>
      <c r="QL153" s="22"/>
      <c r="QM153" s="22"/>
      <c r="QN153" s="22"/>
      <c r="QO153" s="22"/>
      <c r="QP153" s="22"/>
      <c r="QQ153" s="22"/>
      <c r="QR153" s="22"/>
      <c r="QS153" s="22"/>
      <c r="QT153" s="22"/>
      <c r="QU153" s="22"/>
      <c r="QV153" s="22"/>
      <c r="QW153" s="22"/>
      <c r="QX153" s="22"/>
      <c r="QY153" s="22"/>
      <c r="QZ153" s="22"/>
      <c r="RA153" s="22"/>
      <c r="RB153" s="22"/>
      <c r="RC153" s="22"/>
      <c r="RD153" s="22"/>
      <c r="RE153" s="22"/>
      <c r="RF153" s="22"/>
      <c r="RG153" s="22"/>
      <c r="RH153" s="22"/>
      <c r="RI153" s="22"/>
      <c r="RJ153" s="22"/>
      <c r="RK153" s="22"/>
      <c r="RL153" s="22"/>
      <c r="RM153" s="22"/>
      <c r="RN153" s="22"/>
      <c r="RO153" s="22"/>
      <c r="RP153" s="22"/>
      <c r="RQ153" s="22"/>
      <c r="RR153" s="22"/>
      <c r="RS153" s="22"/>
      <c r="RT153" s="22"/>
      <c r="RU153" s="22"/>
      <c r="RV153" s="22"/>
      <c r="RW153" s="22"/>
      <c r="RX153" s="22"/>
      <c r="RY153" s="22"/>
      <c r="RZ153" s="22"/>
      <c r="SA153" s="22"/>
      <c r="SB153" s="22"/>
      <c r="SC153" s="22"/>
      <c r="SD153" s="22"/>
      <c r="SE153" s="22"/>
      <c r="SF153" s="22"/>
      <c r="SG153" s="22"/>
      <c r="SH153" s="22"/>
      <c r="SI153" s="22"/>
      <c r="SJ153" s="22"/>
      <c r="SK153" s="22"/>
      <c r="SL153" s="22"/>
      <c r="SM153" s="22"/>
      <c r="SN153" s="22"/>
      <c r="SO153" s="22"/>
      <c r="SP153" s="22"/>
      <c r="SQ153" s="22"/>
      <c r="SR153" s="22"/>
      <c r="SS153" s="22"/>
      <c r="ST153" s="22"/>
      <c r="SU153" s="22"/>
      <c r="SV153" s="22"/>
      <c r="SW153" s="22"/>
      <c r="SX153" s="22"/>
      <c r="SY153" s="22"/>
      <c r="SZ153" s="22"/>
      <c r="TA153" s="22"/>
      <c r="TB153" s="22"/>
      <c r="TC153" s="22"/>
      <c r="TD153" s="22"/>
      <c r="TE153" s="22"/>
      <c r="TF153" s="22"/>
      <c r="TG153" s="22"/>
      <c r="TH153" s="22"/>
      <c r="TI153" s="22"/>
      <c r="TJ153" s="22"/>
      <c r="TK153" s="22"/>
      <c r="TL153" s="22"/>
      <c r="TM153" s="22"/>
      <c r="TN153" s="22"/>
      <c r="TO153" s="22"/>
      <c r="TP153" s="22"/>
      <c r="TQ153" s="22"/>
      <c r="TR153" s="22"/>
      <c r="TS153" s="22"/>
      <c r="TT153" s="22"/>
      <c r="TU153" s="22"/>
      <c r="TV153" s="22"/>
      <c r="TW153" s="22"/>
      <c r="TX153" s="22"/>
      <c r="TY153" s="22"/>
      <c r="TZ153" s="22"/>
      <c r="UA153" s="22"/>
      <c r="UB153" s="22"/>
      <c r="UC153" s="22"/>
      <c r="UD153" s="22"/>
      <c r="UE153" s="22"/>
      <c r="UF153" s="22"/>
      <c r="UG153" s="22"/>
      <c r="UH153" s="22"/>
      <c r="UI153" s="22"/>
      <c r="UJ153" s="22"/>
      <c r="UK153" s="22"/>
      <c r="UL153" s="22"/>
      <c r="UM153" s="22"/>
      <c r="UN153" s="22"/>
      <c r="UO153" s="22"/>
      <c r="UP153" s="22"/>
      <c r="UQ153" s="22"/>
      <c r="UR153" s="22"/>
      <c r="US153" s="22"/>
      <c r="UT153" s="22"/>
      <c r="UU153" s="22"/>
      <c r="UV153" s="22"/>
      <c r="UW153" s="22"/>
      <c r="UX153" s="22"/>
      <c r="UY153" s="22"/>
      <c r="UZ153" s="22"/>
      <c r="VA153" s="22"/>
      <c r="VB153" s="22"/>
      <c r="VC153" s="22"/>
      <c r="VD153" s="22"/>
      <c r="VE153" s="22"/>
      <c r="VF153" s="22"/>
      <c r="VG153" s="22"/>
      <c r="VH153" s="22"/>
      <c r="VI153" s="22"/>
      <c r="VJ153" s="22"/>
      <c r="VK153" s="22"/>
      <c r="VL153" s="22"/>
      <c r="VM153" s="22"/>
      <c r="VN153" s="22"/>
      <c r="VO153" s="22"/>
      <c r="VP153" s="22"/>
      <c r="VQ153" s="22"/>
      <c r="VR153" s="22"/>
      <c r="VS153" s="22"/>
      <c r="VT153" s="22"/>
      <c r="VU153" s="22"/>
      <c r="VV153" s="22"/>
      <c r="VW153" s="22"/>
      <c r="VX153" s="22"/>
      <c r="VY153" s="22"/>
      <c r="VZ153" s="22"/>
      <c r="WA153" s="22"/>
      <c r="WB153" s="22"/>
      <c r="WC153" s="22"/>
      <c r="WD153" s="22"/>
      <c r="WE153" s="22"/>
      <c r="WF153" s="22"/>
      <c r="WG153" s="22"/>
      <c r="WH153" s="22"/>
      <c r="WI153" s="22"/>
      <c r="WJ153" s="22"/>
      <c r="WK153" s="22"/>
      <c r="WL153" s="22"/>
      <c r="WM153" s="22"/>
      <c r="WN153" s="22"/>
      <c r="WO153" s="22"/>
      <c r="WP153" s="22"/>
      <c r="WQ153" s="22"/>
      <c r="WR153" s="22"/>
      <c r="WS153" s="22"/>
      <c r="WT153" s="22"/>
      <c r="WU153" s="22"/>
      <c r="WV153" s="22"/>
      <c r="WW153" s="22"/>
      <c r="WX153" s="22"/>
      <c r="WY153" s="22"/>
      <c r="WZ153" s="22"/>
      <c r="XA153" s="22"/>
      <c r="XB153" s="22"/>
      <c r="XC153" s="22"/>
      <c r="XD153" s="22"/>
      <c r="XE153" s="22"/>
      <c r="XF153" s="22"/>
      <c r="XG153" s="22"/>
      <c r="XH153" s="22"/>
      <c r="XI153" s="22"/>
      <c r="XJ153" s="22"/>
      <c r="XK153" s="22"/>
      <c r="XL153" s="22"/>
      <c r="XM153" s="22"/>
      <c r="XN153" s="22"/>
      <c r="XO153" s="22"/>
      <c r="XP153" s="22"/>
      <c r="XQ153" s="22"/>
      <c r="XR153" s="22"/>
      <c r="XS153" s="22"/>
      <c r="XT153" s="22"/>
      <c r="XU153" s="22"/>
      <c r="XV153" s="22"/>
      <c r="XW153" s="22"/>
      <c r="XX153" s="22"/>
      <c r="XY153" s="22"/>
      <c r="XZ153" s="22"/>
      <c r="YA153" s="22"/>
      <c r="YB153" s="22"/>
      <c r="YC153" s="22"/>
      <c r="YD153" s="22"/>
      <c r="YE153" s="22"/>
      <c r="YF153" s="22"/>
      <c r="YG153" s="22"/>
      <c r="YH153" s="22"/>
      <c r="YI153" s="22"/>
      <c r="YJ153" s="22"/>
      <c r="YK153" s="22"/>
      <c r="YL153" s="22"/>
      <c r="YM153" s="22"/>
      <c r="YN153" s="22"/>
      <c r="YO153" s="22"/>
      <c r="YP153" s="22"/>
      <c r="YQ153" s="22"/>
      <c r="YR153" s="22"/>
      <c r="YS153" s="22"/>
      <c r="YT153" s="22"/>
      <c r="YU153" s="22"/>
      <c r="YV153" s="22"/>
      <c r="YW153" s="22"/>
      <c r="YX153" s="22"/>
      <c r="YY153" s="22"/>
      <c r="YZ153" s="22"/>
      <c r="ZA153" s="22"/>
      <c r="ZB153" s="22"/>
      <c r="ZC153" s="22"/>
      <c r="ZD153" s="22"/>
      <c r="ZE153" s="22"/>
      <c r="ZF153" s="22"/>
      <c r="ZG153" s="22"/>
      <c r="ZH153" s="22"/>
      <c r="ZI153" s="22"/>
      <c r="ZJ153" s="22"/>
      <c r="ZK153" s="22"/>
      <c r="ZL153" s="22"/>
      <c r="ZM153" s="22"/>
      <c r="ZN153" s="22"/>
      <c r="ZO153" s="22"/>
      <c r="ZP153" s="22"/>
      <c r="ZQ153" s="22"/>
      <c r="ZR153" s="22"/>
      <c r="ZS153" s="22"/>
      <c r="ZT153" s="22"/>
      <c r="ZU153" s="22"/>
      <c r="ZV153" s="22"/>
      <c r="ZW153" s="22"/>
      <c r="ZX153" s="22"/>
      <c r="ZY153" s="22"/>
      <c r="ZZ153" s="22"/>
      <c r="AAA153" s="22"/>
      <c r="AAB153" s="22"/>
      <c r="AAC153" s="22"/>
      <c r="AAD153" s="22"/>
      <c r="AAE153" s="22"/>
      <c r="AAF153" s="22"/>
      <c r="AAG153" s="22"/>
      <c r="AAH153" s="22"/>
      <c r="AAI153" s="22"/>
      <c r="AAJ153" s="22"/>
      <c r="AAK153" s="22"/>
      <c r="AAL153" s="22"/>
      <c r="AAM153" s="22"/>
      <c r="AAN153" s="22"/>
      <c r="AAO153" s="22"/>
      <c r="AAP153" s="22"/>
      <c r="AAQ153" s="22"/>
      <c r="AAR153" s="22"/>
      <c r="AAS153" s="22"/>
      <c r="AAT153" s="22"/>
      <c r="AAU153" s="22"/>
      <c r="AAV153" s="22"/>
      <c r="AAW153" s="22"/>
      <c r="AAX153" s="22"/>
      <c r="AAY153" s="22"/>
      <c r="AAZ153" s="22"/>
      <c r="ABA153" s="22"/>
      <c r="ABB153" s="22"/>
      <c r="ABC153" s="22"/>
      <c r="ABD153" s="22"/>
      <c r="ABE153" s="22"/>
      <c r="ABF153" s="22"/>
      <c r="ABG153" s="22"/>
      <c r="ABH153" s="22"/>
      <c r="ABI153" s="22"/>
      <c r="ABJ153" s="22"/>
      <c r="ABK153" s="22"/>
      <c r="ABL153" s="22"/>
      <c r="ABM153" s="22"/>
      <c r="ABN153" s="22"/>
      <c r="ABO153" s="22"/>
      <c r="ABP153" s="22"/>
      <c r="ABQ153" s="22"/>
      <c r="ABR153" s="22"/>
      <c r="ABS153" s="22"/>
      <c r="ABT153" s="22"/>
      <c r="ABU153" s="22"/>
      <c r="ABV153" s="22"/>
      <c r="ABW153" s="22"/>
      <c r="ABX153" s="22"/>
      <c r="ABY153" s="22"/>
      <c r="ABZ153" s="22"/>
      <c r="ACA153" s="22"/>
      <c r="ACB153" s="22"/>
      <c r="ACC153" s="22"/>
      <c r="ACD153" s="22"/>
      <c r="ACE153" s="22"/>
      <c r="ACF153" s="22"/>
      <c r="ACG153" s="22"/>
      <c r="ACH153" s="22"/>
      <c r="ACI153" s="22"/>
      <c r="ACJ153" s="22"/>
      <c r="ACK153" s="22"/>
      <c r="ACL153" s="22"/>
      <c r="ACM153" s="22"/>
      <c r="ACN153" s="22"/>
      <c r="ACO153" s="22"/>
      <c r="ACP153" s="22"/>
      <c r="ACQ153" s="22"/>
      <c r="ACR153" s="22"/>
      <c r="ACS153" s="22"/>
      <c r="ACT153" s="22"/>
      <c r="ACU153" s="22"/>
      <c r="ACV153" s="22"/>
      <c r="ACW153" s="22"/>
      <c r="ACX153" s="22"/>
      <c r="ACY153" s="22"/>
      <c r="ACZ153" s="22"/>
      <c r="ADA153" s="22"/>
      <c r="ADB153" s="22"/>
      <c r="ADC153" s="22"/>
      <c r="ADD153" s="22"/>
      <c r="ADE153" s="22"/>
      <c r="ADF153" s="22"/>
      <c r="ADG153" s="22"/>
      <c r="ADH153" s="22"/>
      <c r="ADI153" s="22"/>
      <c r="ADJ153" s="22"/>
      <c r="ADK153" s="22"/>
      <c r="ADL153" s="22"/>
      <c r="ADM153" s="22"/>
      <c r="ADN153" s="22"/>
      <c r="ADO153" s="22"/>
      <c r="ADP153" s="22"/>
      <c r="ADQ153" s="22"/>
      <c r="ADR153" s="22"/>
      <c r="ADS153" s="22"/>
      <c r="ADT153" s="22"/>
      <c r="ADU153" s="22"/>
      <c r="ADV153" s="22"/>
      <c r="ADW153" s="22"/>
      <c r="ADX153" s="22"/>
      <c r="ADY153" s="22"/>
      <c r="ADZ153" s="22"/>
      <c r="AEA153" s="22"/>
      <c r="AEB153" s="22"/>
      <c r="AEC153" s="22"/>
      <c r="AED153" s="22"/>
      <c r="AEE153" s="22"/>
      <c r="AEF153" s="22"/>
      <c r="AEG153" s="22"/>
      <c r="AEH153" s="22"/>
      <c r="AEI153" s="22"/>
      <c r="AEJ153" s="22"/>
      <c r="AEK153" s="22"/>
      <c r="AEL153" s="22"/>
      <c r="AEM153" s="22"/>
      <c r="AEN153" s="22"/>
      <c r="AEO153" s="22"/>
      <c r="AEP153" s="22"/>
      <c r="AEQ153" s="22"/>
      <c r="AER153" s="22"/>
      <c r="AES153" s="22"/>
      <c r="AET153" s="22"/>
      <c r="AEU153" s="22"/>
      <c r="AEV153" s="22"/>
      <c r="AEW153" s="22"/>
      <c r="AEX153" s="22"/>
      <c r="AEY153" s="22"/>
      <c r="AEZ153" s="22"/>
      <c r="AFA153" s="22"/>
      <c r="AFB153" s="22"/>
      <c r="AFC153" s="22"/>
      <c r="AFD153" s="22"/>
      <c r="AFE153" s="22"/>
      <c r="AFF153" s="22"/>
      <c r="AFG153" s="22"/>
      <c r="AFH153" s="22"/>
      <c r="AFI153" s="22"/>
      <c r="AFJ153" s="22"/>
      <c r="AFK153" s="22"/>
      <c r="AFL153" s="22"/>
      <c r="AFM153" s="22"/>
      <c r="AFN153" s="22"/>
      <c r="AFO153" s="22"/>
      <c r="AFP153" s="22"/>
      <c r="AFQ153" s="22"/>
      <c r="AFR153" s="22"/>
      <c r="AFS153" s="22"/>
      <c r="AFT153" s="22"/>
      <c r="AFU153" s="22"/>
      <c r="AFV153" s="22"/>
      <c r="AFW153" s="22"/>
      <c r="AFX153" s="22"/>
      <c r="AFY153" s="22"/>
      <c r="AFZ153" s="22"/>
      <c r="AGA153" s="22"/>
      <c r="AGB153" s="22"/>
      <c r="AGC153" s="22"/>
      <c r="AGD153" s="22"/>
      <c r="AGE153" s="22"/>
      <c r="AGF153" s="22"/>
      <c r="AGG153" s="22"/>
      <c r="AGH153" s="22"/>
      <c r="AGI153" s="22"/>
      <c r="AGJ153" s="22"/>
      <c r="AGK153" s="22"/>
      <c r="AGL153" s="22"/>
      <c r="AGM153" s="22"/>
      <c r="AGN153" s="22"/>
      <c r="AGO153" s="22"/>
      <c r="AGP153" s="22"/>
      <c r="AGQ153" s="22"/>
      <c r="AGR153" s="22"/>
      <c r="AGS153" s="22"/>
      <c r="AGT153" s="22"/>
      <c r="AGU153" s="22"/>
      <c r="AGV153" s="22"/>
      <c r="AGW153" s="22"/>
      <c r="AGX153" s="22"/>
      <c r="AGY153" s="22"/>
      <c r="AGZ153" s="22"/>
      <c r="AHA153" s="22"/>
      <c r="AHB153" s="22"/>
      <c r="AHC153" s="22"/>
      <c r="AHD153" s="22"/>
      <c r="AHE153" s="22"/>
      <c r="AHF153" s="22"/>
      <c r="AHG153" s="22"/>
      <c r="AHH153" s="22"/>
      <c r="AHI153" s="22"/>
      <c r="AHJ153" s="22"/>
      <c r="AHK153" s="22"/>
      <c r="AHL153" s="22"/>
      <c r="AHM153" s="22"/>
      <c r="AHN153" s="22"/>
      <c r="AHO153" s="22"/>
      <c r="AHP153" s="22"/>
      <c r="AHQ153" s="22"/>
      <c r="AHR153" s="22"/>
      <c r="AHS153" s="22"/>
      <c r="AHT153" s="22"/>
      <c r="AHU153" s="22"/>
      <c r="AHV153" s="22"/>
      <c r="AHW153" s="22"/>
      <c r="AHX153" s="22"/>
      <c r="AHY153" s="22"/>
      <c r="AHZ153" s="22"/>
      <c r="AIA153" s="22"/>
      <c r="AIB153" s="22"/>
      <c r="AIC153" s="22"/>
      <c r="AID153" s="22"/>
      <c r="AIE153" s="22"/>
      <c r="AIF153" s="22"/>
      <c r="AIG153" s="22"/>
      <c r="AIH153" s="22"/>
      <c r="AII153" s="22"/>
      <c r="AIJ153" s="22"/>
      <c r="AIK153" s="22"/>
      <c r="AIL153" s="22"/>
      <c r="AIM153" s="22"/>
      <c r="AIN153" s="22"/>
      <c r="AIO153" s="22"/>
      <c r="AIP153" s="22"/>
      <c r="AIQ153" s="22"/>
      <c r="AIR153" s="22"/>
      <c r="AIS153" s="22"/>
      <c r="AIT153" s="22"/>
      <c r="AIU153" s="22"/>
      <c r="AIV153" s="22"/>
      <c r="AIW153" s="22"/>
      <c r="AIX153" s="22"/>
      <c r="AIY153" s="22"/>
      <c r="AIZ153" s="22"/>
      <c r="AJA153" s="22"/>
      <c r="AJB153" s="22"/>
      <c r="AJC153" s="22"/>
      <c r="AJD153" s="22"/>
      <c r="AJE153" s="22"/>
      <c r="AJF153" s="22"/>
      <c r="AJG153" s="22"/>
      <c r="AJH153" s="22"/>
      <c r="AJI153" s="22"/>
      <c r="AJJ153" s="22"/>
      <c r="AJK153" s="22"/>
      <c r="AJL153" s="22"/>
      <c r="AJM153" s="22"/>
      <c r="AJN153" s="22"/>
      <c r="AJO153" s="22"/>
      <c r="AJP153" s="22"/>
      <c r="AJQ153" s="22"/>
      <c r="AJR153" s="22"/>
      <c r="AJS153" s="22"/>
      <c r="AJT153" s="22"/>
      <c r="AJU153" s="22"/>
      <c r="AJV153" s="22"/>
      <c r="AJW153" s="22"/>
      <c r="AJX153" s="22"/>
      <c r="AJY153" s="22"/>
      <c r="AJZ153" s="22"/>
      <c r="AKA153" s="22"/>
      <c r="AKB153" s="22"/>
      <c r="AKC153" s="22"/>
      <c r="AKD153" s="22"/>
      <c r="AKE153" s="22"/>
      <c r="AKF153" s="22"/>
      <c r="AKG153" s="22"/>
      <c r="AKH153" s="22"/>
      <c r="AKI153" s="22"/>
      <c r="AKJ153" s="22"/>
      <c r="AKK153" s="22"/>
      <c r="AKL153" s="22"/>
      <c r="AKM153" s="22"/>
      <c r="AKN153" s="22"/>
      <c r="AKO153" s="22"/>
      <c r="AKP153" s="22"/>
      <c r="AKQ153" s="22"/>
      <c r="AKR153" s="22"/>
      <c r="AKS153" s="22"/>
      <c r="AKT153" s="22"/>
      <c r="AKU153" s="22"/>
      <c r="AKV153" s="22"/>
      <c r="AKW153" s="22"/>
      <c r="AKX153" s="22"/>
      <c r="AKY153" s="22"/>
      <c r="AKZ153" s="22"/>
      <c r="ALA153" s="22"/>
      <c r="ALB153" s="22"/>
      <c r="ALC153" s="22"/>
      <c r="ALD153" s="22"/>
      <c r="ALE153" s="22"/>
      <c r="ALF153" s="22"/>
      <c r="ALG153" s="22"/>
      <c r="ALH153" s="22"/>
      <c r="ALI153" s="22"/>
      <c r="ALJ153" s="22"/>
      <c r="ALK153" s="22"/>
      <c r="ALL153" s="22"/>
      <c r="ALM153" s="22"/>
      <c r="ALN153" s="22"/>
      <c r="ALO153" s="22"/>
      <c r="ALP153" s="22"/>
      <c r="ALQ153" s="22"/>
      <c r="ALR153" s="22"/>
      <c r="ALS153" s="22"/>
      <c r="ALT153" s="22"/>
      <c r="ALU153" s="22"/>
      <c r="ALV153" s="22"/>
      <c r="ALW153" s="22"/>
      <c r="ALX153" s="22"/>
      <c r="ALY153" s="22"/>
      <c r="ALZ153" s="22"/>
      <c r="AMA153" s="22"/>
      <c r="AMB153" s="22"/>
      <c r="AMC153" s="22"/>
      <c r="AMD153" s="22"/>
      <c r="AME153" s="22"/>
      <c r="AMF153" s="22"/>
      <c r="AMG153" s="22"/>
      <c r="AMH153" s="22"/>
      <c r="AMI153" s="22"/>
      <c r="AMJ153" s="22"/>
      <c r="AMK153" s="22"/>
      <c r="AML153" s="22"/>
      <c r="AMM153" s="22"/>
      <c r="AMN153" s="22"/>
      <c r="AMO153" s="22"/>
      <c r="AMP153" s="22"/>
      <c r="AMQ153" s="22"/>
      <c r="AMR153" s="22"/>
      <c r="AMS153" s="22"/>
      <c r="AMT153" s="22"/>
      <c r="AMU153" s="22"/>
      <c r="AMV153" s="22"/>
      <c r="AMW153" s="22"/>
      <c r="AMX153" s="22"/>
      <c r="AMY153" s="22"/>
      <c r="AMZ153" s="22"/>
      <c r="ANA153" s="22"/>
      <c r="ANB153" s="22"/>
      <c r="ANC153" s="22"/>
      <c r="AND153" s="22"/>
      <c r="ANE153" s="22"/>
      <c r="ANF153" s="22"/>
      <c r="ANG153" s="22"/>
      <c r="ANH153" s="22"/>
      <c r="ANI153" s="22"/>
      <c r="ANJ153" s="22"/>
      <c r="ANK153" s="22"/>
      <c r="ANL153" s="22"/>
      <c r="ANM153" s="22"/>
      <c r="ANN153" s="22"/>
      <c r="ANO153" s="22"/>
      <c r="ANP153" s="22"/>
      <c r="ANQ153" s="22"/>
      <c r="ANR153" s="22"/>
      <c r="ANS153" s="22"/>
      <c r="ANT153" s="22"/>
      <c r="ANU153" s="22"/>
      <c r="ANV153" s="22"/>
      <c r="ANW153" s="22"/>
      <c r="ANX153" s="22"/>
      <c r="ANY153" s="22"/>
      <c r="ANZ153" s="22"/>
      <c r="AOA153" s="22"/>
      <c r="AOB153" s="22"/>
      <c r="AOC153" s="22"/>
      <c r="AOD153" s="22"/>
      <c r="AOE153" s="22"/>
      <c r="AOF153" s="22"/>
      <c r="AOG153" s="22"/>
      <c r="AOH153" s="22"/>
      <c r="AOI153" s="22"/>
      <c r="AOJ153" s="22"/>
      <c r="AOK153" s="22"/>
      <c r="AOL153" s="22"/>
      <c r="AOM153" s="22"/>
      <c r="AON153" s="22"/>
      <c r="AOO153" s="22"/>
      <c r="AOP153" s="22"/>
      <c r="AOQ153" s="22"/>
      <c r="AOR153" s="22"/>
      <c r="AOS153" s="22"/>
      <c r="AOT153" s="22"/>
      <c r="AOU153" s="22"/>
      <c r="AOV153" s="22"/>
      <c r="AOW153" s="22"/>
      <c r="AOX153" s="22"/>
      <c r="AOY153" s="22"/>
      <c r="AOZ153" s="22"/>
      <c r="APA153" s="22"/>
      <c r="APB153" s="22"/>
      <c r="APC153" s="22"/>
      <c r="APD153" s="22"/>
      <c r="APE153" s="22"/>
      <c r="APF153" s="22"/>
      <c r="APG153" s="22"/>
      <c r="APH153" s="22"/>
      <c r="API153" s="22"/>
      <c r="APJ153" s="22"/>
      <c r="APK153" s="22"/>
      <c r="APL153" s="22"/>
      <c r="APM153" s="22"/>
      <c r="APN153" s="22"/>
      <c r="APO153" s="22"/>
      <c r="APP153" s="22"/>
      <c r="APQ153" s="22"/>
      <c r="APR153" s="22"/>
      <c r="APS153" s="22"/>
      <c r="APT153" s="22"/>
      <c r="APU153" s="22"/>
      <c r="APV153" s="22"/>
      <c r="APW153" s="22"/>
      <c r="APX153" s="22"/>
      <c r="APY153" s="22"/>
      <c r="APZ153" s="22"/>
      <c r="AQA153" s="22"/>
      <c r="AQB153" s="22"/>
      <c r="AQC153" s="22"/>
      <c r="AQD153" s="22"/>
      <c r="AQE153" s="22"/>
      <c r="AQF153" s="22"/>
      <c r="AQG153" s="22"/>
      <c r="AQH153" s="22"/>
      <c r="AQI153" s="22"/>
      <c r="AQJ153" s="22"/>
      <c r="AQK153" s="22"/>
      <c r="AQL153" s="22"/>
      <c r="AQM153" s="22"/>
      <c r="AQN153" s="22"/>
      <c r="AQO153" s="22"/>
      <c r="AQP153" s="22"/>
      <c r="AQQ153" s="22"/>
      <c r="AQR153" s="22"/>
      <c r="AQS153" s="22"/>
      <c r="AQT153" s="22"/>
      <c r="AQU153" s="22"/>
      <c r="AQV153" s="22"/>
      <c r="AQW153" s="22"/>
      <c r="AQX153" s="22"/>
      <c r="AQY153" s="22"/>
      <c r="AQZ153" s="22"/>
      <c r="ARA153" s="22"/>
      <c r="ARB153" s="22"/>
      <c r="ARC153" s="22"/>
      <c r="ARD153" s="22"/>
      <c r="ARE153" s="22"/>
      <c r="ARF153" s="22"/>
      <c r="ARG153" s="22"/>
      <c r="ARH153" s="22"/>
      <c r="ARI153" s="22"/>
      <c r="ARJ153" s="22"/>
      <c r="ARK153" s="22"/>
      <c r="ARL153" s="22"/>
      <c r="ARM153" s="22"/>
      <c r="ARN153" s="22"/>
      <c r="ARO153" s="22"/>
      <c r="ARP153" s="22"/>
      <c r="ARQ153" s="22"/>
      <c r="ARR153" s="22"/>
      <c r="ARS153" s="22"/>
      <c r="ART153" s="22"/>
      <c r="ARU153" s="22"/>
      <c r="ARV153" s="22"/>
      <c r="ARW153" s="22"/>
      <c r="ARX153" s="22"/>
      <c r="ARY153" s="22"/>
      <c r="ARZ153" s="22"/>
      <c r="ASA153" s="22"/>
      <c r="ASB153" s="22"/>
      <c r="ASC153" s="22"/>
      <c r="ASD153" s="22"/>
      <c r="ASE153" s="22"/>
      <c r="ASF153" s="22"/>
      <c r="ASG153" s="22"/>
      <c r="ASH153" s="22"/>
      <c r="ASI153" s="22"/>
      <c r="ASJ153" s="22"/>
      <c r="ASK153" s="22"/>
      <c r="ASL153" s="22"/>
      <c r="ASM153" s="22"/>
      <c r="ASN153" s="22"/>
      <c r="ASO153" s="22"/>
      <c r="ASP153" s="22"/>
      <c r="ASQ153" s="22"/>
      <c r="ASR153" s="22"/>
      <c r="ASS153" s="22"/>
      <c r="AST153" s="22"/>
      <c r="ASU153" s="22"/>
      <c r="ASV153" s="22"/>
      <c r="ASW153" s="22"/>
      <c r="ASX153" s="22"/>
      <c r="ASY153" s="22"/>
      <c r="ASZ153" s="22"/>
      <c r="ATA153" s="22"/>
      <c r="ATB153" s="22"/>
      <c r="ATC153" s="22"/>
      <c r="ATD153" s="22"/>
      <c r="ATE153" s="22"/>
      <c r="ATF153" s="22"/>
      <c r="ATG153" s="22"/>
      <c r="ATH153" s="22"/>
      <c r="ATI153" s="22"/>
      <c r="ATJ153" s="22"/>
      <c r="ATK153" s="22"/>
      <c r="ATL153" s="22"/>
      <c r="ATM153" s="22"/>
      <c r="ATN153" s="22"/>
      <c r="ATO153" s="22"/>
      <c r="ATP153" s="22"/>
      <c r="ATQ153" s="22"/>
      <c r="ATR153" s="22"/>
      <c r="ATS153" s="22"/>
      <c r="ATT153" s="22"/>
      <c r="ATU153" s="22"/>
      <c r="ATV153" s="22"/>
      <c r="ATW153" s="22"/>
      <c r="ATX153" s="22"/>
      <c r="ATY153" s="22"/>
      <c r="ATZ153" s="22"/>
      <c r="AUA153" s="22"/>
      <c r="AUB153" s="22"/>
      <c r="AUC153" s="22"/>
      <c r="AUD153" s="22"/>
      <c r="AUE153" s="22"/>
      <c r="AUF153" s="22"/>
      <c r="AUG153" s="22"/>
      <c r="AUH153" s="22"/>
      <c r="AUI153" s="22"/>
      <c r="AUJ153" s="22"/>
      <c r="AUK153" s="22"/>
      <c r="AUL153" s="22"/>
      <c r="AUM153" s="22"/>
      <c r="AUN153" s="22"/>
      <c r="AUO153" s="22"/>
      <c r="AUP153" s="22"/>
      <c r="AUQ153" s="22"/>
      <c r="AUR153" s="22"/>
      <c r="AUS153" s="22"/>
      <c r="AUT153" s="22"/>
      <c r="AUU153" s="22"/>
      <c r="AUV153" s="22"/>
      <c r="AUW153" s="22"/>
      <c r="AUX153" s="22"/>
      <c r="AUY153" s="22"/>
      <c r="AUZ153" s="22"/>
      <c r="AVA153" s="22"/>
      <c r="AVB153" s="22"/>
      <c r="AVC153" s="22"/>
      <c r="AVD153" s="22"/>
      <c r="AVE153" s="22"/>
      <c r="AVF153" s="22"/>
      <c r="AVG153" s="22"/>
      <c r="AVH153" s="22"/>
      <c r="AVI153" s="22"/>
      <c r="AVJ153" s="22"/>
      <c r="AVK153" s="22"/>
      <c r="AVL153" s="22"/>
      <c r="AVM153" s="22"/>
      <c r="AVN153" s="22"/>
      <c r="AVO153" s="22"/>
      <c r="AVP153" s="22"/>
      <c r="AVQ153" s="22"/>
      <c r="AVR153" s="22"/>
      <c r="AVS153" s="22"/>
      <c r="AVT153" s="22"/>
      <c r="AVU153" s="22"/>
      <c r="AVV153" s="22"/>
      <c r="AVW153" s="22"/>
      <c r="AVX153" s="22"/>
      <c r="AVY153" s="22"/>
      <c r="AVZ153" s="22"/>
      <c r="AWA153" s="22"/>
      <c r="AWB153" s="22"/>
      <c r="AWC153" s="22"/>
      <c r="AWD153" s="22"/>
      <c r="AWE153" s="22"/>
      <c r="AWF153" s="22"/>
      <c r="AWG153" s="22"/>
      <c r="AWH153" s="22"/>
      <c r="AWI153" s="22"/>
      <c r="AWJ153" s="22"/>
      <c r="AWK153" s="22"/>
      <c r="AWL153" s="22"/>
      <c r="AWM153" s="22"/>
      <c r="AWN153" s="22"/>
      <c r="AWO153" s="22"/>
      <c r="AWP153" s="22"/>
      <c r="AWQ153" s="22"/>
      <c r="AWR153" s="22"/>
      <c r="AWS153" s="22"/>
      <c r="AWT153" s="22"/>
      <c r="AWU153" s="22"/>
      <c r="AWV153" s="22"/>
      <c r="AWW153" s="22"/>
      <c r="AWX153" s="22"/>
      <c r="AWY153" s="22"/>
      <c r="AWZ153" s="22"/>
      <c r="AXA153" s="22"/>
      <c r="AXB153" s="22"/>
      <c r="AXC153" s="22"/>
      <c r="AXD153" s="22"/>
      <c r="AXE153" s="22"/>
      <c r="AXF153" s="22"/>
      <c r="AXG153" s="22"/>
      <c r="AXH153" s="22"/>
      <c r="AXI153" s="22"/>
      <c r="AXJ153" s="22"/>
      <c r="AXK153" s="22"/>
      <c r="AXL153" s="22"/>
      <c r="AXM153" s="22"/>
      <c r="AXN153" s="22"/>
      <c r="AXO153" s="22"/>
      <c r="AXP153" s="22"/>
      <c r="AXQ153" s="22"/>
      <c r="AXR153" s="22"/>
      <c r="AXS153" s="22"/>
      <c r="AXT153" s="22"/>
      <c r="AXU153" s="22"/>
      <c r="AXV153" s="22"/>
      <c r="AXW153" s="22"/>
      <c r="AXX153" s="22"/>
      <c r="AXY153" s="22"/>
      <c r="AXZ153" s="22"/>
      <c r="AYA153" s="22"/>
      <c r="AYB153" s="22"/>
      <c r="AYC153" s="22"/>
      <c r="AYD153" s="22"/>
      <c r="AYE153" s="22"/>
      <c r="AYF153" s="22"/>
      <c r="AYG153" s="22"/>
      <c r="AYH153" s="22"/>
      <c r="AYI153" s="22"/>
      <c r="AYJ153" s="22"/>
      <c r="AYK153" s="22"/>
      <c r="AYL153" s="22"/>
      <c r="AYM153" s="22"/>
      <c r="AYN153" s="22"/>
      <c r="AYO153" s="22"/>
      <c r="AYP153" s="22"/>
      <c r="AYQ153" s="22"/>
      <c r="AYR153" s="22"/>
      <c r="AYS153" s="22"/>
      <c r="AYT153" s="22"/>
      <c r="AYU153" s="22"/>
      <c r="AYV153" s="22"/>
      <c r="AYW153" s="22"/>
      <c r="AYX153" s="22"/>
      <c r="AYY153" s="22"/>
      <c r="AYZ153" s="22"/>
      <c r="AZA153" s="22"/>
      <c r="AZB153" s="22"/>
      <c r="AZC153" s="22"/>
      <c r="AZD153" s="22"/>
      <c r="AZE153" s="22"/>
      <c r="AZF153" s="22"/>
      <c r="AZG153" s="22"/>
      <c r="AZH153" s="22"/>
      <c r="AZI153" s="22"/>
      <c r="AZJ153" s="22"/>
      <c r="AZK153" s="22"/>
      <c r="AZL153" s="22"/>
      <c r="AZM153" s="22"/>
      <c r="AZN153" s="22"/>
      <c r="AZO153" s="22"/>
      <c r="AZP153" s="22"/>
      <c r="AZQ153" s="22"/>
      <c r="AZR153" s="22"/>
      <c r="AZS153" s="22"/>
      <c r="AZT153" s="22"/>
      <c r="AZU153" s="22"/>
      <c r="AZV153" s="22"/>
      <c r="AZW153" s="22"/>
      <c r="AZX153" s="22"/>
      <c r="AZY153" s="22"/>
      <c r="AZZ153" s="22"/>
      <c r="BAA153" s="22"/>
      <c r="BAB153" s="22"/>
      <c r="BAC153" s="22"/>
      <c r="BAD153" s="22"/>
      <c r="BAE153" s="22"/>
      <c r="BAF153" s="22"/>
      <c r="BAG153" s="22"/>
      <c r="BAH153" s="22"/>
      <c r="BAI153" s="22"/>
      <c r="BAJ153" s="22"/>
      <c r="BAK153" s="22"/>
      <c r="BAL153" s="22"/>
      <c r="BAM153" s="22"/>
      <c r="BAN153" s="22"/>
      <c r="BAO153" s="22"/>
      <c r="BAP153" s="22"/>
      <c r="BAQ153" s="22"/>
      <c r="BAR153" s="22"/>
      <c r="BAS153" s="22"/>
      <c r="BAT153" s="22"/>
      <c r="BAU153" s="22"/>
      <c r="BAV153" s="22"/>
      <c r="BAW153" s="22"/>
      <c r="BAX153" s="22"/>
      <c r="BAY153" s="22"/>
      <c r="BAZ153" s="22"/>
      <c r="BBA153" s="22"/>
      <c r="BBB153" s="22"/>
      <c r="BBC153" s="22"/>
      <c r="BBD153" s="22"/>
      <c r="BBE153" s="22"/>
      <c r="BBF153" s="22"/>
      <c r="BBG153" s="22"/>
      <c r="BBH153" s="22"/>
      <c r="BBI153" s="22"/>
      <c r="BBJ153" s="22"/>
      <c r="BBK153" s="22"/>
      <c r="BBL153" s="22"/>
      <c r="BBM153" s="22"/>
      <c r="BBN153" s="22"/>
      <c r="BBO153" s="22"/>
      <c r="BBP153" s="22"/>
      <c r="BBQ153" s="22"/>
      <c r="BBR153" s="22"/>
      <c r="BBS153" s="22"/>
      <c r="BBT153" s="22"/>
      <c r="BBU153" s="22"/>
      <c r="BBV153" s="22"/>
      <c r="BBW153" s="22"/>
      <c r="BBX153" s="22"/>
      <c r="BBY153" s="22"/>
      <c r="BBZ153" s="22"/>
      <c r="BCA153" s="22"/>
      <c r="BCB153" s="22"/>
      <c r="BCC153" s="22"/>
      <c r="BCD153" s="22"/>
      <c r="BCE153" s="22"/>
      <c r="BCF153" s="22"/>
      <c r="BCG153" s="22"/>
      <c r="BCH153" s="22"/>
      <c r="BCI153" s="22"/>
      <c r="BCJ153" s="22"/>
      <c r="BCK153" s="22"/>
      <c r="BCL153" s="22"/>
      <c r="BCM153" s="22"/>
      <c r="BCN153" s="22"/>
      <c r="BCO153" s="22"/>
      <c r="BCP153" s="22"/>
      <c r="BCQ153" s="22"/>
      <c r="BCR153" s="22"/>
      <c r="BCS153" s="22"/>
      <c r="BCT153" s="22"/>
      <c r="BCU153" s="22"/>
      <c r="BCV153" s="22"/>
      <c r="BCW153" s="22"/>
      <c r="BCX153" s="22"/>
      <c r="BCY153" s="22"/>
      <c r="BCZ153" s="22"/>
      <c r="BDA153" s="22"/>
      <c r="BDB153" s="22"/>
      <c r="BDC153" s="22"/>
      <c r="BDD153" s="22"/>
      <c r="BDE153" s="22"/>
      <c r="BDF153" s="22"/>
      <c r="BDG153" s="22"/>
      <c r="BDH153" s="22"/>
      <c r="BDI153" s="22"/>
      <c r="BDJ153" s="22"/>
      <c r="BDK153" s="22"/>
      <c r="BDL153" s="22"/>
      <c r="BDM153" s="22"/>
      <c r="BDN153" s="22"/>
      <c r="BDO153" s="22"/>
      <c r="BDP153" s="22"/>
      <c r="BDQ153" s="22"/>
      <c r="BDR153" s="22"/>
      <c r="BDS153" s="22"/>
      <c r="BDT153" s="22"/>
      <c r="BDU153" s="22"/>
      <c r="BDV153" s="22"/>
      <c r="BDW153" s="22"/>
      <c r="BDX153" s="22"/>
      <c r="BDY153" s="22"/>
      <c r="BDZ153" s="22"/>
      <c r="BEA153" s="22"/>
      <c r="BEB153" s="22"/>
      <c r="BEC153" s="22"/>
      <c r="BED153" s="22"/>
      <c r="BEE153" s="22"/>
      <c r="BEF153" s="22"/>
      <c r="BEG153" s="22"/>
      <c r="BEH153" s="22"/>
      <c r="BEI153" s="22"/>
      <c r="BEJ153" s="22"/>
      <c r="BEK153" s="22"/>
      <c r="BEL153" s="22"/>
      <c r="BEM153" s="22"/>
      <c r="BEN153" s="22"/>
      <c r="BEO153" s="22"/>
      <c r="BEP153" s="22"/>
      <c r="BEQ153" s="22"/>
      <c r="BER153" s="22"/>
      <c r="BES153" s="22"/>
      <c r="BET153" s="22"/>
      <c r="BEU153" s="22"/>
      <c r="BEV153" s="22"/>
      <c r="BEW153" s="22"/>
      <c r="BEX153" s="22"/>
      <c r="BEY153" s="22"/>
      <c r="BEZ153" s="22"/>
      <c r="BFA153" s="22"/>
      <c r="BFB153" s="22"/>
      <c r="BFC153" s="22"/>
      <c r="BFD153" s="22"/>
      <c r="BFE153" s="22"/>
      <c r="BFF153" s="22"/>
      <c r="BFG153" s="22"/>
      <c r="BFH153" s="22"/>
      <c r="BFI153" s="22"/>
      <c r="BFJ153" s="22"/>
      <c r="BFK153" s="22"/>
      <c r="BFL153" s="22"/>
      <c r="BFM153" s="22"/>
      <c r="BFN153" s="22"/>
      <c r="BFO153" s="22"/>
      <c r="BFP153" s="22"/>
      <c r="BFQ153" s="22"/>
      <c r="BFR153" s="22"/>
      <c r="BFS153" s="22"/>
      <c r="BFT153" s="22"/>
      <c r="BFU153" s="22"/>
      <c r="BFV153" s="22"/>
      <c r="BFW153" s="22"/>
      <c r="BFX153" s="22"/>
      <c r="BFY153" s="22"/>
      <c r="BFZ153" s="22"/>
      <c r="BGA153" s="22"/>
      <c r="BGB153" s="22"/>
      <c r="BGC153" s="22"/>
      <c r="BGD153" s="22"/>
      <c r="BGE153" s="22"/>
      <c r="BGF153" s="22"/>
      <c r="BGG153" s="22"/>
      <c r="BGH153" s="22"/>
      <c r="BGI153" s="22"/>
      <c r="BGJ153" s="22"/>
      <c r="BGK153" s="22"/>
      <c r="BGL153" s="22"/>
      <c r="BGM153" s="22"/>
      <c r="BGN153" s="22"/>
      <c r="BGO153" s="22"/>
      <c r="BGP153" s="22"/>
      <c r="BGQ153" s="22"/>
      <c r="BGR153" s="22"/>
      <c r="BGS153" s="22"/>
      <c r="BGT153" s="22"/>
      <c r="BGU153" s="22"/>
      <c r="BGV153" s="22"/>
      <c r="BGW153" s="22"/>
      <c r="BGX153" s="22"/>
      <c r="BGY153" s="22"/>
      <c r="BGZ153" s="22"/>
      <c r="BHA153" s="22"/>
      <c r="BHB153" s="22"/>
      <c r="BHC153" s="22"/>
      <c r="BHD153" s="22"/>
      <c r="BHE153" s="22"/>
      <c r="BHF153" s="22"/>
      <c r="BHG153" s="22"/>
      <c r="BHH153" s="22"/>
      <c r="BHI153" s="22"/>
      <c r="BHJ153" s="22"/>
      <c r="BHK153" s="22"/>
      <c r="BHL153" s="22"/>
      <c r="BHM153" s="22"/>
      <c r="BHN153" s="22"/>
      <c r="BHO153" s="22"/>
      <c r="BHP153" s="22"/>
      <c r="BHQ153" s="22"/>
      <c r="BHR153" s="22"/>
      <c r="BHS153" s="22"/>
      <c r="BHT153" s="22"/>
      <c r="BHU153" s="22"/>
      <c r="BHV153" s="22"/>
      <c r="BHW153" s="22"/>
      <c r="BHX153" s="22"/>
      <c r="BHY153" s="22"/>
      <c r="BHZ153" s="22"/>
      <c r="BIA153" s="22"/>
      <c r="BIB153" s="22"/>
      <c r="BIC153" s="22"/>
      <c r="BID153" s="22"/>
      <c r="BIE153" s="22"/>
      <c r="BIF153" s="22"/>
      <c r="BIG153" s="22"/>
      <c r="BIH153" s="22"/>
      <c r="BII153" s="22"/>
      <c r="BIJ153" s="22"/>
      <c r="BIK153" s="22"/>
      <c r="BIL153" s="22"/>
      <c r="BIM153" s="22"/>
      <c r="BIN153" s="22"/>
      <c r="BIO153" s="22"/>
      <c r="BIP153" s="22"/>
      <c r="BIQ153" s="22"/>
      <c r="BIR153" s="22"/>
      <c r="BIS153" s="22"/>
      <c r="BIT153" s="22"/>
      <c r="BIU153" s="22"/>
      <c r="BIV153" s="22"/>
      <c r="BIW153" s="22"/>
      <c r="BIX153" s="22"/>
      <c r="BIY153" s="22"/>
      <c r="BIZ153" s="22"/>
      <c r="BJA153" s="22"/>
      <c r="BJB153" s="22"/>
      <c r="BJC153" s="22"/>
      <c r="BJD153" s="22"/>
      <c r="BJE153" s="22"/>
      <c r="BJF153" s="22"/>
      <c r="BJG153" s="22"/>
      <c r="BJH153" s="22"/>
      <c r="BJI153" s="22"/>
      <c r="BJJ153" s="22"/>
      <c r="BJK153" s="22"/>
      <c r="BJL153" s="22"/>
      <c r="BJM153" s="22"/>
      <c r="BJN153" s="22"/>
      <c r="BJO153" s="22"/>
      <c r="BJP153" s="22"/>
      <c r="BJQ153" s="22"/>
      <c r="BJR153" s="22"/>
      <c r="BJS153" s="22"/>
      <c r="BJT153" s="22"/>
      <c r="BJU153" s="22"/>
      <c r="BJV153" s="22"/>
      <c r="BJW153" s="22"/>
      <c r="BJX153" s="22"/>
      <c r="BJY153" s="22"/>
      <c r="BJZ153" s="22"/>
      <c r="BKA153" s="22"/>
      <c r="BKB153" s="22"/>
      <c r="BKC153" s="22"/>
      <c r="BKD153" s="22"/>
      <c r="BKE153" s="22"/>
      <c r="BKF153" s="22"/>
      <c r="BKG153" s="22"/>
      <c r="BKH153" s="22"/>
      <c r="BKI153" s="22"/>
      <c r="BKJ153" s="22"/>
      <c r="BKK153" s="22"/>
      <c r="BKL153" s="22"/>
      <c r="BKM153" s="22"/>
      <c r="BKN153" s="22"/>
      <c r="BKO153" s="22"/>
      <c r="BKP153" s="22"/>
      <c r="BKQ153" s="22"/>
      <c r="BKR153" s="22"/>
      <c r="BKS153" s="22"/>
      <c r="BKT153" s="22"/>
      <c r="BKU153" s="22"/>
      <c r="BKV153" s="22"/>
      <c r="BKW153" s="22"/>
      <c r="BKX153" s="22"/>
      <c r="BKY153" s="22"/>
      <c r="BKZ153" s="22"/>
      <c r="BLA153" s="22"/>
      <c r="BLB153" s="22"/>
      <c r="BLC153" s="22"/>
      <c r="BLD153" s="22"/>
      <c r="BLE153" s="22"/>
      <c r="BLF153" s="22"/>
      <c r="BLG153" s="22"/>
      <c r="BLH153" s="22"/>
      <c r="BLI153" s="22"/>
      <c r="BLJ153" s="22"/>
      <c r="BLK153" s="22"/>
      <c r="BLL153" s="22"/>
      <c r="BLM153" s="22"/>
      <c r="BLN153" s="22"/>
      <c r="BLO153" s="22"/>
      <c r="BLP153" s="22"/>
      <c r="BLQ153" s="22"/>
      <c r="BLR153" s="22"/>
      <c r="BLS153" s="22"/>
      <c r="BLT153" s="22"/>
      <c r="BLU153" s="22"/>
      <c r="BLV153" s="22"/>
      <c r="BLW153" s="22"/>
      <c r="BLX153" s="22"/>
      <c r="BLY153" s="22"/>
      <c r="BLZ153" s="22"/>
      <c r="BMA153" s="22"/>
      <c r="BMB153" s="22"/>
      <c r="BMC153" s="22"/>
      <c r="BMD153" s="22"/>
      <c r="BME153" s="22"/>
      <c r="BMF153" s="22"/>
      <c r="BMG153" s="22"/>
      <c r="BMH153" s="22"/>
      <c r="BMI153" s="22"/>
      <c r="BMJ153" s="22"/>
      <c r="BMK153" s="22"/>
      <c r="BML153" s="22"/>
      <c r="BMM153" s="22"/>
      <c r="BMN153" s="22"/>
      <c r="BMO153" s="22"/>
      <c r="BMP153" s="22"/>
      <c r="BMQ153" s="22"/>
      <c r="BMR153" s="22"/>
      <c r="BMS153" s="22"/>
      <c r="BMT153" s="22"/>
      <c r="BMU153" s="22"/>
      <c r="BMV153" s="22"/>
      <c r="BMW153" s="22"/>
      <c r="BMX153" s="22"/>
      <c r="BMY153" s="22"/>
      <c r="BMZ153" s="22"/>
      <c r="BNA153" s="22"/>
      <c r="BNB153" s="22"/>
      <c r="BNC153" s="22"/>
      <c r="BND153" s="22"/>
      <c r="BNE153" s="22"/>
      <c r="BNF153" s="22"/>
      <c r="BNG153" s="22"/>
      <c r="BNH153" s="22"/>
      <c r="BNI153" s="22"/>
      <c r="BNJ153" s="22"/>
      <c r="BNK153" s="22"/>
      <c r="BNL153" s="22"/>
      <c r="BNM153" s="22"/>
      <c r="BNN153" s="22"/>
      <c r="BNO153" s="22"/>
      <c r="BNP153" s="22"/>
      <c r="BNQ153" s="22"/>
      <c r="BNR153" s="22"/>
      <c r="BNS153" s="22"/>
      <c r="BNT153" s="22"/>
      <c r="BNU153" s="22"/>
      <c r="BNV153" s="22"/>
      <c r="BNW153" s="22"/>
      <c r="BNX153" s="22"/>
      <c r="BNY153" s="22"/>
      <c r="BNZ153" s="22"/>
      <c r="BOA153" s="22"/>
      <c r="BOB153" s="22"/>
      <c r="BOC153" s="22"/>
      <c r="BOD153" s="22"/>
      <c r="BOE153" s="22"/>
      <c r="BOF153" s="22"/>
      <c r="BOG153" s="22"/>
      <c r="BOH153" s="22"/>
      <c r="BOI153" s="22"/>
      <c r="BOJ153" s="22"/>
      <c r="BOK153" s="22"/>
      <c r="BOL153" s="22"/>
      <c r="BOM153" s="22"/>
      <c r="BON153" s="22"/>
      <c r="BOO153" s="22"/>
      <c r="BOP153" s="22"/>
      <c r="BOQ153" s="22"/>
      <c r="BOR153" s="22"/>
      <c r="BOS153" s="22"/>
      <c r="BOT153" s="22"/>
      <c r="BOU153" s="22"/>
      <c r="BOV153" s="22"/>
      <c r="BOW153" s="22"/>
      <c r="BOX153" s="22"/>
      <c r="BOY153" s="22"/>
      <c r="BOZ153" s="22"/>
      <c r="BPA153" s="22"/>
      <c r="BPB153" s="22"/>
      <c r="BPC153" s="22"/>
      <c r="BPD153" s="22"/>
      <c r="BPE153" s="22"/>
      <c r="BPF153" s="22"/>
      <c r="BPG153" s="22"/>
      <c r="BPH153" s="22"/>
      <c r="BPI153" s="22"/>
      <c r="BPJ153" s="22"/>
      <c r="BPK153" s="22"/>
      <c r="BPL153" s="22"/>
      <c r="BPM153" s="22"/>
      <c r="BPN153" s="22"/>
      <c r="BPO153" s="22"/>
      <c r="BPP153" s="22"/>
      <c r="BPQ153" s="22"/>
      <c r="BPR153" s="22"/>
      <c r="BPS153" s="22"/>
      <c r="BPT153" s="22"/>
      <c r="BPU153" s="22"/>
      <c r="BPV153" s="22"/>
      <c r="BPW153" s="22"/>
      <c r="BPX153" s="22"/>
      <c r="BPY153" s="22"/>
      <c r="BPZ153" s="22"/>
      <c r="BQA153" s="22"/>
      <c r="BQB153" s="22"/>
      <c r="BQC153" s="22"/>
      <c r="BQD153" s="22"/>
      <c r="BQE153" s="22"/>
      <c r="BQF153" s="22"/>
      <c r="BQG153" s="22"/>
      <c r="BQH153" s="22"/>
      <c r="BQI153" s="22"/>
      <c r="BQJ153" s="22"/>
      <c r="BQK153" s="22"/>
      <c r="BQL153" s="22"/>
      <c r="BQM153" s="22"/>
      <c r="BQN153" s="22"/>
      <c r="BQO153" s="22"/>
      <c r="BQP153" s="22"/>
      <c r="BQQ153" s="22"/>
      <c r="BQR153" s="22"/>
      <c r="BQS153" s="22"/>
      <c r="BQT153" s="22"/>
      <c r="BQU153" s="22"/>
      <c r="BQV153" s="22"/>
      <c r="BQW153" s="22"/>
      <c r="BQX153" s="22"/>
      <c r="BQY153" s="22"/>
      <c r="BQZ153" s="22"/>
      <c r="BRA153" s="22"/>
      <c r="BRB153" s="22"/>
      <c r="BRC153" s="22"/>
      <c r="BRD153" s="22"/>
      <c r="BRE153" s="22"/>
      <c r="BRF153" s="22"/>
      <c r="BRG153" s="22"/>
      <c r="BRH153" s="22"/>
      <c r="BRI153" s="22"/>
      <c r="BRJ153" s="22"/>
      <c r="BRK153" s="22"/>
      <c r="BRL153" s="22"/>
      <c r="BRM153" s="22"/>
      <c r="BRN153" s="22"/>
      <c r="BRO153" s="22"/>
      <c r="BRP153" s="22"/>
      <c r="BRQ153" s="22"/>
      <c r="BRR153" s="22"/>
      <c r="BRS153" s="22"/>
      <c r="BRT153" s="22"/>
      <c r="BRU153" s="22"/>
      <c r="BRV153" s="22"/>
      <c r="BRW153" s="22"/>
      <c r="BRX153" s="22"/>
      <c r="BRY153" s="22"/>
      <c r="BRZ153" s="22"/>
      <c r="BSA153" s="22"/>
      <c r="BSB153" s="22"/>
      <c r="BSC153" s="22"/>
      <c r="BSD153" s="22"/>
      <c r="BSE153" s="22"/>
      <c r="BSF153" s="22"/>
      <c r="BSG153" s="22"/>
      <c r="BSH153" s="22"/>
      <c r="BSI153" s="22"/>
      <c r="BSJ153" s="22"/>
      <c r="BSK153" s="22"/>
      <c r="BSL153" s="22"/>
      <c r="BSM153" s="22"/>
      <c r="BSN153" s="22"/>
      <c r="BSO153" s="22"/>
      <c r="BSP153" s="22"/>
      <c r="BSQ153" s="22"/>
      <c r="BSR153" s="22"/>
      <c r="BSS153" s="22"/>
      <c r="BST153" s="22"/>
      <c r="BSU153" s="22"/>
      <c r="BSV153" s="22"/>
      <c r="BSW153" s="22"/>
      <c r="BSX153" s="22"/>
      <c r="BSY153" s="22"/>
      <c r="BSZ153" s="22"/>
      <c r="BTA153" s="22"/>
      <c r="BTB153" s="22"/>
      <c r="BTC153" s="22"/>
      <c r="BTD153" s="22"/>
      <c r="BTE153" s="22"/>
      <c r="BTF153" s="22"/>
      <c r="BTG153" s="22"/>
      <c r="BTH153" s="22"/>
      <c r="BTI153" s="22"/>
      <c r="BTJ153" s="22"/>
      <c r="BTK153" s="22"/>
      <c r="BTL153" s="22"/>
      <c r="BTM153" s="22"/>
      <c r="BTN153" s="22"/>
      <c r="BTO153" s="22"/>
      <c r="BTP153" s="22"/>
      <c r="BTQ153" s="22"/>
      <c r="BTR153" s="22"/>
      <c r="BTS153" s="22"/>
      <c r="BTT153" s="22"/>
      <c r="BTU153" s="22"/>
      <c r="BTV153" s="22"/>
      <c r="BTW153" s="22"/>
      <c r="BTX153" s="22"/>
      <c r="BTY153" s="22"/>
      <c r="BTZ153" s="22"/>
      <c r="BUA153" s="22"/>
      <c r="BUB153" s="22"/>
      <c r="BUC153" s="22"/>
      <c r="BUD153" s="22"/>
      <c r="BUE153" s="22"/>
      <c r="BUF153" s="22"/>
      <c r="BUG153" s="22"/>
      <c r="BUH153" s="22"/>
      <c r="BUI153" s="22"/>
      <c r="BUJ153" s="22"/>
      <c r="BUK153" s="22"/>
      <c r="BUL153" s="22"/>
      <c r="BUM153" s="22"/>
      <c r="BUN153" s="22"/>
      <c r="BUO153" s="22"/>
      <c r="BUP153" s="22"/>
      <c r="BUQ153" s="22"/>
      <c r="BUR153" s="22"/>
      <c r="BUS153" s="22"/>
      <c r="BUT153" s="22"/>
      <c r="BUU153" s="22"/>
      <c r="BUV153" s="22"/>
      <c r="BUW153" s="22"/>
      <c r="BUX153" s="22"/>
      <c r="BUY153" s="22"/>
      <c r="BUZ153" s="22"/>
      <c r="BVA153" s="22"/>
      <c r="BVB153" s="22"/>
      <c r="BVC153" s="22"/>
      <c r="BVD153" s="22"/>
      <c r="BVE153" s="22"/>
      <c r="BVF153" s="22"/>
      <c r="BVG153" s="22"/>
      <c r="BVH153" s="22"/>
      <c r="BVI153" s="22"/>
      <c r="BVJ153" s="22"/>
      <c r="BVK153" s="22"/>
      <c r="BVL153" s="22"/>
      <c r="BVM153" s="22"/>
      <c r="BVN153" s="22"/>
      <c r="BVO153" s="22"/>
      <c r="BVP153" s="22"/>
      <c r="BVQ153" s="22"/>
      <c r="BVR153" s="22"/>
      <c r="BVS153" s="22"/>
      <c r="BVT153" s="22"/>
      <c r="BVU153" s="22"/>
      <c r="BVV153" s="22"/>
      <c r="BVW153" s="22"/>
      <c r="BVX153" s="22"/>
      <c r="BVY153" s="22"/>
      <c r="BVZ153" s="22"/>
      <c r="BWA153" s="22"/>
      <c r="BWB153" s="22"/>
      <c r="BWC153" s="22"/>
      <c r="BWD153" s="22"/>
      <c r="BWE153" s="22"/>
      <c r="BWF153" s="22"/>
      <c r="BWG153" s="22"/>
      <c r="BWH153" s="22"/>
      <c r="BWI153" s="22"/>
      <c r="BWJ153" s="22"/>
      <c r="BWK153" s="22"/>
      <c r="BWL153" s="22"/>
      <c r="BWM153" s="22"/>
      <c r="BWN153" s="22"/>
      <c r="BWO153" s="22"/>
      <c r="BWP153" s="22"/>
      <c r="BWQ153" s="22"/>
      <c r="BWR153" s="22"/>
      <c r="BWS153" s="22"/>
      <c r="BWT153" s="22"/>
      <c r="BWU153" s="22"/>
      <c r="BWV153" s="22"/>
      <c r="BWW153" s="22"/>
      <c r="BWX153" s="22"/>
      <c r="BWY153" s="22"/>
      <c r="BWZ153" s="22"/>
      <c r="BXA153" s="22"/>
      <c r="BXB153" s="22"/>
      <c r="BXC153" s="22"/>
      <c r="BXD153" s="22"/>
      <c r="BXE153" s="22"/>
      <c r="BXF153" s="22"/>
      <c r="BXG153" s="22"/>
      <c r="BXH153" s="22"/>
      <c r="BXI153" s="22"/>
      <c r="BXJ153" s="22"/>
      <c r="BXK153" s="22"/>
      <c r="BXL153" s="22"/>
      <c r="BXM153" s="22"/>
      <c r="BXN153" s="22"/>
      <c r="BXO153" s="22"/>
      <c r="BXP153" s="22"/>
      <c r="BXQ153" s="22"/>
      <c r="BXR153" s="22"/>
      <c r="BXS153" s="22"/>
      <c r="BXT153" s="22"/>
      <c r="BXU153" s="22"/>
      <c r="BXV153" s="22"/>
      <c r="BXW153" s="22"/>
      <c r="BXX153" s="22"/>
      <c r="BXY153" s="22"/>
      <c r="BXZ153" s="22"/>
      <c r="BYA153" s="22"/>
      <c r="BYB153" s="22"/>
      <c r="BYC153" s="22"/>
      <c r="BYD153" s="22"/>
      <c r="BYE153" s="22"/>
      <c r="BYF153" s="22"/>
      <c r="BYG153" s="22"/>
      <c r="BYH153" s="22"/>
      <c r="BYI153" s="22"/>
      <c r="BYJ153" s="22"/>
      <c r="BYK153" s="22"/>
      <c r="BYL153" s="22"/>
      <c r="BYM153" s="22"/>
      <c r="BYN153" s="22"/>
      <c r="BYO153" s="22"/>
      <c r="BYP153" s="22"/>
      <c r="BYQ153" s="22"/>
      <c r="BYR153" s="22"/>
      <c r="BYS153" s="22"/>
      <c r="BYT153" s="22"/>
      <c r="BYU153" s="22"/>
      <c r="BYV153" s="22"/>
      <c r="BYW153" s="22"/>
      <c r="BYX153" s="22"/>
      <c r="BYY153" s="22"/>
      <c r="BYZ153" s="22"/>
      <c r="BZA153" s="22"/>
      <c r="BZB153" s="22"/>
      <c r="BZC153" s="22"/>
      <c r="BZD153" s="22"/>
      <c r="BZE153" s="22"/>
      <c r="BZF153" s="22"/>
      <c r="BZG153" s="22"/>
      <c r="BZH153" s="22"/>
      <c r="BZI153" s="22"/>
      <c r="BZJ153" s="22"/>
      <c r="BZK153" s="22"/>
      <c r="BZL153" s="22"/>
      <c r="BZM153" s="22"/>
      <c r="BZN153" s="22"/>
      <c r="BZO153" s="22"/>
      <c r="BZP153" s="22"/>
      <c r="BZQ153" s="22"/>
      <c r="BZR153" s="22"/>
      <c r="BZS153" s="22"/>
      <c r="BZT153" s="22"/>
      <c r="BZU153" s="22"/>
      <c r="BZV153" s="22"/>
      <c r="BZW153" s="22"/>
      <c r="BZX153" s="22"/>
      <c r="BZY153" s="22"/>
      <c r="BZZ153" s="22"/>
      <c r="CAA153" s="22"/>
      <c r="CAB153" s="22"/>
      <c r="CAC153" s="22"/>
      <c r="CAD153" s="22"/>
      <c r="CAE153" s="22"/>
      <c r="CAF153" s="22"/>
      <c r="CAG153" s="22"/>
      <c r="CAH153" s="22"/>
      <c r="CAI153" s="22"/>
      <c r="CAJ153" s="22"/>
      <c r="CAK153" s="22"/>
      <c r="CAL153" s="22"/>
      <c r="CAM153" s="22"/>
      <c r="CAN153" s="22"/>
      <c r="CAO153" s="22"/>
      <c r="CAP153" s="22"/>
      <c r="CAQ153" s="22"/>
      <c r="CAR153" s="22"/>
      <c r="CAS153" s="22"/>
      <c r="CAT153" s="22"/>
      <c r="CAU153" s="22"/>
      <c r="CAV153" s="22"/>
      <c r="CAW153" s="22"/>
      <c r="CAX153" s="22"/>
      <c r="CAY153" s="22"/>
      <c r="CAZ153" s="22"/>
      <c r="CBA153" s="22"/>
      <c r="CBB153" s="22"/>
      <c r="CBC153" s="22"/>
      <c r="CBD153" s="22"/>
      <c r="CBE153" s="22"/>
      <c r="CBF153" s="22"/>
      <c r="CBG153" s="22"/>
      <c r="CBH153" s="22"/>
      <c r="CBI153" s="22"/>
      <c r="CBJ153" s="22"/>
      <c r="CBK153" s="22"/>
      <c r="CBL153" s="22"/>
      <c r="CBM153" s="22"/>
      <c r="CBN153" s="22"/>
      <c r="CBO153" s="22"/>
      <c r="CBP153" s="22"/>
      <c r="CBQ153" s="22"/>
      <c r="CBR153" s="22"/>
      <c r="CBS153" s="22"/>
      <c r="CBT153" s="22"/>
      <c r="CBU153" s="22"/>
      <c r="CBV153" s="22"/>
      <c r="CBW153" s="22"/>
      <c r="CBX153" s="22"/>
      <c r="CBY153" s="22"/>
      <c r="CBZ153" s="22"/>
      <c r="CCA153" s="22"/>
      <c r="CCB153" s="22"/>
      <c r="CCC153" s="22"/>
      <c r="CCD153" s="22"/>
      <c r="CCE153" s="22"/>
      <c r="CCF153" s="22"/>
      <c r="CCG153" s="22"/>
      <c r="CCH153" s="22"/>
      <c r="CCI153" s="22"/>
      <c r="CCJ153" s="22"/>
      <c r="CCK153" s="22"/>
      <c r="CCL153" s="22"/>
      <c r="CCM153" s="22"/>
      <c r="CCN153" s="22"/>
      <c r="CCO153" s="22"/>
      <c r="CCP153" s="22"/>
      <c r="CCQ153" s="22"/>
      <c r="CCR153" s="22"/>
      <c r="CCS153" s="22"/>
      <c r="CCT153" s="22"/>
      <c r="CCU153" s="22"/>
      <c r="CCV153" s="22"/>
      <c r="CCW153" s="22"/>
      <c r="CCX153" s="22"/>
      <c r="CCY153" s="22"/>
      <c r="CCZ153" s="22"/>
      <c r="CDA153" s="22"/>
      <c r="CDB153" s="22"/>
      <c r="CDC153" s="22"/>
      <c r="CDD153" s="22"/>
      <c r="CDE153" s="22"/>
      <c r="CDF153" s="22"/>
      <c r="CDG153" s="22"/>
      <c r="CDH153" s="22"/>
      <c r="CDI153" s="22"/>
      <c r="CDJ153" s="22"/>
      <c r="CDK153" s="22"/>
      <c r="CDL153" s="22"/>
      <c r="CDM153" s="22"/>
      <c r="CDN153" s="22"/>
      <c r="CDO153" s="22"/>
      <c r="CDP153" s="22"/>
      <c r="CDQ153" s="22"/>
      <c r="CDR153" s="22"/>
      <c r="CDS153" s="22"/>
      <c r="CDT153" s="22"/>
      <c r="CDU153" s="22"/>
      <c r="CDV153" s="22"/>
      <c r="CDW153" s="22"/>
      <c r="CDX153" s="22"/>
      <c r="CDY153" s="22"/>
      <c r="CDZ153" s="22"/>
      <c r="CEA153" s="22"/>
      <c r="CEB153" s="22"/>
      <c r="CEC153" s="22"/>
      <c r="CED153" s="22"/>
      <c r="CEE153" s="22"/>
      <c r="CEF153" s="22"/>
      <c r="CEG153" s="22"/>
      <c r="CEH153" s="22"/>
      <c r="CEI153" s="22"/>
      <c r="CEJ153" s="22"/>
      <c r="CEK153" s="22"/>
      <c r="CEL153" s="22"/>
      <c r="CEM153" s="22"/>
      <c r="CEN153" s="22"/>
      <c r="CEO153" s="22"/>
      <c r="CEP153" s="22"/>
      <c r="CEQ153" s="22"/>
      <c r="CER153" s="22"/>
      <c r="CES153" s="22"/>
      <c r="CET153" s="22"/>
      <c r="CEU153" s="22"/>
      <c r="CEV153" s="22"/>
      <c r="CEW153" s="22"/>
      <c r="CEX153" s="22"/>
      <c r="CEY153" s="22"/>
      <c r="CEZ153" s="22"/>
      <c r="CFA153" s="22"/>
      <c r="CFB153" s="22"/>
      <c r="CFC153" s="22"/>
      <c r="CFD153" s="22"/>
      <c r="CFE153" s="22"/>
      <c r="CFF153" s="22"/>
      <c r="CFG153" s="22"/>
      <c r="CFH153" s="22"/>
      <c r="CFI153" s="22"/>
      <c r="CFJ153" s="22"/>
      <c r="CFK153" s="22"/>
      <c r="CFL153" s="22"/>
      <c r="CFM153" s="22"/>
      <c r="CFN153" s="22"/>
      <c r="CFO153" s="22"/>
      <c r="CFP153" s="22"/>
      <c r="CFQ153" s="22"/>
      <c r="CFR153" s="22"/>
      <c r="CFS153" s="22"/>
      <c r="CFT153" s="22"/>
      <c r="CFU153" s="22"/>
      <c r="CFV153" s="22"/>
      <c r="CFW153" s="22"/>
      <c r="CFX153" s="22"/>
      <c r="CFY153" s="22"/>
      <c r="CFZ153" s="22"/>
      <c r="CGA153" s="22"/>
      <c r="CGB153" s="22"/>
      <c r="CGC153" s="22"/>
      <c r="CGD153" s="22"/>
      <c r="CGE153" s="22"/>
      <c r="CGF153" s="22"/>
      <c r="CGG153" s="22"/>
      <c r="CGH153" s="22"/>
      <c r="CGI153" s="22"/>
      <c r="CGJ153" s="22"/>
      <c r="CGK153" s="22"/>
      <c r="CGL153" s="22"/>
      <c r="CGM153" s="22"/>
      <c r="CGN153" s="22"/>
      <c r="CGO153" s="22"/>
      <c r="CGP153" s="22"/>
      <c r="CGQ153" s="22"/>
      <c r="CGR153" s="22"/>
      <c r="CGS153" s="22"/>
      <c r="CGT153" s="22"/>
      <c r="CGU153" s="22"/>
      <c r="CGV153" s="22"/>
      <c r="CGW153" s="22"/>
      <c r="CGX153" s="22"/>
      <c r="CGY153" s="22"/>
      <c r="CGZ153" s="22"/>
      <c r="CHA153" s="22"/>
      <c r="CHB153" s="22"/>
      <c r="CHC153" s="22"/>
      <c r="CHD153" s="22"/>
      <c r="CHE153" s="22"/>
      <c r="CHF153" s="22"/>
      <c r="CHG153" s="22"/>
      <c r="CHH153" s="22"/>
      <c r="CHI153" s="22"/>
      <c r="CHJ153" s="22"/>
      <c r="CHK153" s="22"/>
      <c r="CHL153" s="22"/>
      <c r="CHM153" s="22"/>
      <c r="CHN153" s="22"/>
      <c r="CHO153" s="22"/>
      <c r="CHP153" s="22"/>
      <c r="CHQ153" s="22"/>
      <c r="CHR153" s="22"/>
      <c r="CHS153" s="22"/>
      <c r="CHT153" s="22"/>
      <c r="CHU153" s="22"/>
      <c r="CHV153" s="22"/>
      <c r="CHW153" s="22"/>
      <c r="CHX153" s="22"/>
      <c r="CHY153" s="22"/>
      <c r="CHZ153" s="22"/>
      <c r="CIA153" s="22"/>
      <c r="CIB153" s="22"/>
      <c r="CIC153" s="22"/>
      <c r="CID153" s="22"/>
      <c r="CIE153" s="22"/>
      <c r="CIF153" s="22"/>
      <c r="CIG153" s="22"/>
      <c r="CIH153" s="22"/>
      <c r="CII153" s="22"/>
      <c r="CIJ153" s="22"/>
      <c r="CIK153" s="22"/>
      <c r="CIL153" s="22"/>
      <c r="CIM153" s="22"/>
      <c r="CIN153" s="22"/>
      <c r="CIO153" s="22"/>
      <c r="CIP153" s="22"/>
      <c r="CIQ153" s="22"/>
      <c r="CIR153" s="22"/>
      <c r="CIS153" s="22"/>
      <c r="CIT153" s="22"/>
      <c r="CIU153" s="22"/>
      <c r="CIV153" s="22"/>
      <c r="CIW153" s="22"/>
      <c r="CIX153" s="22"/>
      <c r="CIY153" s="22"/>
      <c r="CIZ153" s="22"/>
      <c r="CJA153" s="22"/>
      <c r="CJB153" s="22"/>
      <c r="CJC153" s="22"/>
      <c r="CJD153" s="22"/>
      <c r="CJE153" s="22"/>
      <c r="CJF153" s="22"/>
      <c r="CJG153" s="22"/>
      <c r="CJH153" s="22"/>
      <c r="CJI153" s="22"/>
      <c r="CJJ153" s="22"/>
      <c r="CJK153" s="22"/>
      <c r="CJL153" s="22"/>
      <c r="CJM153" s="22"/>
      <c r="CJN153" s="22"/>
      <c r="CJO153" s="22"/>
      <c r="CJP153" s="22"/>
      <c r="CJQ153" s="22"/>
      <c r="CJR153" s="22"/>
      <c r="CJS153" s="22"/>
      <c r="CJT153" s="22"/>
      <c r="CJU153" s="22"/>
      <c r="CJV153" s="22"/>
      <c r="CJW153" s="22"/>
      <c r="CJX153" s="22"/>
      <c r="CJY153" s="22"/>
      <c r="CJZ153" s="22"/>
      <c r="CKA153" s="22"/>
      <c r="CKB153" s="22"/>
      <c r="CKC153" s="22"/>
      <c r="CKD153" s="22"/>
      <c r="CKE153" s="22"/>
      <c r="CKF153" s="22"/>
      <c r="CKG153" s="22"/>
      <c r="CKH153" s="22"/>
      <c r="CKI153" s="22"/>
      <c r="CKJ153" s="22"/>
      <c r="CKK153" s="22"/>
      <c r="CKL153" s="22"/>
      <c r="CKM153" s="22"/>
      <c r="CKN153" s="22"/>
      <c r="CKO153" s="22"/>
      <c r="CKP153" s="22"/>
      <c r="CKQ153" s="22"/>
      <c r="CKR153" s="22"/>
      <c r="CKS153" s="22"/>
      <c r="CKT153" s="22"/>
      <c r="CKU153" s="22"/>
      <c r="CKV153" s="22"/>
      <c r="CKW153" s="22"/>
      <c r="CKX153" s="22"/>
      <c r="CKY153" s="22"/>
      <c r="CKZ153" s="22"/>
      <c r="CLA153" s="22"/>
      <c r="CLB153" s="22"/>
      <c r="CLC153" s="22"/>
      <c r="CLD153" s="22"/>
      <c r="CLE153" s="22"/>
      <c r="CLF153" s="22"/>
      <c r="CLG153" s="22"/>
      <c r="CLH153" s="22"/>
      <c r="CLI153" s="22"/>
      <c r="CLJ153" s="22"/>
      <c r="CLK153" s="22"/>
      <c r="CLL153" s="22"/>
      <c r="CLM153" s="22"/>
      <c r="CLN153" s="22"/>
      <c r="CLO153" s="22"/>
      <c r="CLP153" s="22"/>
      <c r="CLQ153" s="22"/>
      <c r="CLR153" s="22"/>
      <c r="CLS153" s="22"/>
      <c r="CLT153" s="22"/>
      <c r="CLU153" s="22"/>
      <c r="CLV153" s="22"/>
      <c r="CLW153" s="22"/>
      <c r="CLX153" s="22"/>
      <c r="CLY153" s="22"/>
      <c r="CLZ153" s="22"/>
      <c r="CMA153" s="22"/>
      <c r="CMB153" s="22"/>
      <c r="CMC153" s="22"/>
      <c r="CMD153" s="22"/>
      <c r="CME153" s="22"/>
      <c r="CMF153" s="22"/>
      <c r="CMG153" s="22"/>
      <c r="CMH153" s="22"/>
      <c r="CMI153" s="22"/>
      <c r="CMJ153" s="22"/>
      <c r="CMK153" s="22"/>
      <c r="CML153" s="22"/>
      <c r="CMM153" s="22"/>
      <c r="CMN153" s="22"/>
      <c r="CMO153" s="22"/>
      <c r="CMP153" s="22"/>
      <c r="CMQ153" s="22"/>
      <c r="CMR153" s="22"/>
      <c r="CMS153" s="22"/>
      <c r="CMT153" s="22"/>
      <c r="CMU153" s="22"/>
      <c r="CMV153" s="22"/>
      <c r="CMW153" s="22"/>
      <c r="CMX153" s="22"/>
      <c r="CMY153" s="22"/>
      <c r="CMZ153" s="22"/>
      <c r="CNA153" s="22"/>
      <c r="CNB153" s="22"/>
      <c r="CNC153" s="22"/>
      <c r="CND153" s="22"/>
      <c r="CNE153" s="22"/>
      <c r="CNF153" s="22"/>
      <c r="CNG153" s="22"/>
      <c r="CNH153" s="22"/>
      <c r="CNI153" s="22"/>
      <c r="CNJ153" s="22"/>
      <c r="CNK153" s="22"/>
      <c r="CNL153" s="22"/>
      <c r="CNM153" s="22"/>
      <c r="CNN153" s="22"/>
      <c r="CNO153" s="22"/>
      <c r="CNP153" s="22"/>
      <c r="CNQ153" s="22"/>
      <c r="CNR153" s="22"/>
      <c r="CNS153" s="22"/>
      <c r="CNT153" s="22"/>
      <c r="CNU153" s="22"/>
      <c r="CNV153" s="22"/>
      <c r="CNW153" s="22"/>
      <c r="CNX153" s="22"/>
      <c r="CNY153" s="22"/>
      <c r="CNZ153" s="22"/>
      <c r="COA153" s="22"/>
      <c r="COB153" s="22"/>
      <c r="COC153" s="22"/>
      <c r="COD153" s="22"/>
      <c r="COE153" s="22"/>
      <c r="COF153" s="22"/>
      <c r="COG153" s="22"/>
      <c r="COH153" s="22"/>
      <c r="COI153" s="22"/>
      <c r="COJ153" s="22"/>
      <c r="COK153" s="22"/>
      <c r="COL153" s="22"/>
      <c r="COM153" s="22"/>
      <c r="CON153" s="22"/>
      <c r="COO153" s="22"/>
      <c r="COP153" s="22"/>
      <c r="COQ153" s="22"/>
      <c r="COR153" s="22"/>
      <c r="COS153" s="22"/>
      <c r="COT153" s="22"/>
      <c r="COU153" s="22"/>
      <c r="COV153" s="22"/>
      <c r="COW153" s="22"/>
      <c r="COX153" s="22"/>
      <c r="COY153" s="22"/>
      <c r="COZ153" s="22"/>
      <c r="CPA153" s="22"/>
      <c r="CPB153" s="22"/>
      <c r="CPC153" s="22"/>
      <c r="CPD153" s="22"/>
      <c r="CPE153" s="22"/>
      <c r="CPF153" s="22"/>
      <c r="CPG153" s="22"/>
      <c r="CPH153" s="22"/>
      <c r="CPI153" s="22"/>
      <c r="CPJ153" s="22"/>
      <c r="CPK153" s="22"/>
      <c r="CPL153" s="22"/>
      <c r="CPM153" s="22"/>
      <c r="CPN153" s="22"/>
      <c r="CPO153" s="22"/>
      <c r="CPP153" s="22"/>
      <c r="CPQ153" s="22"/>
      <c r="CPR153" s="22"/>
      <c r="CPS153" s="22"/>
      <c r="CPT153" s="22"/>
      <c r="CPU153" s="22"/>
      <c r="CPV153" s="22"/>
      <c r="CPW153" s="22"/>
      <c r="CPX153" s="22"/>
      <c r="CPY153" s="22"/>
      <c r="CPZ153" s="22"/>
      <c r="CQA153" s="22"/>
      <c r="CQB153" s="22"/>
      <c r="CQC153" s="22"/>
      <c r="CQD153" s="22"/>
      <c r="CQE153" s="22"/>
      <c r="CQF153" s="22"/>
      <c r="CQG153" s="22"/>
      <c r="CQH153" s="22"/>
      <c r="CQI153" s="22"/>
      <c r="CQJ153" s="22"/>
      <c r="CQK153" s="22"/>
      <c r="CQL153" s="22"/>
      <c r="CQM153" s="22"/>
      <c r="CQN153" s="22"/>
      <c r="CQO153" s="22"/>
      <c r="CQP153" s="22"/>
      <c r="CQQ153" s="22"/>
      <c r="CQR153" s="22"/>
      <c r="CQS153" s="22"/>
      <c r="CQT153" s="22"/>
      <c r="CQU153" s="22"/>
      <c r="CQV153" s="22"/>
      <c r="CQW153" s="22"/>
      <c r="CQX153" s="22"/>
      <c r="CQY153" s="22"/>
      <c r="CQZ153" s="22"/>
      <c r="CRA153" s="22"/>
      <c r="CRB153" s="22"/>
      <c r="CRC153" s="22"/>
      <c r="CRD153" s="22"/>
      <c r="CRE153" s="22"/>
      <c r="CRF153" s="22"/>
      <c r="CRG153" s="22"/>
      <c r="CRH153" s="22"/>
      <c r="CRI153" s="22"/>
      <c r="CRJ153" s="22"/>
      <c r="CRK153" s="22"/>
      <c r="CRL153" s="22"/>
      <c r="CRM153" s="22"/>
      <c r="CRN153" s="22"/>
      <c r="CRO153" s="22"/>
      <c r="CRP153" s="22"/>
      <c r="CRQ153" s="22"/>
      <c r="CRR153" s="22"/>
      <c r="CRS153" s="22"/>
      <c r="CRT153" s="22"/>
      <c r="CRU153" s="22"/>
      <c r="CRV153" s="22"/>
      <c r="CRW153" s="22"/>
      <c r="CRX153" s="22"/>
      <c r="CRY153" s="22"/>
      <c r="CRZ153" s="22"/>
      <c r="CSA153" s="22"/>
      <c r="CSB153" s="22"/>
      <c r="CSC153" s="22"/>
      <c r="CSD153" s="22"/>
      <c r="CSE153" s="22"/>
      <c r="CSF153" s="22"/>
      <c r="CSG153" s="22"/>
      <c r="CSH153" s="22"/>
      <c r="CSI153" s="22"/>
      <c r="CSJ153" s="22"/>
      <c r="CSK153" s="22"/>
      <c r="CSL153" s="22"/>
      <c r="CSM153" s="22"/>
      <c r="CSN153" s="22"/>
      <c r="CSO153" s="22"/>
      <c r="CSP153" s="22"/>
      <c r="CSQ153" s="22"/>
      <c r="CSR153" s="22"/>
      <c r="CSS153" s="22"/>
      <c r="CST153" s="22"/>
      <c r="CSU153" s="22"/>
      <c r="CSV153" s="22"/>
      <c r="CSW153" s="22"/>
      <c r="CSX153" s="22"/>
      <c r="CSY153" s="22"/>
      <c r="CSZ153" s="22"/>
      <c r="CTA153" s="22"/>
      <c r="CTB153" s="22"/>
      <c r="CTC153" s="22"/>
      <c r="CTD153" s="22"/>
      <c r="CTE153" s="22"/>
      <c r="CTF153" s="22"/>
      <c r="CTG153" s="22"/>
      <c r="CTH153" s="22"/>
      <c r="CTI153" s="22"/>
      <c r="CTJ153" s="22"/>
      <c r="CTK153" s="22"/>
      <c r="CTL153" s="22"/>
      <c r="CTM153" s="22"/>
      <c r="CTN153" s="22"/>
      <c r="CTO153" s="22"/>
      <c r="CTP153" s="22"/>
      <c r="CTQ153" s="22"/>
      <c r="CTR153" s="22"/>
      <c r="CTS153" s="22"/>
      <c r="CTT153" s="22"/>
      <c r="CTU153" s="22"/>
      <c r="CTV153" s="22"/>
      <c r="CTW153" s="22"/>
      <c r="CTX153" s="22"/>
      <c r="CTY153" s="22"/>
      <c r="CTZ153" s="22"/>
      <c r="CUA153" s="22"/>
      <c r="CUB153" s="22"/>
      <c r="CUC153" s="22"/>
      <c r="CUD153" s="22"/>
      <c r="CUE153" s="22"/>
      <c r="CUF153" s="22"/>
      <c r="CUG153" s="22"/>
      <c r="CUH153" s="22"/>
      <c r="CUI153" s="22"/>
      <c r="CUJ153" s="22"/>
      <c r="CUK153" s="22"/>
      <c r="CUL153" s="22"/>
      <c r="CUM153" s="22"/>
      <c r="CUN153" s="22"/>
      <c r="CUO153" s="22"/>
      <c r="CUP153" s="22"/>
      <c r="CUQ153" s="22"/>
      <c r="CUR153" s="22"/>
      <c r="CUS153" s="22"/>
      <c r="CUT153" s="22"/>
      <c r="CUU153" s="22"/>
      <c r="CUV153" s="22"/>
      <c r="CUW153" s="22"/>
      <c r="CUX153" s="22"/>
      <c r="CUY153" s="22"/>
      <c r="CUZ153" s="22"/>
      <c r="CVA153" s="22"/>
      <c r="CVB153" s="22"/>
      <c r="CVC153" s="22"/>
      <c r="CVD153" s="22"/>
      <c r="CVE153" s="22"/>
      <c r="CVF153" s="22"/>
      <c r="CVG153" s="22"/>
      <c r="CVH153" s="22"/>
      <c r="CVI153" s="22"/>
      <c r="CVJ153" s="22"/>
      <c r="CVK153" s="22"/>
      <c r="CVL153" s="22"/>
      <c r="CVM153" s="22"/>
      <c r="CVN153" s="22"/>
      <c r="CVO153" s="22"/>
      <c r="CVP153" s="22"/>
      <c r="CVQ153" s="22"/>
      <c r="CVR153" s="22"/>
      <c r="CVS153" s="22"/>
      <c r="CVT153" s="22"/>
      <c r="CVU153" s="22"/>
      <c r="CVV153" s="22"/>
      <c r="CVW153" s="22"/>
      <c r="CVX153" s="22"/>
      <c r="CVY153" s="22"/>
      <c r="CVZ153" s="22"/>
      <c r="CWA153" s="22"/>
      <c r="CWB153" s="22"/>
      <c r="CWC153" s="22"/>
      <c r="CWD153" s="22"/>
      <c r="CWE153" s="22"/>
      <c r="CWF153" s="22"/>
      <c r="CWG153" s="22"/>
      <c r="CWH153" s="22"/>
      <c r="CWI153" s="22"/>
      <c r="CWJ153" s="22"/>
      <c r="CWK153" s="22"/>
      <c r="CWL153" s="22"/>
      <c r="CWM153" s="22"/>
      <c r="CWN153" s="22"/>
      <c r="CWO153" s="22"/>
      <c r="CWP153" s="22"/>
      <c r="CWQ153" s="22"/>
      <c r="CWR153" s="22"/>
      <c r="CWS153" s="22"/>
      <c r="CWT153" s="22"/>
      <c r="CWU153" s="22"/>
      <c r="CWV153" s="22"/>
      <c r="CWW153" s="22"/>
      <c r="CWX153" s="22"/>
      <c r="CWY153" s="22"/>
      <c r="CWZ153" s="22"/>
      <c r="CXA153" s="22"/>
      <c r="CXB153" s="22"/>
      <c r="CXC153" s="22"/>
      <c r="CXD153" s="22"/>
      <c r="CXE153" s="22"/>
      <c r="CXF153" s="22"/>
      <c r="CXG153" s="22"/>
      <c r="CXH153" s="22"/>
      <c r="CXI153" s="22"/>
      <c r="CXJ153" s="22"/>
      <c r="CXK153" s="22"/>
      <c r="CXL153" s="22"/>
      <c r="CXM153" s="22"/>
      <c r="CXN153" s="22"/>
      <c r="CXO153" s="22"/>
      <c r="CXP153" s="22"/>
      <c r="CXQ153" s="22"/>
      <c r="CXR153" s="22"/>
      <c r="CXS153" s="22"/>
      <c r="CXT153" s="22"/>
      <c r="CXU153" s="22"/>
      <c r="CXV153" s="22"/>
      <c r="CXW153" s="22"/>
      <c r="CXX153" s="22"/>
      <c r="CXY153" s="22"/>
      <c r="CXZ153" s="22"/>
      <c r="CYA153" s="22"/>
      <c r="CYB153" s="22"/>
      <c r="CYC153" s="22"/>
      <c r="CYD153" s="22"/>
      <c r="CYE153" s="22"/>
      <c r="CYF153" s="22"/>
      <c r="CYG153" s="22"/>
      <c r="CYH153" s="22"/>
      <c r="CYI153" s="22"/>
      <c r="CYJ153" s="22"/>
      <c r="CYK153" s="22"/>
      <c r="CYL153" s="22"/>
      <c r="CYM153" s="22"/>
      <c r="CYN153" s="22"/>
      <c r="CYO153" s="22"/>
      <c r="CYP153" s="22"/>
      <c r="CYQ153" s="22"/>
      <c r="CYR153" s="22"/>
      <c r="CYS153" s="22"/>
      <c r="CYT153" s="22"/>
      <c r="CYU153" s="22"/>
      <c r="CYV153" s="22"/>
      <c r="CYW153" s="22"/>
      <c r="CYX153" s="22"/>
      <c r="CYY153" s="22"/>
      <c r="CYZ153" s="22"/>
      <c r="CZA153" s="22"/>
      <c r="CZB153" s="22"/>
      <c r="CZC153" s="22"/>
      <c r="CZD153" s="22"/>
      <c r="CZE153" s="22"/>
      <c r="CZF153" s="22"/>
      <c r="CZG153" s="22"/>
      <c r="CZH153" s="22"/>
      <c r="CZI153" s="22"/>
      <c r="CZJ153" s="22"/>
      <c r="CZK153" s="22"/>
      <c r="CZL153" s="22"/>
      <c r="CZM153" s="22"/>
      <c r="CZN153" s="22"/>
      <c r="CZO153" s="22"/>
      <c r="CZP153" s="22"/>
      <c r="CZQ153" s="22"/>
      <c r="CZR153" s="22"/>
      <c r="CZS153" s="22"/>
      <c r="CZT153" s="22"/>
      <c r="CZU153" s="22"/>
      <c r="CZV153" s="22"/>
      <c r="CZW153" s="22"/>
      <c r="CZX153" s="22"/>
      <c r="CZY153" s="22"/>
      <c r="CZZ153" s="22"/>
      <c r="DAA153" s="22"/>
      <c r="DAB153" s="22"/>
      <c r="DAC153" s="22"/>
      <c r="DAD153" s="22"/>
      <c r="DAE153" s="22"/>
      <c r="DAF153" s="22"/>
      <c r="DAG153" s="22"/>
      <c r="DAH153" s="22"/>
      <c r="DAI153" s="22"/>
      <c r="DAJ153" s="22"/>
      <c r="DAK153" s="22"/>
      <c r="DAL153" s="22"/>
      <c r="DAM153" s="22"/>
      <c r="DAN153" s="22"/>
      <c r="DAO153" s="22"/>
      <c r="DAP153" s="22"/>
      <c r="DAQ153" s="22"/>
      <c r="DAR153" s="22"/>
      <c r="DAS153" s="22"/>
      <c r="DAT153" s="22"/>
      <c r="DAU153" s="22"/>
      <c r="DAV153" s="22"/>
      <c r="DAW153" s="22"/>
      <c r="DAX153" s="22"/>
      <c r="DAY153" s="22"/>
      <c r="DAZ153" s="22"/>
      <c r="DBA153" s="22"/>
      <c r="DBB153" s="22"/>
      <c r="DBC153" s="22"/>
      <c r="DBD153" s="22"/>
      <c r="DBE153" s="22"/>
      <c r="DBF153" s="22"/>
      <c r="DBG153" s="22"/>
      <c r="DBH153" s="22"/>
      <c r="DBI153" s="22"/>
      <c r="DBJ153" s="22"/>
      <c r="DBK153" s="22"/>
      <c r="DBL153" s="22"/>
      <c r="DBM153" s="22"/>
      <c r="DBN153" s="22"/>
      <c r="DBO153" s="22"/>
      <c r="DBP153" s="22"/>
      <c r="DBQ153" s="22"/>
      <c r="DBR153" s="22"/>
      <c r="DBS153" s="22"/>
      <c r="DBT153" s="22"/>
      <c r="DBU153" s="22"/>
      <c r="DBV153" s="22"/>
      <c r="DBW153" s="22"/>
      <c r="DBX153" s="22"/>
      <c r="DBY153" s="22"/>
      <c r="DBZ153" s="22"/>
      <c r="DCA153" s="22"/>
      <c r="DCB153" s="22"/>
      <c r="DCC153" s="22"/>
      <c r="DCD153" s="22"/>
      <c r="DCE153" s="22"/>
      <c r="DCF153" s="22"/>
      <c r="DCG153" s="22"/>
      <c r="DCH153" s="22"/>
      <c r="DCI153" s="22"/>
      <c r="DCJ153" s="22"/>
      <c r="DCK153" s="22"/>
      <c r="DCL153" s="22"/>
      <c r="DCM153" s="22"/>
      <c r="DCN153" s="22"/>
      <c r="DCO153" s="22"/>
      <c r="DCP153" s="22"/>
      <c r="DCQ153" s="22"/>
      <c r="DCR153" s="22"/>
      <c r="DCS153" s="22"/>
      <c r="DCT153" s="22"/>
      <c r="DCU153" s="22"/>
      <c r="DCV153" s="22"/>
      <c r="DCW153" s="22"/>
      <c r="DCX153" s="22"/>
      <c r="DCY153" s="22"/>
      <c r="DCZ153" s="22"/>
      <c r="DDA153" s="22"/>
      <c r="DDB153" s="22"/>
      <c r="DDC153" s="22"/>
      <c r="DDD153" s="22"/>
      <c r="DDE153" s="22"/>
      <c r="DDF153" s="22"/>
      <c r="DDG153" s="22"/>
      <c r="DDH153" s="22"/>
      <c r="DDI153" s="22"/>
      <c r="DDJ153" s="22"/>
      <c r="DDK153" s="22"/>
      <c r="DDL153" s="22"/>
      <c r="DDM153" s="22"/>
      <c r="DDN153" s="22"/>
      <c r="DDO153" s="22"/>
      <c r="DDP153" s="22"/>
      <c r="DDQ153" s="22"/>
      <c r="DDR153" s="22"/>
      <c r="DDS153" s="22"/>
      <c r="DDT153" s="22"/>
      <c r="DDU153" s="22"/>
      <c r="DDV153" s="22"/>
      <c r="DDW153" s="22"/>
      <c r="DDX153" s="22"/>
      <c r="DDY153" s="22"/>
      <c r="DDZ153" s="22"/>
      <c r="DEA153" s="22"/>
      <c r="DEB153" s="22"/>
      <c r="DEC153" s="22"/>
      <c r="DED153" s="22"/>
      <c r="DEE153" s="22"/>
      <c r="DEF153" s="22"/>
      <c r="DEG153" s="22"/>
      <c r="DEH153" s="22"/>
      <c r="DEI153" s="22"/>
      <c r="DEJ153" s="22"/>
      <c r="DEK153" s="22"/>
      <c r="DEL153" s="22"/>
      <c r="DEM153" s="22"/>
      <c r="DEN153" s="22"/>
      <c r="DEO153" s="22"/>
      <c r="DEP153" s="22"/>
      <c r="DEQ153" s="22"/>
      <c r="DER153" s="22"/>
      <c r="DES153" s="22"/>
      <c r="DET153" s="22"/>
      <c r="DEU153" s="22"/>
      <c r="DEV153" s="22"/>
      <c r="DEW153" s="22"/>
      <c r="DEX153" s="22"/>
      <c r="DEY153" s="22"/>
      <c r="DEZ153" s="22"/>
      <c r="DFA153" s="22"/>
      <c r="DFB153" s="22"/>
      <c r="DFC153" s="22"/>
      <c r="DFD153" s="22"/>
      <c r="DFE153" s="22"/>
      <c r="DFF153" s="22"/>
      <c r="DFG153" s="22"/>
      <c r="DFH153" s="22"/>
      <c r="DFI153" s="22"/>
      <c r="DFJ153" s="22"/>
      <c r="DFK153" s="22"/>
      <c r="DFL153" s="22"/>
      <c r="DFM153" s="22"/>
      <c r="DFN153" s="22"/>
      <c r="DFO153" s="22"/>
      <c r="DFP153" s="22"/>
      <c r="DFQ153" s="22"/>
      <c r="DFR153" s="22"/>
      <c r="DFS153" s="22"/>
      <c r="DFT153" s="22"/>
      <c r="DFU153" s="22"/>
      <c r="DFV153" s="22"/>
      <c r="DFW153" s="22"/>
      <c r="DFX153" s="22"/>
      <c r="DFY153" s="22"/>
      <c r="DFZ153" s="22"/>
      <c r="DGA153" s="22"/>
      <c r="DGB153" s="22"/>
      <c r="DGC153" s="22"/>
      <c r="DGD153" s="22"/>
      <c r="DGE153" s="22"/>
      <c r="DGF153" s="22"/>
      <c r="DGG153" s="22"/>
      <c r="DGH153" s="22"/>
      <c r="DGI153" s="22"/>
      <c r="DGJ153" s="22"/>
      <c r="DGK153" s="22"/>
      <c r="DGL153" s="22"/>
      <c r="DGM153" s="22"/>
      <c r="DGN153" s="22"/>
      <c r="DGO153" s="22"/>
      <c r="DGP153" s="22"/>
      <c r="DGQ153" s="22"/>
      <c r="DGR153" s="22"/>
      <c r="DGS153" s="22"/>
      <c r="DGT153" s="22"/>
      <c r="DGU153" s="22"/>
      <c r="DGV153" s="22"/>
      <c r="DGW153" s="22"/>
      <c r="DGX153" s="22"/>
      <c r="DGY153" s="22"/>
      <c r="DGZ153" s="22"/>
      <c r="DHA153" s="22"/>
      <c r="DHB153" s="22"/>
      <c r="DHC153" s="22"/>
      <c r="DHD153" s="22"/>
      <c r="DHE153" s="22"/>
      <c r="DHF153" s="22"/>
      <c r="DHG153" s="22"/>
      <c r="DHH153" s="22"/>
      <c r="DHI153" s="22"/>
      <c r="DHJ153" s="22"/>
      <c r="DHK153" s="22"/>
      <c r="DHL153" s="22"/>
      <c r="DHM153" s="22"/>
      <c r="DHN153" s="22"/>
      <c r="DHO153" s="22"/>
      <c r="DHP153" s="22"/>
      <c r="DHQ153" s="22"/>
      <c r="DHR153" s="22"/>
      <c r="DHS153" s="22"/>
      <c r="DHT153" s="22"/>
      <c r="DHU153" s="22"/>
      <c r="DHV153" s="22"/>
      <c r="DHW153" s="22"/>
      <c r="DHX153" s="22"/>
      <c r="DHY153" s="22"/>
      <c r="DHZ153" s="22"/>
      <c r="DIA153" s="22"/>
      <c r="DIB153" s="22"/>
      <c r="DIC153" s="22"/>
      <c r="DID153" s="22"/>
      <c r="DIE153" s="22"/>
      <c r="DIF153" s="22"/>
      <c r="DIG153" s="22"/>
      <c r="DIH153" s="22"/>
      <c r="DII153" s="22"/>
      <c r="DIJ153" s="22"/>
      <c r="DIK153" s="22"/>
      <c r="DIL153" s="22"/>
      <c r="DIM153" s="22"/>
      <c r="DIN153" s="22"/>
      <c r="DIO153" s="22"/>
      <c r="DIP153" s="22"/>
      <c r="DIQ153" s="22"/>
      <c r="DIR153" s="22"/>
      <c r="DIS153" s="22"/>
      <c r="DIT153" s="22"/>
      <c r="DIU153" s="22"/>
      <c r="DIV153" s="22"/>
      <c r="DIW153" s="22"/>
      <c r="DIX153" s="22"/>
      <c r="DIY153" s="22"/>
      <c r="DIZ153" s="22"/>
      <c r="DJA153" s="22"/>
      <c r="DJB153" s="22"/>
      <c r="DJC153" s="22"/>
      <c r="DJD153" s="22"/>
      <c r="DJE153" s="22"/>
      <c r="DJF153" s="22"/>
      <c r="DJG153" s="22"/>
      <c r="DJH153" s="22"/>
      <c r="DJI153" s="22"/>
      <c r="DJJ153" s="22"/>
      <c r="DJK153" s="22"/>
      <c r="DJL153" s="22"/>
      <c r="DJM153" s="22"/>
      <c r="DJN153" s="22"/>
      <c r="DJO153" s="22"/>
      <c r="DJP153" s="22"/>
      <c r="DJQ153" s="22"/>
      <c r="DJR153" s="22"/>
      <c r="DJS153" s="22"/>
      <c r="DJT153" s="22"/>
      <c r="DJU153" s="22"/>
      <c r="DJV153" s="22"/>
      <c r="DJW153" s="22"/>
      <c r="DJX153" s="22"/>
      <c r="DJY153" s="22"/>
      <c r="DJZ153" s="22"/>
      <c r="DKA153" s="22"/>
      <c r="DKB153" s="22"/>
      <c r="DKC153" s="22"/>
      <c r="DKD153" s="22"/>
      <c r="DKE153" s="22"/>
      <c r="DKF153" s="22"/>
      <c r="DKG153" s="22"/>
      <c r="DKH153" s="22"/>
      <c r="DKI153" s="22"/>
      <c r="DKJ153" s="22"/>
      <c r="DKK153" s="22"/>
      <c r="DKL153" s="22"/>
      <c r="DKM153" s="22"/>
      <c r="DKN153" s="22"/>
      <c r="DKO153" s="22"/>
      <c r="DKP153" s="22"/>
      <c r="DKQ153" s="22"/>
      <c r="DKR153" s="22"/>
      <c r="DKS153" s="22"/>
      <c r="DKT153" s="22"/>
      <c r="DKU153" s="22"/>
      <c r="DKV153" s="22"/>
      <c r="DKW153" s="22"/>
      <c r="DKX153" s="22"/>
      <c r="DKY153" s="22"/>
      <c r="DKZ153" s="22"/>
      <c r="DLA153" s="22"/>
      <c r="DLB153" s="22"/>
      <c r="DLC153" s="22"/>
      <c r="DLD153" s="22"/>
      <c r="DLE153" s="22"/>
      <c r="DLF153" s="22"/>
      <c r="DLG153" s="22"/>
      <c r="DLH153" s="22"/>
      <c r="DLI153" s="22"/>
      <c r="DLJ153" s="22"/>
      <c r="DLK153" s="22"/>
      <c r="DLL153" s="22"/>
      <c r="DLM153" s="22"/>
      <c r="DLN153" s="22"/>
      <c r="DLO153" s="22"/>
      <c r="DLP153" s="22"/>
      <c r="DLQ153" s="22"/>
      <c r="DLR153" s="22"/>
      <c r="DLS153" s="22"/>
      <c r="DLT153" s="22"/>
      <c r="DLU153" s="22"/>
      <c r="DLV153" s="22"/>
      <c r="DLW153" s="22"/>
      <c r="DLX153" s="22"/>
      <c r="DLY153" s="22"/>
      <c r="DLZ153" s="22"/>
      <c r="DMA153" s="22"/>
      <c r="DMB153" s="22"/>
      <c r="DMC153" s="22"/>
      <c r="DMD153" s="22"/>
      <c r="DME153" s="22"/>
      <c r="DMF153" s="22"/>
      <c r="DMG153" s="22"/>
      <c r="DMH153" s="22"/>
      <c r="DMI153" s="22"/>
      <c r="DMJ153" s="22"/>
      <c r="DMK153" s="22"/>
      <c r="DML153" s="22"/>
      <c r="DMM153" s="22"/>
      <c r="DMN153" s="22"/>
      <c r="DMO153" s="22"/>
      <c r="DMP153" s="22"/>
      <c r="DMQ153" s="22"/>
      <c r="DMR153" s="22"/>
      <c r="DMS153" s="22"/>
      <c r="DMT153" s="22"/>
      <c r="DMU153" s="22"/>
      <c r="DMV153" s="22"/>
      <c r="DMW153" s="22"/>
      <c r="DMX153" s="22"/>
      <c r="DMY153" s="22"/>
      <c r="DMZ153" s="22"/>
      <c r="DNA153" s="22"/>
      <c r="DNB153" s="22"/>
      <c r="DNC153" s="22"/>
      <c r="DND153" s="22"/>
      <c r="DNE153" s="22"/>
      <c r="DNF153" s="22"/>
      <c r="DNG153" s="22"/>
      <c r="DNH153" s="22"/>
      <c r="DNI153" s="22"/>
      <c r="DNJ153" s="22"/>
      <c r="DNK153" s="22"/>
      <c r="DNL153" s="22"/>
      <c r="DNM153" s="22"/>
      <c r="DNN153" s="22"/>
      <c r="DNO153" s="22"/>
      <c r="DNP153" s="22"/>
      <c r="DNQ153" s="22"/>
      <c r="DNR153" s="22"/>
      <c r="DNS153" s="22"/>
      <c r="DNT153" s="22"/>
      <c r="DNU153" s="22"/>
      <c r="DNV153" s="22"/>
      <c r="DNW153" s="22"/>
      <c r="DNX153" s="22"/>
      <c r="DNY153" s="22"/>
      <c r="DNZ153" s="22"/>
      <c r="DOA153" s="22"/>
      <c r="DOB153" s="22"/>
      <c r="DOC153" s="22"/>
      <c r="DOD153" s="22"/>
      <c r="DOE153" s="22"/>
      <c r="DOF153" s="22"/>
      <c r="DOG153" s="22"/>
      <c r="DOH153" s="22"/>
      <c r="DOI153" s="22"/>
      <c r="DOJ153" s="22"/>
      <c r="DOK153" s="22"/>
      <c r="DOL153" s="22"/>
      <c r="DOM153" s="22"/>
      <c r="DON153" s="22"/>
      <c r="DOO153" s="22"/>
      <c r="DOP153" s="22"/>
      <c r="DOQ153" s="22"/>
      <c r="DOR153" s="22"/>
      <c r="DOS153" s="22"/>
      <c r="DOT153" s="22"/>
      <c r="DOU153" s="22"/>
      <c r="DOV153" s="22"/>
      <c r="DOW153" s="22"/>
      <c r="DOX153" s="22"/>
      <c r="DOY153" s="22"/>
      <c r="DOZ153" s="22"/>
      <c r="DPA153" s="22"/>
      <c r="DPB153" s="22"/>
      <c r="DPC153" s="22"/>
      <c r="DPD153" s="22"/>
      <c r="DPE153" s="22"/>
      <c r="DPF153" s="22"/>
      <c r="DPG153" s="22"/>
      <c r="DPH153" s="22"/>
      <c r="DPI153" s="22"/>
      <c r="DPJ153" s="22"/>
      <c r="DPK153" s="22"/>
      <c r="DPL153" s="22"/>
      <c r="DPM153" s="22"/>
      <c r="DPN153" s="22"/>
      <c r="DPO153" s="22"/>
      <c r="DPP153" s="22"/>
      <c r="DPQ153" s="22"/>
      <c r="DPR153" s="22"/>
      <c r="DPS153" s="22"/>
      <c r="DPT153" s="22"/>
      <c r="DPU153" s="22"/>
      <c r="DPV153" s="22"/>
      <c r="DPW153" s="22"/>
      <c r="DPX153" s="22"/>
      <c r="DPY153" s="22"/>
      <c r="DPZ153" s="22"/>
      <c r="DQA153" s="22"/>
      <c r="DQB153" s="22"/>
      <c r="DQC153" s="22"/>
      <c r="DQD153" s="22"/>
      <c r="DQE153" s="22"/>
      <c r="DQF153" s="22"/>
      <c r="DQG153" s="22"/>
      <c r="DQH153" s="22"/>
      <c r="DQI153" s="22"/>
      <c r="DQJ153" s="22"/>
      <c r="DQK153" s="22"/>
      <c r="DQL153" s="22"/>
      <c r="DQM153" s="22"/>
      <c r="DQN153" s="22"/>
      <c r="DQO153" s="22"/>
      <c r="DQP153" s="22"/>
      <c r="DQQ153" s="22"/>
      <c r="DQR153" s="22"/>
      <c r="DQS153" s="22"/>
      <c r="DQT153" s="22"/>
      <c r="DQU153" s="22"/>
      <c r="DQV153" s="22"/>
      <c r="DQW153" s="22"/>
      <c r="DQX153" s="22"/>
      <c r="DQY153" s="22"/>
      <c r="DQZ153" s="22"/>
      <c r="DRA153" s="22"/>
      <c r="DRB153" s="22"/>
      <c r="DRC153" s="22"/>
      <c r="DRD153" s="22"/>
      <c r="DRE153" s="22"/>
      <c r="DRF153" s="22"/>
      <c r="DRG153" s="22"/>
      <c r="DRH153" s="22"/>
      <c r="DRI153" s="22"/>
      <c r="DRJ153" s="22"/>
      <c r="DRK153" s="22"/>
      <c r="DRL153" s="22"/>
      <c r="DRM153" s="22"/>
      <c r="DRN153" s="22"/>
      <c r="DRO153" s="22"/>
      <c r="DRP153" s="22"/>
      <c r="DRQ153" s="22"/>
      <c r="DRR153" s="22"/>
      <c r="DRS153" s="22"/>
      <c r="DRT153" s="22"/>
      <c r="DRU153" s="22"/>
      <c r="DRV153" s="22"/>
      <c r="DRW153" s="22"/>
      <c r="DRX153" s="22"/>
      <c r="DRY153" s="22"/>
      <c r="DRZ153" s="22"/>
      <c r="DSA153" s="22"/>
      <c r="DSB153" s="22"/>
      <c r="DSC153" s="22"/>
      <c r="DSD153" s="22"/>
      <c r="DSE153" s="22"/>
      <c r="DSF153" s="22"/>
      <c r="DSG153" s="22"/>
      <c r="DSH153" s="22"/>
      <c r="DSI153" s="22"/>
      <c r="DSJ153" s="22"/>
      <c r="DSK153" s="22"/>
      <c r="DSL153" s="22"/>
      <c r="DSM153" s="22"/>
      <c r="DSN153" s="22"/>
      <c r="DSO153" s="22"/>
      <c r="DSP153" s="22"/>
      <c r="DSQ153" s="22"/>
      <c r="DSR153" s="22"/>
      <c r="DSS153" s="22"/>
      <c r="DST153" s="22"/>
      <c r="DSU153" s="22"/>
      <c r="DSV153" s="22"/>
      <c r="DSW153" s="22"/>
      <c r="DSX153" s="22"/>
      <c r="DSY153" s="22"/>
      <c r="DSZ153" s="22"/>
      <c r="DTA153" s="22"/>
      <c r="DTB153" s="22"/>
      <c r="DTC153" s="22"/>
      <c r="DTD153" s="22"/>
      <c r="DTE153" s="22"/>
      <c r="DTF153" s="22"/>
      <c r="DTG153" s="22"/>
      <c r="DTH153" s="22"/>
      <c r="DTI153" s="22"/>
      <c r="DTJ153" s="22"/>
      <c r="DTK153" s="22"/>
      <c r="DTL153" s="22"/>
      <c r="DTM153" s="22"/>
      <c r="DTN153" s="22"/>
      <c r="DTO153" s="22"/>
      <c r="DTP153" s="22"/>
      <c r="DTQ153" s="22"/>
      <c r="DTR153" s="22"/>
      <c r="DTS153" s="22"/>
      <c r="DTT153" s="22"/>
      <c r="DTU153" s="22"/>
      <c r="DTV153" s="22"/>
      <c r="DTW153" s="22"/>
      <c r="DTX153" s="22"/>
      <c r="DTY153" s="22"/>
      <c r="DTZ153" s="22"/>
      <c r="DUA153" s="22"/>
      <c r="DUB153" s="22"/>
      <c r="DUC153" s="22"/>
      <c r="DUD153" s="22"/>
      <c r="DUE153" s="22"/>
      <c r="DUF153" s="22"/>
      <c r="DUG153" s="22"/>
      <c r="DUH153" s="22"/>
      <c r="DUI153" s="22"/>
      <c r="DUJ153" s="22"/>
      <c r="DUK153" s="22"/>
      <c r="DUL153" s="22"/>
      <c r="DUM153" s="22"/>
      <c r="DUN153" s="22"/>
      <c r="DUO153" s="22"/>
      <c r="DUP153" s="22"/>
      <c r="DUQ153" s="22"/>
      <c r="DUR153" s="22"/>
      <c r="DUS153" s="22"/>
      <c r="DUT153" s="22"/>
      <c r="DUU153" s="22"/>
      <c r="DUV153" s="22"/>
      <c r="DUW153" s="22"/>
      <c r="DUX153" s="22"/>
      <c r="DUY153" s="22"/>
      <c r="DUZ153" s="22"/>
      <c r="DVA153" s="22"/>
      <c r="DVB153" s="22"/>
      <c r="DVC153" s="22"/>
      <c r="DVD153" s="22"/>
      <c r="DVE153" s="22"/>
      <c r="DVF153" s="22"/>
      <c r="DVG153" s="22"/>
      <c r="DVH153" s="22"/>
      <c r="DVI153" s="22"/>
      <c r="DVJ153" s="22"/>
      <c r="DVK153" s="22"/>
      <c r="DVL153" s="22"/>
      <c r="DVM153" s="22"/>
      <c r="DVN153" s="22"/>
      <c r="DVO153" s="22"/>
      <c r="DVP153" s="22"/>
      <c r="DVQ153" s="22"/>
      <c r="DVR153" s="22"/>
      <c r="DVS153" s="22"/>
      <c r="DVT153" s="22"/>
      <c r="DVU153" s="22"/>
      <c r="DVV153" s="22"/>
      <c r="DVW153" s="22"/>
      <c r="DVX153" s="22"/>
      <c r="DVY153" s="22"/>
      <c r="DVZ153" s="22"/>
      <c r="DWA153" s="22"/>
      <c r="DWB153" s="22"/>
      <c r="DWC153" s="22"/>
      <c r="DWD153" s="22"/>
      <c r="DWE153" s="22"/>
      <c r="DWF153" s="22"/>
      <c r="DWG153" s="22"/>
      <c r="DWH153" s="22"/>
      <c r="DWI153" s="22"/>
      <c r="DWJ153" s="22"/>
      <c r="DWK153" s="22"/>
      <c r="DWL153" s="22"/>
      <c r="DWM153" s="22"/>
      <c r="DWN153" s="22"/>
      <c r="DWO153" s="22"/>
      <c r="DWP153" s="22"/>
      <c r="DWQ153" s="22"/>
      <c r="DWR153" s="22"/>
      <c r="DWS153" s="22"/>
      <c r="DWT153" s="22"/>
      <c r="DWU153" s="22"/>
      <c r="DWV153" s="22"/>
      <c r="DWW153" s="22"/>
      <c r="DWX153" s="22"/>
      <c r="DWY153" s="22"/>
      <c r="DWZ153" s="22"/>
      <c r="DXA153" s="22"/>
      <c r="DXB153" s="22"/>
      <c r="DXC153" s="22"/>
      <c r="DXD153" s="22"/>
      <c r="DXE153" s="22"/>
      <c r="DXF153" s="22"/>
      <c r="DXG153" s="22"/>
      <c r="DXH153" s="22"/>
      <c r="DXI153" s="22"/>
      <c r="DXJ153" s="22"/>
      <c r="DXK153" s="22"/>
      <c r="DXL153" s="22"/>
      <c r="DXM153" s="22"/>
      <c r="DXN153" s="22"/>
      <c r="DXO153" s="22"/>
      <c r="DXP153" s="22"/>
      <c r="DXQ153" s="22"/>
      <c r="DXR153" s="22"/>
      <c r="DXS153" s="22"/>
      <c r="DXT153" s="22"/>
      <c r="DXU153" s="22"/>
      <c r="DXV153" s="22"/>
      <c r="DXW153" s="22"/>
      <c r="DXX153" s="22"/>
      <c r="DXY153" s="22"/>
      <c r="DXZ153" s="22"/>
      <c r="DYA153" s="22"/>
      <c r="DYB153" s="22"/>
      <c r="DYC153" s="22"/>
      <c r="DYD153" s="22"/>
      <c r="DYE153" s="22"/>
      <c r="DYF153" s="22"/>
      <c r="DYG153" s="22"/>
      <c r="DYH153" s="22"/>
      <c r="DYI153" s="22"/>
      <c r="DYJ153" s="22"/>
      <c r="DYK153" s="22"/>
      <c r="DYL153" s="22"/>
      <c r="DYM153" s="22"/>
      <c r="DYN153" s="22"/>
      <c r="DYO153" s="22"/>
      <c r="DYP153" s="22"/>
      <c r="DYQ153" s="22"/>
      <c r="DYR153" s="22"/>
      <c r="DYS153" s="22"/>
      <c r="DYT153" s="22"/>
      <c r="DYU153" s="22"/>
      <c r="DYV153" s="22"/>
      <c r="DYW153" s="22"/>
      <c r="DYX153" s="22"/>
      <c r="DYY153" s="22"/>
      <c r="DYZ153" s="22"/>
      <c r="DZA153" s="22"/>
      <c r="DZB153" s="22"/>
      <c r="DZC153" s="22"/>
      <c r="DZD153" s="22"/>
      <c r="DZE153" s="22"/>
      <c r="DZF153" s="22"/>
      <c r="DZG153" s="22"/>
      <c r="DZH153" s="22"/>
      <c r="DZI153" s="22"/>
      <c r="DZJ153" s="22"/>
      <c r="DZK153" s="22"/>
      <c r="DZL153" s="22"/>
      <c r="DZM153" s="22"/>
      <c r="DZN153" s="22"/>
      <c r="DZO153" s="22"/>
      <c r="DZP153" s="22"/>
      <c r="DZQ153" s="22"/>
      <c r="DZR153" s="22"/>
      <c r="DZS153" s="22"/>
      <c r="DZT153" s="22"/>
      <c r="DZU153" s="22"/>
      <c r="DZV153" s="22"/>
      <c r="DZW153" s="22"/>
      <c r="DZX153" s="22"/>
      <c r="DZY153" s="22"/>
      <c r="DZZ153" s="22"/>
      <c r="EAA153" s="22"/>
      <c r="EAB153" s="22"/>
      <c r="EAC153" s="22"/>
      <c r="EAD153" s="22"/>
      <c r="EAE153" s="22"/>
      <c r="EAF153" s="22"/>
      <c r="EAG153" s="22"/>
      <c r="EAH153" s="22"/>
      <c r="EAI153" s="22"/>
      <c r="EAJ153" s="22"/>
      <c r="EAK153" s="22"/>
      <c r="EAL153" s="22"/>
      <c r="EAM153" s="22"/>
      <c r="EAN153" s="22"/>
      <c r="EAO153" s="22"/>
      <c r="EAP153" s="22"/>
      <c r="EAQ153" s="22"/>
      <c r="EAR153" s="22"/>
      <c r="EAS153" s="22"/>
      <c r="EAT153" s="22"/>
      <c r="EAU153" s="22"/>
      <c r="EAV153" s="22"/>
      <c r="EAW153" s="22"/>
      <c r="EAX153" s="22"/>
      <c r="EAY153" s="22"/>
      <c r="EAZ153" s="22"/>
      <c r="EBA153" s="22"/>
      <c r="EBB153" s="22"/>
      <c r="EBC153" s="22"/>
      <c r="EBD153" s="22"/>
      <c r="EBE153" s="22"/>
      <c r="EBF153" s="22"/>
      <c r="EBG153" s="22"/>
      <c r="EBH153" s="22"/>
      <c r="EBI153" s="22"/>
      <c r="EBJ153" s="22"/>
      <c r="EBK153" s="22"/>
      <c r="EBL153" s="22"/>
      <c r="EBM153" s="22"/>
      <c r="EBN153" s="22"/>
      <c r="EBO153" s="22"/>
      <c r="EBP153" s="22"/>
      <c r="EBQ153" s="22"/>
      <c r="EBR153" s="22"/>
      <c r="EBS153" s="22"/>
      <c r="EBT153" s="22"/>
      <c r="EBU153" s="22"/>
      <c r="EBV153" s="22"/>
      <c r="EBW153" s="22"/>
      <c r="EBX153" s="22"/>
      <c r="EBY153" s="22"/>
      <c r="EBZ153" s="22"/>
      <c r="ECA153" s="22"/>
      <c r="ECB153" s="22"/>
      <c r="ECC153" s="22"/>
      <c r="ECD153" s="22"/>
      <c r="ECE153" s="22"/>
      <c r="ECF153" s="22"/>
      <c r="ECG153" s="22"/>
      <c r="ECH153" s="22"/>
      <c r="ECI153" s="22"/>
      <c r="ECJ153" s="22"/>
      <c r="ECK153" s="22"/>
      <c r="ECL153" s="22"/>
      <c r="ECM153" s="22"/>
      <c r="ECN153" s="22"/>
      <c r="ECO153" s="22"/>
      <c r="ECP153" s="22"/>
      <c r="ECQ153" s="22"/>
      <c r="ECR153" s="22"/>
      <c r="ECS153" s="22"/>
      <c r="ECT153" s="22"/>
      <c r="ECU153" s="22"/>
      <c r="ECV153" s="22"/>
      <c r="ECW153" s="22"/>
      <c r="ECX153" s="22"/>
      <c r="ECY153" s="22"/>
      <c r="ECZ153" s="22"/>
      <c r="EDA153" s="22"/>
      <c r="EDB153" s="22"/>
      <c r="EDC153" s="22"/>
      <c r="EDD153" s="22"/>
      <c r="EDE153" s="22"/>
      <c r="EDF153" s="22"/>
      <c r="EDG153" s="22"/>
      <c r="EDH153" s="22"/>
      <c r="EDI153" s="22"/>
      <c r="EDJ153" s="22"/>
      <c r="EDK153" s="22"/>
      <c r="EDL153" s="22"/>
      <c r="EDM153" s="22"/>
      <c r="EDN153" s="22"/>
      <c r="EDO153" s="22"/>
      <c r="EDP153" s="22"/>
      <c r="EDQ153" s="22"/>
      <c r="EDR153" s="22"/>
      <c r="EDS153" s="22"/>
      <c r="EDT153" s="22"/>
      <c r="EDU153" s="22"/>
      <c r="EDV153" s="22"/>
      <c r="EDW153" s="22"/>
      <c r="EDX153" s="22"/>
      <c r="EDY153" s="22"/>
      <c r="EDZ153" s="22"/>
      <c r="EEA153" s="22"/>
      <c r="EEB153" s="22"/>
      <c r="EEC153" s="22"/>
      <c r="EED153" s="22"/>
      <c r="EEE153" s="22"/>
      <c r="EEF153" s="22"/>
      <c r="EEG153" s="22"/>
      <c r="EEH153" s="22"/>
      <c r="EEI153" s="22"/>
      <c r="EEJ153" s="22"/>
      <c r="EEK153" s="22"/>
      <c r="EEL153" s="22"/>
      <c r="EEM153" s="22"/>
      <c r="EEN153" s="22"/>
      <c r="EEO153" s="22"/>
      <c r="EEP153" s="22"/>
      <c r="EEQ153" s="22"/>
      <c r="EER153" s="22"/>
      <c r="EES153" s="22"/>
      <c r="EET153" s="22"/>
      <c r="EEU153" s="22"/>
      <c r="EEV153" s="22"/>
      <c r="EEW153" s="22"/>
      <c r="EEX153" s="22"/>
      <c r="EEY153" s="22"/>
      <c r="EEZ153" s="22"/>
      <c r="EFA153" s="22"/>
      <c r="EFB153" s="22"/>
      <c r="EFC153" s="22"/>
      <c r="EFD153" s="22"/>
      <c r="EFE153" s="22"/>
      <c r="EFF153" s="22"/>
      <c r="EFG153" s="22"/>
      <c r="EFH153" s="22"/>
      <c r="EFI153" s="22"/>
      <c r="EFJ153" s="22"/>
      <c r="EFK153" s="22"/>
      <c r="EFL153" s="22"/>
      <c r="EFM153" s="22"/>
      <c r="EFN153" s="22"/>
      <c r="EFO153" s="22"/>
      <c r="EFP153" s="22"/>
      <c r="EFQ153" s="22"/>
      <c r="EFR153" s="22"/>
      <c r="EFS153" s="22"/>
      <c r="EFT153" s="22"/>
      <c r="EFU153" s="22"/>
      <c r="EFV153" s="22"/>
      <c r="EFW153" s="22"/>
      <c r="EFX153" s="22"/>
      <c r="EFY153" s="22"/>
      <c r="EFZ153" s="22"/>
      <c r="EGA153" s="22"/>
      <c r="EGB153" s="22"/>
      <c r="EGC153" s="22"/>
      <c r="EGD153" s="22"/>
      <c r="EGE153" s="22"/>
      <c r="EGF153" s="22"/>
      <c r="EGG153" s="22"/>
      <c r="EGH153" s="22"/>
      <c r="EGI153" s="22"/>
      <c r="EGJ153" s="22"/>
      <c r="EGK153" s="22"/>
      <c r="EGL153" s="22"/>
      <c r="EGM153" s="22"/>
      <c r="EGN153" s="22"/>
      <c r="EGO153" s="22"/>
      <c r="EGP153" s="22"/>
      <c r="EGQ153" s="22"/>
      <c r="EGR153" s="22"/>
      <c r="EGS153" s="22"/>
      <c r="EGT153" s="22"/>
      <c r="EGU153" s="22"/>
      <c r="EGV153" s="22"/>
      <c r="EGW153" s="22"/>
      <c r="EGX153" s="22"/>
      <c r="EGY153" s="22"/>
      <c r="EGZ153" s="22"/>
      <c r="EHA153" s="22"/>
      <c r="EHB153" s="22"/>
      <c r="EHC153" s="22"/>
      <c r="EHD153" s="22"/>
      <c r="EHE153" s="22"/>
      <c r="EHF153" s="22"/>
      <c r="EHG153" s="22"/>
      <c r="EHH153" s="22"/>
      <c r="EHI153" s="22"/>
      <c r="EHJ153" s="22"/>
      <c r="EHK153" s="22"/>
      <c r="EHL153" s="22"/>
      <c r="EHM153" s="22"/>
      <c r="EHN153" s="22"/>
      <c r="EHO153" s="22"/>
      <c r="EHP153" s="22"/>
      <c r="EHQ153" s="22"/>
      <c r="EHR153" s="22"/>
      <c r="EHS153" s="22"/>
      <c r="EHT153" s="22"/>
      <c r="EHU153" s="22"/>
      <c r="EHV153" s="22"/>
      <c r="EHW153" s="22"/>
      <c r="EHX153" s="22"/>
      <c r="EHY153" s="22"/>
      <c r="EHZ153" s="22"/>
      <c r="EIA153" s="22"/>
      <c r="EIB153" s="22"/>
      <c r="EIC153" s="22"/>
      <c r="EID153" s="22"/>
      <c r="EIE153" s="22"/>
      <c r="EIF153" s="22"/>
      <c r="EIG153" s="22"/>
      <c r="EIH153" s="22"/>
      <c r="EII153" s="22"/>
      <c r="EIJ153" s="22"/>
      <c r="EIK153" s="22"/>
      <c r="EIL153" s="22"/>
      <c r="EIM153" s="22"/>
      <c r="EIN153" s="22"/>
      <c r="EIO153" s="22"/>
      <c r="EIP153" s="22"/>
      <c r="EIQ153" s="22"/>
      <c r="EIR153" s="22"/>
      <c r="EIS153" s="22"/>
      <c r="EIT153" s="22"/>
      <c r="EIU153" s="22"/>
      <c r="EIV153" s="22"/>
      <c r="EIW153" s="22"/>
      <c r="EIX153" s="22"/>
      <c r="EIY153" s="22"/>
      <c r="EIZ153" s="22"/>
      <c r="EJA153" s="22"/>
      <c r="EJB153" s="22"/>
      <c r="EJC153" s="22"/>
      <c r="EJD153" s="22"/>
      <c r="EJE153" s="22"/>
      <c r="EJF153" s="22"/>
      <c r="EJG153" s="22"/>
      <c r="EJH153" s="22"/>
      <c r="EJI153" s="22"/>
      <c r="EJJ153" s="22"/>
      <c r="EJK153" s="22"/>
      <c r="EJL153" s="22"/>
      <c r="EJM153" s="22"/>
      <c r="EJN153" s="22"/>
      <c r="EJO153" s="22"/>
      <c r="EJP153" s="22"/>
      <c r="EJQ153" s="22"/>
      <c r="EJR153" s="22"/>
      <c r="EJS153" s="22"/>
      <c r="EJT153" s="22"/>
      <c r="EJU153" s="22"/>
      <c r="EJV153" s="22"/>
      <c r="EJW153" s="22"/>
      <c r="EJX153" s="22"/>
      <c r="EJY153" s="22"/>
      <c r="EJZ153" s="22"/>
      <c r="EKA153" s="22"/>
      <c r="EKB153" s="22"/>
      <c r="EKC153" s="22"/>
      <c r="EKD153" s="22"/>
      <c r="EKE153" s="22"/>
      <c r="EKF153" s="22"/>
      <c r="EKG153" s="22"/>
      <c r="EKH153" s="22"/>
      <c r="EKI153" s="22"/>
      <c r="EKJ153" s="22"/>
      <c r="EKK153" s="22"/>
      <c r="EKL153" s="22"/>
      <c r="EKM153" s="22"/>
      <c r="EKN153" s="22"/>
      <c r="EKO153" s="22"/>
      <c r="EKP153" s="22"/>
      <c r="EKQ153" s="22"/>
      <c r="EKR153" s="22"/>
      <c r="EKS153" s="22"/>
      <c r="EKT153" s="22"/>
      <c r="EKU153" s="22"/>
      <c r="EKV153" s="22"/>
      <c r="EKW153" s="22"/>
      <c r="EKX153" s="22"/>
      <c r="EKY153" s="22"/>
      <c r="EKZ153" s="22"/>
      <c r="ELA153" s="22"/>
      <c r="ELB153" s="22"/>
      <c r="ELC153" s="22"/>
      <c r="ELD153" s="22"/>
      <c r="ELE153" s="22"/>
      <c r="ELF153" s="22"/>
      <c r="ELG153" s="22"/>
      <c r="ELH153" s="22"/>
      <c r="ELI153" s="22"/>
      <c r="ELJ153" s="22"/>
      <c r="ELK153" s="22"/>
      <c r="ELL153" s="22"/>
      <c r="ELM153" s="22"/>
      <c r="ELN153" s="22"/>
      <c r="ELO153" s="22"/>
      <c r="ELP153" s="22"/>
      <c r="ELQ153" s="22"/>
      <c r="ELR153" s="22"/>
      <c r="ELS153" s="22"/>
      <c r="ELT153" s="22"/>
      <c r="ELU153" s="22"/>
      <c r="ELV153" s="22"/>
      <c r="ELW153" s="22"/>
      <c r="ELX153" s="22"/>
      <c r="ELY153" s="22"/>
      <c r="ELZ153" s="22"/>
      <c r="EMA153" s="22"/>
      <c r="EMB153" s="22"/>
      <c r="EMC153" s="22"/>
      <c r="EMD153" s="22"/>
      <c r="EME153" s="22"/>
      <c r="EMF153" s="22"/>
      <c r="EMG153" s="22"/>
      <c r="EMH153" s="22"/>
      <c r="EMI153" s="22"/>
      <c r="EMJ153" s="22"/>
      <c r="EMK153" s="22"/>
      <c r="EML153" s="22"/>
      <c r="EMM153" s="22"/>
      <c r="EMN153" s="22"/>
      <c r="EMO153" s="22"/>
      <c r="EMP153" s="22"/>
      <c r="EMQ153" s="22"/>
      <c r="EMR153" s="22"/>
      <c r="EMS153" s="22"/>
      <c r="EMT153" s="22"/>
      <c r="EMU153" s="22"/>
      <c r="EMV153" s="22"/>
      <c r="EMW153" s="22"/>
      <c r="EMX153" s="22"/>
      <c r="EMY153" s="22"/>
      <c r="EMZ153" s="22"/>
      <c r="ENA153" s="22"/>
      <c r="ENB153" s="22"/>
      <c r="ENC153" s="22"/>
      <c r="END153" s="22"/>
      <c r="ENE153" s="22"/>
      <c r="ENF153" s="22"/>
      <c r="ENG153" s="22"/>
      <c r="ENH153" s="22"/>
      <c r="ENI153" s="22"/>
      <c r="ENJ153" s="22"/>
      <c r="ENK153" s="22"/>
      <c r="ENL153" s="22"/>
      <c r="ENM153" s="22"/>
      <c r="ENN153" s="22"/>
      <c r="ENO153" s="22"/>
      <c r="ENP153" s="22"/>
      <c r="ENQ153" s="22"/>
      <c r="ENR153" s="22"/>
      <c r="ENS153" s="22"/>
      <c r="ENT153" s="22"/>
      <c r="ENU153" s="22"/>
      <c r="ENV153" s="22"/>
      <c r="ENW153" s="22"/>
      <c r="ENX153" s="22"/>
      <c r="ENY153" s="22"/>
      <c r="ENZ153" s="22"/>
      <c r="EOA153" s="22"/>
      <c r="EOB153" s="22"/>
      <c r="EOC153" s="22"/>
      <c r="EOD153" s="22"/>
      <c r="EOE153" s="22"/>
      <c r="EOF153" s="22"/>
      <c r="EOG153" s="22"/>
      <c r="EOH153" s="22"/>
      <c r="EOI153" s="22"/>
      <c r="EOJ153" s="22"/>
      <c r="EOK153" s="22"/>
      <c r="EOL153" s="22"/>
      <c r="EOM153" s="22"/>
      <c r="EON153" s="22"/>
      <c r="EOO153" s="22"/>
      <c r="EOP153" s="22"/>
      <c r="EOQ153" s="22"/>
      <c r="EOR153" s="22"/>
      <c r="EOS153" s="22"/>
      <c r="EOT153" s="22"/>
      <c r="EOU153" s="22"/>
      <c r="EOV153" s="22"/>
      <c r="EOW153" s="22"/>
      <c r="EOX153" s="22"/>
      <c r="EOY153" s="22"/>
      <c r="EOZ153" s="22"/>
      <c r="EPA153" s="22"/>
      <c r="EPB153" s="22"/>
      <c r="EPC153" s="22"/>
      <c r="EPD153" s="22"/>
      <c r="EPE153" s="22"/>
      <c r="EPF153" s="22"/>
      <c r="EPG153" s="22"/>
      <c r="EPH153" s="22"/>
      <c r="EPI153" s="22"/>
      <c r="EPJ153" s="22"/>
      <c r="EPK153" s="22"/>
      <c r="EPL153" s="22"/>
      <c r="EPM153" s="22"/>
      <c r="EPN153" s="22"/>
      <c r="EPO153" s="22"/>
      <c r="EPP153" s="22"/>
      <c r="EPQ153" s="22"/>
      <c r="EPR153" s="22"/>
      <c r="EPS153" s="22"/>
      <c r="EPT153" s="22"/>
      <c r="EPU153" s="22"/>
      <c r="EPV153" s="22"/>
      <c r="EPW153" s="22"/>
      <c r="EPX153" s="22"/>
      <c r="EPY153" s="22"/>
      <c r="EPZ153" s="22"/>
      <c r="EQA153" s="22"/>
      <c r="EQB153" s="22"/>
      <c r="EQC153" s="22"/>
      <c r="EQD153" s="22"/>
      <c r="EQE153" s="22"/>
      <c r="EQF153" s="22"/>
      <c r="EQG153" s="22"/>
      <c r="EQH153" s="22"/>
      <c r="EQI153" s="22"/>
      <c r="EQJ153" s="22"/>
      <c r="EQK153" s="22"/>
      <c r="EQL153" s="22"/>
      <c r="EQM153" s="22"/>
      <c r="EQN153" s="22"/>
      <c r="EQO153" s="22"/>
      <c r="EQP153" s="22"/>
      <c r="EQQ153" s="22"/>
      <c r="EQR153" s="22"/>
      <c r="EQS153" s="22"/>
      <c r="EQT153" s="22"/>
      <c r="EQU153" s="22"/>
      <c r="EQV153" s="22"/>
      <c r="EQW153" s="22"/>
      <c r="EQX153" s="22"/>
      <c r="EQY153" s="22"/>
      <c r="EQZ153" s="22"/>
      <c r="ERA153" s="22"/>
      <c r="ERB153" s="22"/>
      <c r="ERC153" s="22"/>
      <c r="ERD153" s="22"/>
      <c r="ERE153" s="22"/>
      <c r="ERF153" s="22"/>
      <c r="ERG153" s="22"/>
      <c r="ERH153" s="22"/>
      <c r="ERI153" s="22"/>
      <c r="ERJ153" s="22"/>
      <c r="ERK153" s="22"/>
      <c r="ERL153" s="22"/>
      <c r="ERM153" s="22"/>
      <c r="ERN153" s="22"/>
      <c r="ERO153" s="22"/>
      <c r="ERP153" s="22"/>
      <c r="ERQ153" s="22"/>
      <c r="ERR153" s="22"/>
      <c r="ERS153" s="22"/>
      <c r="ERT153" s="22"/>
      <c r="ERU153" s="22"/>
      <c r="ERV153" s="22"/>
      <c r="ERW153" s="22"/>
      <c r="ERX153" s="22"/>
      <c r="ERY153" s="22"/>
      <c r="ERZ153" s="22"/>
      <c r="ESA153" s="22"/>
      <c r="ESB153" s="22"/>
      <c r="ESC153" s="22"/>
      <c r="ESD153" s="22"/>
      <c r="ESE153" s="22"/>
      <c r="ESF153" s="22"/>
      <c r="ESG153" s="22"/>
      <c r="ESH153" s="22"/>
      <c r="ESI153" s="22"/>
      <c r="ESJ153" s="22"/>
      <c r="ESK153" s="22"/>
      <c r="ESL153" s="22"/>
      <c r="ESM153" s="22"/>
      <c r="ESN153" s="22"/>
      <c r="ESO153" s="22"/>
      <c r="ESP153" s="22"/>
      <c r="ESQ153" s="22"/>
      <c r="ESR153" s="22"/>
      <c r="ESS153" s="22"/>
      <c r="EST153" s="22"/>
      <c r="ESU153" s="22"/>
      <c r="ESV153" s="22"/>
      <c r="ESW153" s="22"/>
      <c r="ESX153" s="22"/>
      <c r="ESY153" s="22"/>
      <c r="ESZ153" s="22"/>
      <c r="ETA153" s="22"/>
      <c r="ETB153" s="22"/>
      <c r="ETC153" s="22"/>
      <c r="ETD153" s="22"/>
      <c r="ETE153" s="22"/>
      <c r="ETF153" s="22"/>
      <c r="ETG153" s="22"/>
      <c r="ETH153" s="22"/>
      <c r="ETI153" s="22"/>
      <c r="ETJ153" s="22"/>
      <c r="ETK153" s="22"/>
      <c r="ETL153" s="22"/>
      <c r="ETM153" s="22"/>
      <c r="ETN153" s="22"/>
      <c r="ETO153" s="22"/>
      <c r="ETP153" s="22"/>
      <c r="ETQ153" s="22"/>
      <c r="ETR153" s="22"/>
      <c r="ETS153" s="22"/>
      <c r="ETT153" s="22"/>
      <c r="ETU153" s="22"/>
      <c r="ETV153" s="22"/>
      <c r="ETW153" s="22"/>
      <c r="ETX153" s="22"/>
      <c r="ETY153" s="22"/>
      <c r="ETZ153" s="22"/>
      <c r="EUA153" s="22"/>
      <c r="EUB153" s="22"/>
      <c r="EUC153" s="22"/>
      <c r="EUD153" s="22"/>
      <c r="EUE153" s="22"/>
      <c r="EUF153" s="22"/>
      <c r="EUG153" s="22"/>
      <c r="EUH153" s="22"/>
      <c r="EUI153" s="22"/>
      <c r="EUJ153" s="22"/>
      <c r="EUK153" s="22"/>
      <c r="EUL153" s="22"/>
      <c r="EUM153" s="22"/>
      <c r="EUN153" s="22"/>
      <c r="EUO153" s="22"/>
      <c r="EUP153" s="22"/>
      <c r="EUQ153" s="22"/>
      <c r="EUR153" s="22"/>
      <c r="EUS153" s="22"/>
      <c r="EUT153" s="22"/>
      <c r="EUU153" s="22"/>
      <c r="EUV153" s="22"/>
      <c r="EUW153" s="22"/>
      <c r="EUX153" s="22"/>
      <c r="EUY153" s="22"/>
      <c r="EUZ153" s="22"/>
      <c r="EVA153" s="22"/>
      <c r="EVB153" s="22"/>
      <c r="EVC153" s="22"/>
      <c r="EVD153" s="22"/>
      <c r="EVE153" s="22"/>
      <c r="EVF153" s="22"/>
      <c r="EVG153" s="22"/>
      <c r="EVH153" s="22"/>
      <c r="EVI153" s="22"/>
      <c r="EVJ153" s="22"/>
      <c r="EVK153" s="22"/>
      <c r="EVL153" s="22"/>
      <c r="EVM153" s="22"/>
      <c r="EVN153" s="22"/>
      <c r="EVO153" s="22"/>
      <c r="EVP153" s="22"/>
      <c r="EVQ153" s="22"/>
      <c r="EVR153" s="22"/>
      <c r="EVS153" s="22"/>
      <c r="EVT153" s="22"/>
      <c r="EVU153" s="22"/>
      <c r="EVV153" s="22"/>
      <c r="EVW153" s="22"/>
      <c r="EVX153" s="22"/>
      <c r="EVY153" s="22"/>
      <c r="EVZ153" s="22"/>
      <c r="EWA153" s="22"/>
      <c r="EWB153" s="22"/>
      <c r="EWC153" s="22"/>
      <c r="EWD153" s="22"/>
      <c r="EWE153" s="22"/>
      <c r="EWF153" s="22"/>
      <c r="EWG153" s="22"/>
      <c r="EWH153" s="22"/>
      <c r="EWI153" s="22"/>
      <c r="EWJ153" s="22"/>
      <c r="EWK153" s="22"/>
      <c r="EWL153" s="22"/>
      <c r="EWM153" s="22"/>
      <c r="EWN153" s="22"/>
      <c r="EWO153" s="22"/>
      <c r="EWP153" s="22"/>
      <c r="EWQ153" s="22"/>
      <c r="EWR153" s="22"/>
      <c r="EWS153" s="22"/>
      <c r="EWT153" s="22"/>
      <c r="EWU153" s="22"/>
      <c r="EWV153" s="22"/>
      <c r="EWW153" s="22"/>
      <c r="EWX153" s="22"/>
      <c r="EWY153" s="22"/>
      <c r="EWZ153" s="22"/>
      <c r="EXA153" s="22"/>
      <c r="EXB153" s="22"/>
      <c r="EXC153" s="22"/>
      <c r="EXD153" s="22"/>
      <c r="EXE153" s="22"/>
      <c r="EXF153" s="22"/>
      <c r="EXG153" s="22"/>
      <c r="EXH153" s="22"/>
      <c r="EXI153" s="22"/>
      <c r="EXJ153" s="22"/>
      <c r="EXK153" s="22"/>
      <c r="EXL153" s="22"/>
      <c r="EXM153" s="22"/>
      <c r="EXN153" s="22"/>
      <c r="EXO153" s="22"/>
      <c r="EXP153" s="22"/>
      <c r="EXQ153" s="22"/>
      <c r="EXR153" s="22"/>
      <c r="EXS153" s="22"/>
      <c r="EXT153" s="22"/>
      <c r="EXU153" s="22"/>
      <c r="EXV153" s="22"/>
      <c r="EXW153" s="22"/>
      <c r="EXX153" s="22"/>
      <c r="EXY153" s="22"/>
      <c r="EXZ153" s="22"/>
      <c r="EYA153" s="22"/>
      <c r="EYB153" s="22"/>
      <c r="EYC153" s="22"/>
      <c r="EYD153" s="22"/>
      <c r="EYE153" s="22"/>
      <c r="EYF153" s="22"/>
      <c r="EYG153" s="22"/>
      <c r="EYH153" s="22"/>
      <c r="EYI153" s="22"/>
      <c r="EYJ153" s="22"/>
      <c r="EYK153" s="22"/>
      <c r="EYL153" s="22"/>
      <c r="EYM153" s="22"/>
      <c r="EYN153" s="22"/>
      <c r="EYO153" s="22"/>
      <c r="EYP153" s="22"/>
      <c r="EYQ153" s="22"/>
      <c r="EYR153" s="22"/>
      <c r="EYS153" s="22"/>
      <c r="EYT153" s="22"/>
      <c r="EYU153" s="22"/>
      <c r="EYV153" s="22"/>
      <c r="EYW153" s="22"/>
      <c r="EYX153" s="22"/>
      <c r="EYY153" s="22"/>
      <c r="EYZ153" s="22"/>
      <c r="EZA153" s="22"/>
      <c r="EZB153" s="22"/>
      <c r="EZC153" s="22"/>
      <c r="EZD153" s="22"/>
      <c r="EZE153" s="22"/>
      <c r="EZF153" s="22"/>
      <c r="EZG153" s="22"/>
      <c r="EZH153" s="22"/>
      <c r="EZI153" s="22"/>
      <c r="EZJ153" s="22"/>
      <c r="EZK153" s="22"/>
      <c r="EZL153" s="22"/>
      <c r="EZM153" s="22"/>
      <c r="EZN153" s="22"/>
      <c r="EZO153" s="22"/>
      <c r="EZP153" s="22"/>
      <c r="EZQ153" s="22"/>
      <c r="EZR153" s="22"/>
      <c r="EZS153" s="22"/>
      <c r="EZT153" s="22"/>
      <c r="EZU153" s="22"/>
      <c r="EZV153" s="22"/>
      <c r="EZW153" s="22"/>
      <c r="EZX153" s="22"/>
      <c r="EZY153" s="22"/>
      <c r="EZZ153" s="22"/>
      <c r="FAA153" s="22"/>
      <c r="FAB153" s="22"/>
      <c r="FAC153" s="22"/>
      <c r="FAD153" s="22"/>
      <c r="FAE153" s="22"/>
      <c r="FAF153" s="22"/>
      <c r="FAG153" s="22"/>
      <c r="FAH153" s="22"/>
      <c r="FAI153" s="22"/>
      <c r="FAJ153" s="22"/>
      <c r="FAK153" s="22"/>
      <c r="FAL153" s="22"/>
      <c r="FAM153" s="22"/>
      <c r="FAN153" s="22"/>
      <c r="FAO153" s="22"/>
      <c r="FAP153" s="22"/>
      <c r="FAQ153" s="22"/>
      <c r="FAR153" s="22"/>
      <c r="FAS153" s="22"/>
      <c r="FAT153" s="22"/>
      <c r="FAU153" s="22"/>
      <c r="FAV153" s="22"/>
      <c r="FAW153" s="22"/>
      <c r="FAX153" s="22"/>
      <c r="FAY153" s="22"/>
      <c r="FAZ153" s="22"/>
      <c r="FBA153" s="22"/>
      <c r="FBB153" s="22"/>
      <c r="FBC153" s="22"/>
      <c r="FBD153" s="22"/>
      <c r="FBE153" s="22"/>
      <c r="FBF153" s="22"/>
      <c r="FBG153" s="22"/>
      <c r="FBH153" s="22"/>
      <c r="FBI153" s="22"/>
      <c r="FBJ153" s="22"/>
      <c r="FBK153" s="22"/>
      <c r="FBL153" s="22"/>
      <c r="FBM153" s="22"/>
      <c r="FBN153" s="22"/>
      <c r="FBO153" s="22"/>
      <c r="FBP153" s="22"/>
      <c r="FBQ153" s="22"/>
      <c r="FBR153" s="22"/>
      <c r="FBS153" s="22"/>
      <c r="FBT153" s="22"/>
      <c r="FBU153" s="22"/>
      <c r="FBV153" s="22"/>
      <c r="FBW153" s="22"/>
      <c r="FBX153" s="22"/>
      <c r="FBY153" s="22"/>
      <c r="FBZ153" s="22"/>
      <c r="FCA153" s="22"/>
      <c r="FCB153" s="22"/>
      <c r="FCC153" s="22"/>
      <c r="FCD153" s="22"/>
      <c r="FCE153" s="22"/>
      <c r="FCF153" s="22"/>
      <c r="FCG153" s="22"/>
      <c r="FCH153" s="22"/>
      <c r="FCI153" s="22"/>
      <c r="FCJ153" s="22"/>
      <c r="FCK153" s="22"/>
      <c r="FCL153" s="22"/>
      <c r="FCM153" s="22"/>
      <c r="FCN153" s="22"/>
      <c r="FCO153" s="22"/>
      <c r="FCP153" s="22"/>
      <c r="FCQ153" s="22"/>
      <c r="FCR153" s="22"/>
      <c r="FCS153" s="22"/>
      <c r="FCT153" s="22"/>
      <c r="FCU153" s="22"/>
      <c r="FCV153" s="22"/>
      <c r="FCW153" s="22"/>
      <c r="FCX153" s="22"/>
      <c r="FCY153" s="22"/>
      <c r="FCZ153" s="22"/>
      <c r="FDA153" s="22"/>
      <c r="FDB153" s="22"/>
      <c r="FDC153" s="22"/>
      <c r="FDD153" s="22"/>
      <c r="FDE153" s="22"/>
      <c r="FDF153" s="22"/>
      <c r="FDG153" s="22"/>
      <c r="FDH153" s="22"/>
      <c r="FDI153" s="22"/>
      <c r="FDJ153" s="22"/>
      <c r="FDK153" s="22"/>
      <c r="FDL153" s="22"/>
      <c r="FDM153" s="22"/>
      <c r="FDN153" s="22"/>
      <c r="FDO153" s="22"/>
      <c r="FDP153" s="22"/>
      <c r="FDQ153" s="22"/>
      <c r="FDR153" s="22"/>
      <c r="FDS153" s="22"/>
      <c r="FDT153" s="22"/>
      <c r="FDU153" s="22"/>
      <c r="FDV153" s="22"/>
      <c r="FDW153" s="22"/>
      <c r="FDX153" s="22"/>
      <c r="FDY153" s="22"/>
      <c r="FDZ153" s="22"/>
      <c r="FEA153" s="22"/>
      <c r="FEB153" s="22"/>
      <c r="FEC153" s="22"/>
      <c r="FED153" s="22"/>
      <c r="FEE153" s="22"/>
      <c r="FEF153" s="22"/>
      <c r="FEG153" s="22"/>
      <c r="FEH153" s="22"/>
      <c r="FEI153" s="22"/>
      <c r="FEJ153" s="22"/>
      <c r="FEK153" s="22"/>
      <c r="FEL153" s="22"/>
      <c r="FEM153" s="22"/>
      <c r="FEN153" s="22"/>
      <c r="FEO153" s="22"/>
      <c r="FEP153" s="22"/>
      <c r="FEQ153" s="22"/>
      <c r="FER153" s="22"/>
      <c r="FES153" s="22"/>
      <c r="FET153" s="22"/>
      <c r="FEU153" s="22"/>
      <c r="FEV153" s="22"/>
      <c r="FEW153" s="22"/>
      <c r="FEX153" s="22"/>
      <c r="FEY153" s="22"/>
      <c r="FEZ153" s="22"/>
      <c r="FFA153" s="22"/>
      <c r="FFB153" s="22"/>
      <c r="FFC153" s="22"/>
      <c r="FFD153" s="22"/>
      <c r="FFE153" s="22"/>
      <c r="FFF153" s="22"/>
      <c r="FFG153" s="22"/>
      <c r="FFH153" s="22"/>
      <c r="FFI153" s="22"/>
      <c r="FFJ153" s="22"/>
      <c r="FFK153" s="22"/>
      <c r="FFL153" s="22"/>
      <c r="FFM153" s="22"/>
      <c r="FFN153" s="22"/>
      <c r="FFO153" s="22"/>
      <c r="FFP153" s="22"/>
      <c r="FFQ153" s="22"/>
      <c r="FFR153" s="22"/>
      <c r="FFS153" s="22"/>
      <c r="FFT153" s="22"/>
      <c r="FFU153" s="22"/>
      <c r="FFV153" s="22"/>
      <c r="FFW153" s="22"/>
      <c r="FFX153" s="22"/>
      <c r="FFY153" s="22"/>
      <c r="FFZ153" s="22"/>
      <c r="FGA153" s="22"/>
      <c r="FGB153" s="22"/>
      <c r="FGC153" s="22"/>
      <c r="FGD153" s="22"/>
      <c r="FGE153" s="22"/>
      <c r="FGF153" s="22"/>
      <c r="FGG153" s="22"/>
      <c r="FGH153" s="22"/>
      <c r="FGI153" s="22"/>
      <c r="FGJ153" s="22"/>
      <c r="FGK153" s="22"/>
      <c r="FGL153" s="22"/>
      <c r="FGM153" s="22"/>
      <c r="FGN153" s="22"/>
      <c r="FGO153" s="22"/>
      <c r="FGP153" s="22"/>
      <c r="FGQ153" s="22"/>
      <c r="FGR153" s="22"/>
      <c r="FGS153" s="22"/>
      <c r="FGT153" s="22"/>
      <c r="FGU153" s="22"/>
      <c r="FGV153" s="22"/>
      <c r="FGW153" s="22"/>
      <c r="FGX153" s="22"/>
      <c r="FGY153" s="22"/>
      <c r="FGZ153" s="22"/>
      <c r="FHA153" s="22"/>
      <c r="FHB153" s="22"/>
      <c r="FHC153" s="22"/>
      <c r="FHD153" s="22"/>
      <c r="FHE153" s="22"/>
      <c r="FHF153" s="22"/>
      <c r="FHG153" s="22"/>
      <c r="FHH153" s="22"/>
      <c r="FHI153" s="22"/>
      <c r="FHJ153" s="22"/>
      <c r="FHK153" s="22"/>
      <c r="FHL153" s="22"/>
      <c r="FHM153" s="22"/>
      <c r="FHN153" s="22"/>
      <c r="FHO153" s="22"/>
      <c r="FHP153" s="22"/>
      <c r="FHQ153" s="22"/>
      <c r="FHR153" s="22"/>
      <c r="FHS153" s="22"/>
      <c r="FHT153" s="22"/>
      <c r="FHU153" s="22"/>
      <c r="FHV153" s="22"/>
      <c r="FHW153" s="22"/>
      <c r="FHX153" s="22"/>
      <c r="FHY153" s="22"/>
      <c r="FHZ153" s="22"/>
      <c r="FIA153" s="22"/>
      <c r="FIB153" s="22"/>
      <c r="FIC153" s="22"/>
      <c r="FID153" s="22"/>
      <c r="FIE153" s="22"/>
      <c r="FIF153" s="22"/>
      <c r="FIG153" s="22"/>
      <c r="FIH153" s="22"/>
      <c r="FII153" s="22"/>
      <c r="FIJ153" s="22"/>
      <c r="FIK153" s="22"/>
      <c r="FIL153" s="22"/>
      <c r="FIM153" s="22"/>
      <c r="FIN153" s="22"/>
      <c r="FIO153" s="22"/>
      <c r="FIP153" s="22"/>
      <c r="FIQ153" s="22"/>
      <c r="FIR153" s="22"/>
      <c r="FIS153" s="22"/>
      <c r="FIT153" s="22"/>
      <c r="FIU153" s="22"/>
      <c r="FIV153" s="22"/>
      <c r="FIW153" s="22"/>
      <c r="FIX153" s="22"/>
      <c r="FIY153" s="22"/>
      <c r="FIZ153" s="22"/>
      <c r="FJA153" s="22"/>
      <c r="FJB153" s="22"/>
      <c r="FJC153" s="22"/>
      <c r="FJD153" s="22"/>
      <c r="FJE153" s="22"/>
      <c r="FJF153" s="22"/>
      <c r="FJG153" s="22"/>
      <c r="FJH153" s="22"/>
      <c r="FJI153" s="22"/>
      <c r="FJJ153" s="22"/>
      <c r="FJK153" s="22"/>
      <c r="FJL153" s="22"/>
      <c r="FJM153" s="22"/>
      <c r="FJN153" s="22"/>
      <c r="FJO153" s="22"/>
      <c r="FJP153" s="22"/>
      <c r="FJQ153" s="22"/>
      <c r="FJR153" s="22"/>
      <c r="FJS153" s="22"/>
      <c r="FJT153" s="22"/>
      <c r="FJU153" s="22"/>
      <c r="FJV153" s="22"/>
      <c r="FJW153" s="22"/>
      <c r="FJX153" s="22"/>
      <c r="FJY153" s="22"/>
      <c r="FJZ153" s="22"/>
      <c r="FKA153" s="22"/>
      <c r="FKB153" s="22"/>
      <c r="FKC153" s="22"/>
      <c r="FKD153" s="22"/>
      <c r="FKE153" s="22"/>
      <c r="FKF153" s="22"/>
      <c r="FKG153" s="22"/>
      <c r="FKH153" s="22"/>
      <c r="FKI153" s="22"/>
      <c r="FKJ153" s="22"/>
      <c r="FKK153" s="22"/>
      <c r="FKL153" s="22"/>
      <c r="FKM153" s="22"/>
      <c r="FKN153" s="22"/>
      <c r="FKO153" s="22"/>
      <c r="FKP153" s="22"/>
      <c r="FKQ153" s="22"/>
      <c r="FKR153" s="22"/>
      <c r="FKS153" s="22"/>
      <c r="FKT153" s="22"/>
      <c r="FKU153" s="22"/>
      <c r="FKV153" s="22"/>
      <c r="FKW153" s="22"/>
      <c r="FKX153" s="22"/>
      <c r="FKY153" s="22"/>
      <c r="FKZ153" s="22"/>
      <c r="FLA153" s="22"/>
      <c r="FLB153" s="22"/>
      <c r="FLC153" s="22"/>
      <c r="FLD153" s="22"/>
      <c r="FLE153" s="22"/>
      <c r="FLF153" s="22"/>
      <c r="FLG153" s="22"/>
      <c r="FLH153" s="22"/>
      <c r="FLI153" s="22"/>
      <c r="FLJ153" s="22"/>
      <c r="FLK153" s="22"/>
      <c r="FLL153" s="22"/>
      <c r="FLM153" s="22"/>
      <c r="FLN153" s="22"/>
      <c r="FLO153" s="22"/>
      <c r="FLP153" s="22"/>
      <c r="FLQ153" s="22"/>
      <c r="FLR153" s="22"/>
      <c r="FLS153" s="22"/>
      <c r="FLT153" s="22"/>
      <c r="FLU153" s="22"/>
      <c r="FLV153" s="22"/>
      <c r="FLW153" s="22"/>
      <c r="FLX153" s="22"/>
      <c r="FLY153" s="22"/>
      <c r="FLZ153" s="22"/>
      <c r="FMA153" s="22"/>
      <c r="FMB153" s="22"/>
      <c r="FMC153" s="22"/>
      <c r="FMD153" s="22"/>
      <c r="FME153" s="22"/>
      <c r="FMF153" s="22"/>
      <c r="FMG153" s="22"/>
      <c r="FMH153" s="22"/>
      <c r="FMI153" s="22"/>
      <c r="FMJ153" s="22"/>
      <c r="FMK153" s="22"/>
      <c r="FML153" s="22"/>
      <c r="FMM153" s="22"/>
      <c r="FMN153" s="22"/>
      <c r="FMO153" s="22"/>
      <c r="FMP153" s="22"/>
      <c r="FMQ153" s="22"/>
      <c r="FMR153" s="22"/>
      <c r="FMS153" s="22"/>
      <c r="FMT153" s="22"/>
      <c r="FMU153" s="22"/>
      <c r="FMV153" s="22"/>
      <c r="FMW153" s="22"/>
      <c r="FMX153" s="22"/>
      <c r="FMY153" s="22"/>
      <c r="FMZ153" s="22"/>
      <c r="FNA153" s="22"/>
      <c r="FNB153" s="22"/>
      <c r="FNC153" s="22"/>
      <c r="FND153" s="22"/>
      <c r="FNE153" s="22"/>
      <c r="FNF153" s="22"/>
      <c r="FNG153" s="22"/>
      <c r="FNH153" s="22"/>
      <c r="FNI153" s="22"/>
      <c r="FNJ153" s="22"/>
      <c r="FNK153" s="22"/>
      <c r="FNL153" s="22"/>
      <c r="FNM153" s="22"/>
      <c r="FNN153" s="22"/>
      <c r="FNO153" s="22"/>
      <c r="FNP153" s="22"/>
      <c r="FNQ153" s="22"/>
      <c r="FNR153" s="22"/>
      <c r="FNS153" s="22"/>
      <c r="FNT153" s="22"/>
      <c r="FNU153" s="22"/>
      <c r="FNV153" s="22"/>
      <c r="FNW153" s="22"/>
      <c r="FNX153" s="22"/>
      <c r="FNY153" s="22"/>
      <c r="FNZ153" s="22"/>
      <c r="FOA153" s="22"/>
      <c r="FOB153" s="22"/>
      <c r="FOC153" s="22"/>
      <c r="FOD153" s="22"/>
      <c r="FOE153" s="22"/>
      <c r="FOF153" s="22"/>
      <c r="FOG153" s="22"/>
      <c r="FOH153" s="22"/>
      <c r="FOI153" s="22"/>
      <c r="FOJ153" s="22"/>
      <c r="FOK153" s="22"/>
      <c r="FOL153" s="22"/>
      <c r="FOM153" s="22"/>
      <c r="FON153" s="22"/>
      <c r="FOO153" s="22"/>
      <c r="FOP153" s="22"/>
      <c r="FOQ153" s="22"/>
      <c r="FOR153" s="22"/>
      <c r="FOS153" s="22"/>
      <c r="FOT153" s="22"/>
      <c r="FOU153" s="22"/>
      <c r="FOV153" s="22"/>
      <c r="FOW153" s="22"/>
      <c r="FOX153" s="22"/>
      <c r="FOY153" s="22"/>
      <c r="FOZ153" s="22"/>
      <c r="FPA153" s="22"/>
      <c r="FPB153" s="22"/>
      <c r="FPC153" s="22"/>
      <c r="FPD153" s="22"/>
      <c r="FPE153" s="22"/>
      <c r="FPF153" s="22"/>
      <c r="FPG153" s="22"/>
      <c r="FPH153" s="22"/>
      <c r="FPI153" s="22"/>
      <c r="FPJ153" s="22"/>
      <c r="FPK153" s="22"/>
      <c r="FPL153" s="22"/>
      <c r="FPM153" s="22"/>
      <c r="FPN153" s="22"/>
      <c r="FPO153" s="22"/>
      <c r="FPP153" s="22"/>
      <c r="FPQ153" s="22"/>
      <c r="FPR153" s="22"/>
      <c r="FPS153" s="22"/>
      <c r="FPT153" s="22"/>
      <c r="FPU153" s="22"/>
      <c r="FPV153" s="22"/>
      <c r="FPW153" s="22"/>
      <c r="FPX153" s="22"/>
      <c r="FPY153" s="22"/>
      <c r="FPZ153" s="22"/>
      <c r="FQA153" s="22"/>
      <c r="FQB153" s="22"/>
      <c r="FQC153" s="22"/>
      <c r="FQD153" s="22"/>
      <c r="FQE153" s="22"/>
      <c r="FQF153" s="22"/>
      <c r="FQG153" s="22"/>
      <c r="FQH153" s="22"/>
      <c r="FQI153" s="22"/>
      <c r="FQJ153" s="22"/>
      <c r="FQK153" s="22"/>
      <c r="FQL153" s="22"/>
      <c r="FQM153" s="22"/>
      <c r="FQN153" s="22"/>
      <c r="FQO153" s="22"/>
      <c r="FQP153" s="22"/>
      <c r="FQQ153" s="22"/>
      <c r="FQR153" s="22"/>
      <c r="FQS153" s="22"/>
      <c r="FQT153" s="22"/>
      <c r="FQU153" s="22"/>
      <c r="FQV153" s="22"/>
      <c r="FQW153" s="22"/>
      <c r="FQX153" s="22"/>
      <c r="FQY153" s="22"/>
      <c r="FQZ153" s="22"/>
      <c r="FRA153" s="22"/>
      <c r="FRB153" s="22"/>
      <c r="FRC153" s="22"/>
      <c r="FRD153" s="22"/>
      <c r="FRE153" s="22"/>
      <c r="FRF153" s="22"/>
      <c r="FRG153" s="22"/>
      <c r="FRH153" s="22"/>
      <c r="FRI153" s="22"/>
      <c r="FRJ153" s="22"/>
      <c r="FRK153" s="22"/>
      <c r="FRL153" s="22"/>
      <c r="FRM153" s="22"/>
      <c r="FRN153" s="22"/>
      <c r="FRO153" s="22"/>
      <c r="FRP153" s="22"/>
      <c r="FRQ153" s="22"/>
      <c r="FRR153" s="22"/>
      <c r="FRS153" s="22"/>
      <c r="FRT153" s="22"/>
      <c r="FRU153" s="22"/>
      <c r="FRV153" s="22"/>
      <c r="FRW153" s="22"/>
      <c r="FRX153" s="22"/>
      <c r="FRY153" s="22"/>
      <c r="FRZ153" s="22"/>
      <c r="FSA153" s="22"/>
      <c r="FSB153" s="22"/>
      <c r="FSC153" s="22"/>
      <c r="FSD153" s="22"/>
      <c r="FSE153" s="22"/>
      <c r="FSF153" s="22"/>
      <c r="FSG153" s="22"/>
      <c r="FSH153" s="22"/>
      <c r="FSI153" s="22"/>
      <c r="FSJ153" s="22"/>
      <c r="FSK153" s="22"/>
      <c r="FSL153" s="22"/>
      <c r="FSM153" s="22"/>
      <c r="FSN153" s="22"/>
      <c r="FSO153" s="22"/>
      <c r="FSP153" s="22"/>
      <c r="FSQ153" s="22"/>
      <c r="FSR153" s="22"/>
      <c r="FSS153" s="22"/>
      <c r="FST153" s="22"/>
      <c r="FSU153" s="22"/>
      <c r="FSV153" s="22"/>
      <c r="FSW153" s="22"/>
      <c r="FSX153" s="22"/>
      <c r="FSY153" s="22"/>
      <c r="FSZ153" s="22"/>
      <c r="FTA153" s="22"/>
      <c r="FTB153" s="22"/>
      <c r="FTC153" s="22"/>
      <c r="FTD153" s="22"/>
      <c r="FTE153" s="22"/>
      <c r="FTF153" s="22"/>
      <c r="FTG153" s="22"/>
      <c r="FTH153" s="22"/>
      <c r="FTI153" s="22"/>
      <c r="FTJ153" s="22"/>
      <c r="FTK153" s="22"/>
      <c r="FTL153" s="22"/>
      <c r="FTM153" s="22"/>
      <c r="FTN153" s="22"/>
      <c r="FTO153" s="22"/>
      <c r="FTP153" s="22"/>
      <c r="FTQ153" s="22"/>
      <c r="FTR153" s="22"/>
      <c r="FTS153" s="22"/>
      <c r="FTT153" s="22"/>
      <c r="FTU153" s="22"/>
      <c r="FTV153" s="22"/>
      <c r="FTW153" s="22"/>
      <c r="FTX153" s="22"/>
      <c r="FTY153" s="22"/>
      <c r="FTZ153" s="22"/>
      <c r="FUA153" s="22"/>
      <c r="FUB153" s="22"/>
      <c r="FUC153" s="22"/>
      <c r="FUD153" s="22"/>
      <c r="FUE153" s="22"/>
      <c r="FUF153" s="22"/>
      <c r="FUG153" s="22"/>
      <c r="FUH153" s="22"/>
      <c r="FUI153" s="22"/>
      <c r="FUJ153" s="22"/>
      <c r="FUK153" s="22"/>
      <c r="FUL153" s="22"/>
      <c r="FUM153" s="22"/>
      <c r="FUN153" s="22"/>
      <c r="FUO153" s="22"/>
      <c r="FUP153" s="22"/>
      <c r="FUQ153" s="22"/>
      <c r="FUR153" s="22"/>
      <c r="FUS153" s="22"/>
      <c r="FUT153" s="22"/>
      <c r="FUU153" s="22"/>
      <c r="FUV153" s="22"/>
      <c r="FUW153" s="22"/>
      <c r="FUX153" s="22"/>
      <c r="FUY153" s="22"/>
      <c r="FUZ153" s="22"/>
      <c r="FVA153" s="22"/>
      <c r="FVB153" s="22"/>
      <c r="FVC153" s="22"/>
      <c r="FVD153" s="22"/>
      <c r="FVE153" s="22"/>
      <c r="FVF153" s="22"/>
      <c r="FVG153" s="22"/>
      <c r="FVH153" s="22"/>
      <c r="FVI153" s="22"/>
      <c r="FVJ153" s="22"/>
      <c r="FVK153" s="22"/>
      <c r="FVL153" s="22"/>
      <c r="FVM153" s="22"/>
      <c r="FVN153" s="22"/>
      <c r="FVO153" s="22"/>
      <c r="FVP153" s="22"/>
      <c r="FVQ153" s="22"/>
      <c r="FVR153" s="22"/>
      <c r="FVS153" s="22"/>
      <c r="FVT153" s="22"/>
      <c r="FVU153" s="22"/>
      <c r="FVV153" s="22"/>
      <c r="FVW153" s="22"/>
      <c r="FVX153" s="22"/>
      <c r="FVY153" s="22"/>
      <c r="FVZ153" s="22"/>
      <c r="FWA153" s="22"/>
      <c r="FWB153" s="22"/>
      <c r="FWC153" s="22"/>
      <c r="FWD153" s="22"/>
      <c r="FWE153" s="22"/>
      <c r="FWF153" s="22"/>
      <c r="FWG153" s="22"/>
      <c r="FWH153" s="22"/>
      <c r="FWI153" s="22"/>
      <c r="FWJ153" s="22"/>
      <c r="FWK153" s="22"/>
      <c r="FWL153" s="22"/>
      <c r="FWM153" s="22"/>
      <c r="FWN153" s="22"/>
      <c r="FWO153" s="22"/>
      <c r="FWP153" s="22"/>
      <c r="FWQ153" s="22"/>
      <c r="FWR153" s="22"/>
      <c r="FWS153" s="22"/>
      <c r="FWT153" s="22"/>
      <c r="FWU153" s="22"/>
      <c r="FWV153" s="22"/>
      <c r="FWW153" s="22"/>
      <c r="FWX153" s="22"/>
      <c r="FWY153" s="22"/>
      <c r="FWZ153" s="22"/>
      <c r="FXA153" s="22"/>
      <c r="FXB153" s="22"/>
      <c r="FXC153" s="22"/>
      <c r="FXD153" s="22"/>
      <c r="FXE153" s="22"/>
      <c r="FXF153" s="22"/>
      <c r="FXG153" s="22"/>
      <c r="FXH153" s="22"/>
      <c r="FXI153" s="22"/>
      <c r="FXJ153" s="22"/>
      <c r="FXK153" s="22"/>
      <c r="FXL153" s="22"/>
      <c r="FXM153" s="22"/>
      <c r="FXN153" s="22"/>
      <c r="FXO153" s="22"/>
      <c r="FXP153" s="22"/>
      <c r="FXQ153" s="22"/>
      <c r="FXR153" s="22"/>
      <c r="FXS153" s="22"/>
      <c r="FXT153" s="22"/>
      <c r="FXU153" s="22"/>
      <c r="FXV153" s="22"/>
      <c r="FXW153" s="22"/>
      <c r="FXX153" s="22"/>
      <c r="FXY153" s="22"/>
      <c r="FXZ153" s="22"/>
      <c r="FYA153" s="22"/>
      <c r="FYB153" s="22"/>
      <c r="FYC153" s="22"/>
      <c r="FYD153" s="22"/>
      <c r="FYE153" s="22"/>
      <c r="FYF153" s="22"/>
      <c r="FYG153" s="22"/>
      <c r="FYH153" s="22"/>
      <c r="FYI153" s="22"/>
      <c r="FYJ153" s="22"/>
      <c r="FYK153" s="22"/>
      <c r="FYL153" s="22"/>
      <c r="FYM153" s="22"/>
      <c r="FYN153" s="22"/>
      <c r="FYO153" s="22"/>
      <c r="FYP153" s="22"/>
      <c r="FYQ153" s="22"/>
      <c r="FYR153" s="22"/>
      <c r="FYS153" s="22"/>
      <c r="FYT153" s="22"/>
      <c r="FYU153" s="22"/>
      <c r="FYV153" s="22"/>
      <c r="FYW153" s="22"/>
      <c r="FYX153" s="22"/>
      <c r="FYY153" s="22"/>
      <c r="FYZ153" s="22"/>
      <c r="FZA153" s="22"/>
      <c r="FZB153" s="22"/>
      <c r="FZC153" s="22"/>
      <c r="FZD153" s="22"/>
      <c r="FZE153" s="22"/>
      <c r="FZF153" s="22"/>
      <c r="FZG153" s="22"/>
      <c r="FZH153" s="22"/>
      <c r="FZI153" s="22"/>
      <c r="FZJ153" s="22"/>
      <c r="FZK153" s="22"/>
      <c r="FZL153" s="22"/>
      <c r="FZM153" s="22"/>
      <c r="FZN153" s="22"/>
      <c r="FZO153" s="22"/>
      <c r="FZP153" s="22"/>
      <c r="FZQ153" s="22"/>
      <c r="FZR153" s="22"/>
      <c r="FZS153" s="22"/>
      <c r="FZT153" s="22"/>
      <c r="FZU153" s="22"/>
      <c r="FZV153" s="22"/>
      <c r="FZW153" s="22"/>
      <c r="FZX153" s="22"/>
      <c r="FZY153" s="22"/>
      <c r="FZZ153" s="22"/>
      <c r="GAA153" s="22"/>
      <c r="GAB153" s="22"/>
      <c r="GAC153" s="22"/>
      <c r="GAD153" s="22"/>
      <c r="GAE153" s="22"/>
      <c r="GAF153" s="22"/>
      <c r="GAG153" s="22"/>
      <c r="GAH153" s="22"/>
      <c r="GAI153" s="22"/>
      <c r="GAJ153" s="22"/>
      <c r="GAK153" s="22"/>
      <c r="GAL153" s="22"/>
      <c r="GAM153" s="22"/>
      <c r="GAN153" s="22"/>
      <c r="GAO153" s="22"/>
      <c r="GAP153" s="22"/>
      <c r="GAQ153" s="22"/>
      <c r="GAR153" s="22"/>
      <c r="GAS153" s="22"/>
      <c r="GAT153" s="22"/>
      <c r="GAU153" s="22"/>
      <c r="GAV153" s="22"/>
      <c r="GAW153" s="22"/>
      <c r="GAX153" s="22"/>
      <c r="GAY153" s="22"/>
      <c r="GAZ153" s="22"/>
      <c r="GBA153" s="22"/>
      <c r="GBB153" s="22"/>
      <c r="GBC153" s="22"/>
      <c r="GBD153" s="22"/>
      <c r="GBE153" s="22"/>
      <c r="GBF153" s="22"/>
      <c r="GBG153" s="22"/>
      <c r="GBH153" s="22"/>
      <c r="GBI153" s="22"/>
      <c r="GBJ153" s="22"/>
      <c r="GBK153" s="22"/>
      <c r="GBL153" s="22"/>
      <c r="GBM153" s="22"/>
      <c r="GBN153" s="22"/>
      <c r="GBO153" s="22"/>
      <c r="GBP153" s="22"/>
      <c r="GBQ153" s="22"/>
      <c r="GBR153" s="22"/>
      <c r="GBS153" s="22"/>
      <c r="GBT153" s="22"/>
      <c r="GBU153" s="22"/>
      <c r="GBV153" s="22"/>
      <c r="GBW153" s="22"/>
      <c r="GBX153" s="22"/>
      <c r="GBY153" s="22"/>
      <c r="GBZ153" s="22"/>
      <c r="GCA153" s="22"/>
      <c r="GCB153" s="22"/>
      <c r="GCC153" s="22"/>
      <c r="GCD153" s="22"/>
      <c r="GCE153" s="22"/>
      <c r="GCF153" s="22"/>
      <c r="GCG153" s="22"/>
      <c r="GCH153" s="22"/>
      <c r="GCI153" s="22"/>
      <c r="GCJ153" s="22"/>
      <c r="GCK153" s="22"/>
      <c r="GCL153" s="22"/>
      <c r="GCM153" s="22"/>
      <c r="GCN153" s="22"/>
      <c r="GCO153" s="22"/>
      <c r="GCP153" s="22"/>
      <c r="GCQ153" s="22"/>
      <c r="GCR153" s="22"/>
      <c r="GCS153" s="22"/>
      <c r="GCT153" s="22"/>
      <c r="GCU153" s="22"/>
      <c r="GCV153" s="22"/>
      <c r="GCW153" s="22"/>
      <c r="GCX153" s="22"/>
      <c r="GCY153" s="22"/>
      <c r="GCZ153" s="22"/>
      <c r="GDA153" s="22"/>
      <c r="GDB153" s="22"/>
      <c r="GDC153" s="22"/>
      <c r="GDD153" s="22"/>
      <c r="GDE153" s="22"/>
      <c r="GDF153" s="22"/>
      <c r="GDG153" s="22"/>
      <c r="GDH153" s="22"/>
      <c r="GDI153" s="22"/>
      <c r="GDJ153" s="22"/>
      <c r="GDK153" s="22"/>
      <c r="GDL153" s="22"/>
      <c r="GDM153" s="22"/>
      <c r="GDN153" s="22"/>
      <c r="GDO153" s="22"/>
      <c r="GDP153" s="22"/>
      <c r="GDQ153" s="22"/>
      <c r="GDR153" s="22"/>
      <c r="GDS153" s="22"/>
      <c r="GDT153" s="22"/>
      <c r="GDU153" s="22"/>
      <c r="GDV153" s="22"/>
      <c r="GDW153" s="22"/>
      <c r="GDX153" s="22"/>
      <c r="GDY153" s="22"/>
      <c r="GDZ153" s="22"/>
      <c r="GEA153" s="22"/>
      <c r="GEB153" s="22"/>
      <c r="GEC153" s="22"/>
      <c r="GED153" s="22"/>
      <c r="GEE153" s="22"/>
      <c r="GEF153" s="22"/>
      <c r="GEG153" s="22"/>
      <c r="GEH153" s="22"/>
      <c r="GEI153" s="22"/>
      <c r="GEJ153" s="22"/>
      <c r="GEK153" s="22"/>
      <c r="GEL153" s="22"/>
      <c r="GEM153" s="22"/>
      <c r="GEN153" s="22"/>
      <c r="GEO153" s="22"/>
      <c r="GEP153" s="22"/>
      <c r="GEQ153" s="22"/>
      <c r="GER153" s="22"/>
      <c r="GES153" s="22"/>
      <c r="GET153" s="22"/>
      <c r="GEU153" s="22"/>
      <c r="GEV153" s="22"/>
      <c r="GEW153" s="22"/>
      <c r="GEX153" s="22"/>
      <c r="GEY153" s="22"/>
      <c r="GEZ153" s="22"/>
      <c r="GFA153" s="22"/>
      <c r="GFB153" s="22"/>
      <c r="GFC153" s="22"/>
      <c r="GFD153" s="22"/>
      <c r="GFE153" s="22"/>
      <c r="GFF153" s="22"/>
      <c r="GFG153" s="22"/>
      <c r="GFH153" s="22"/>
      <c r="GFI153" s="22"/>
      <c r="GFJ153" s="22"/>
      <c r="GFK153" s="22"/>
      <c r="GFL153" s="22"/>
      <c r="GFM153" s="22"/>
      <c r="GFN153" s="22"/>
      <c r="GFO153" s="22"/>
      <c r="GFP153" s="22"/>
      <c r="GFQ153" s="22"/>
      <c r="GFR153" s="22"/>
      <c r="GFS153" s="22"/>
      <c r="GFT153" s="22"/>
      <c r="GFU153" s="22"/>
      <c r="GFV153" s="22"/>
      <c r="GFW153" s="22"/>
      <c r="GFX153" s="22"/>
      <c r="GFY153" s="22"/>
      <c r="GFZ153" s="22"/>
      <c r="GGA153" s="22"/>
      <c r="GGB153" s="22"/>
      <c r="GGC153" s="22"/>
      <c r="GGD153" s="22"/>
      <c r="GGE153" s="22"/>
      <c r="GGF153" s="22"/>
      <c r="GGG153" s="22"/>
      <c r="GGH153" s="22"/>
      <c r="GGI153" s="22"/>
      <c r="GGJ153" s="22"/>
      <c r="GGK153" s="22"/>
      <c r="GGL153" s="22"/>
      <c r="GGM153" s="22"/>
      <c r="GGN153" s="22"/>
      <c r="GGO153" s="22"/>
      <c r="GGP153" s="22"/>
      <c r="GGQ153" s="22"/>
      <c r="GGR153" s="22"/>
      <c r="GGS153" s="22"/>
      <c r="GGT153" s="22"/>
      <c r="GGU153" s="22"/>
      <c r="GGV153" s="22"/>
      <c r="GGW153" s="22"/>
      <c r="GGX153" s="22"/>
      <c r="GGY153" s="22"/>
      <c r="GGZ153" s="22"/>
      <c r="GHA153" s="22"/>
      <c r="GHB153" s="22"/>
      <c r="GHC153" s="22"/>
      <c r="GHD153" s="22"/>
      <c r="GHE153" s="22"/>
      <c r="GHF153" s="22"/>
      <c r="GHG153" s="22"/>
      <c r="GHH153" s="22"/>
      <c r="GHI153" s="22"/>
      <c r="GHJ153" s="22"/>
      <c r="GHK153" s="22"/>
      <c r="GHL153" s="22"/>
      <c r="GHM153" s="22"/>
      <c r="GHN153" s="22"/>
      <c r="GHO153" s="22"/>
      <c r="GHP153" s="22"/>
      <c r="GHQ153" s="22"/>
      <c r="GHR153" s="22"/>
      <c r="GHS153" s="22"/>
      <c r="GHT153" s="22"/>
      <c r="GHU153" s="22"/>
      <c r="GHV153" s="22"/>
      <c r="GHW153" s="22"/>
      <c r="GHX153" s="22"/>
      <c r="GHY153" s="22"/>
      <c r="GHZ153" s="22"/>
      <c r="GIA153" s="22"/>
      <c r="GIB153" s="22"/>
      <c r="GIC153" s="22"/>
      <c r="GID153" s="22"/>
      <c r="GIE153" s="22"/>
      <c r="GIF153" s="22"/>
      <c r="GIG153" s="22"/>
      <c r="GIH153" s="22"/>
      <c r="GII153" s="22"/>
      <c r="GIJ153" s="22"/>
      <c r="GIK153" s="22"/>
      <c r="GIL153" s="22"/>
      <c r="GIM153" s="22"/>
      <c r="GIN153" s="22"/>
      <c r="GIO153" s="22"/>
      <c r="GIP153" s="22"/>
      <c r="GIQ153" s="22"/>
      <c r="GIR153" s="22"/>
      <c r="GIS153" s="22"/>
      <c r="GIT153" s="22"/>
      <c r="GIU153" s="22"/>
      <c r="GIV153" s="22"/>
      <c r="GIW153" s="22"/>
      <c r="GIX153" s="22"/>
      <c r="GIY153" s="22"/>
      <c r="GIZ153" s="22"/>
      <c r="GJA153" s="22"/>
      <c r="GJB153" s="22"/>
      <c r="GJC153" s="22"/>
      <c r="GJD153" s="22"/>
      <c r="GJE153" s="22"/>
      <c r="GJF153" s="22"/>
      <c r="GJG153" s="22"/>
      <c r="GJH153" s="22"/>
      <c r="GJI153" s="22"/>
      <c r="GJJ153" s="22"/>
      <c r="GJK153" s="22"/>
      <c r="GJL153" s="22"/>
      <c r="GJM153" s="22"/>
      <c r="GJN153" s="22"/>
      <c r="GJO153" s="22"/>
      <c r="GJP153" s="22"/>
      <c r="GJQ153" s="22"/>
      <c r="GJR153" s="22"/>
      <c r="GJS153" s="22"/>
      <c r="GJT153" s="22"/>
      <c r="GJU153" s="22"/>
      <c r="GJV153" s="22"/>
      <c r="GJW153" s="22"/>
      <c r="GJX153" s="22"/>
      <c r="GJY153" s="22"/>
      <c r="GJZ153" s="22"/>
      <c r="GKA153" s="22"/>
      <c r="GKB153" s="22"/>
      <c r="GKC153" s="22"/>
      <c r="GKD153" s="22"/>
      <c r="GKE153" s="22"/>
      <c r="GKF153" s="22"/>
      <c r="GKG153" s="22"/>
      <c r="GKH153" s="22"/>
      <c r="GKI153" s="22"/>
      <c r="GKJ153" s="22"/>
      <c r="GKK153" s="22"/>
      <c r="GKL153" s="22"/>
      <c r="GKM153" s="22"/>
      <c r="GKN153" s="22"/>
      <c r="GKO153" s="22"/>
      <c r="GKP153" s="22"/>
      <c r="GKQ153" s="22"/>
      <c r="GKR153" s="22"/>
      <c r="GKS153" s="22"/>
      <c r="GKT153" s="22"/>
      <c r="GKU153" s="22"/>
      <c r="GKV153" s="22"/>
      <c r="GKW153" s="22"/>
      <c r="GKX153" s="22"/>
      <c r="GKY153" s="22"/>
      <c r="GKZ153" s="22"/>
      <c r="GLA153" s="22"/>
      <c r="GLB153" s="22"/>
      <c r="GLC153" s="22"/>
      <c r="GLD153" s="22"/>
      <c r="GLE153" s="22"/>
      <c r="GLF153" s="22"/>
      <c r="GLG153" s="22"/>
      <c r="GLH153" s="22"/>
      <c r="GLI153" s="22"/>
      <c r="GLJ153" s="22"/>
      <c r="GLK153" s="22"/>
      <c r="GLL153" s="22"/>
      <c r="GLM153" s="22"/>
      <c r="GLN153" s="22"/>
      <c r="GLO153" s="22"/>
      <c r="GLP153" s="22"/>
      <c r="GLQ153" s="22"/>
      <c r="GLR153" s="22"/>
      <c r="GLS153" s="22"/>
      <c r="GLT153" s="22"/>
      <c r="GLU153" s="22"/>
      <c r="GLV153" s="22"/>
      <c r="GLW153" s="22"/>
      <c r="GLX153" s="22"/>
      <c r="GLY153" s="22"/>
      <c r="GLZ153" s="22"/>
      <c r="GMA153" s="22"/>
      <c r="GMB153" s="22"/>
      <c r="GMC153" s="22"/>
      <c r="GMD153" s="22"/>
      <c r="GME153" s="22"/>
      <c r="GMF153" s="22"/>
      <c r="GMG153" s="22"/>
      <c r="GMH153" s="22"/>
      <c r="GMI153" s="22"/>
      <c r="GMJ153" s="22"/>
      <c r="GMK153" s="22"/>
      <c r="GML153" s="22"/>
      <c r="GMM153" s="22"/>
      <c r="GMN153" s="22"/>
      <c r="GMO153" s="22"/>
      <c r="GMP153" s="22"/>
      <c r="GMQ153" s="22"/>
      <c r="GMR153" s="22"/>
      <c r="GMS153" s="22"/>
      <c r="GMT153" s="22"/>
      <c r="GMU153" s="22"/>
      <c r="GMV153" s="22"/>
      <c r="GMW153" s="22"/>
      <c r="GMX153" s="22"/>
      <c r="GMY153" s="22"/>
      <c r="GMZ153" s="22"/>
      <c r="GNA153" s="22"/>
      <c r="GNB153" s="22"/>
      <c r="GNC153" s="22"/>
      <c r="GND153" s="22"/>
      <c r="GNE153" s="22"/>
      <c r="GNF153" s="22"/>
      <c r="GNG153" s="22"/>
      <c r="GNH153" s="22"/>
      <c r="GNI153" s="22"/>
      <c r="GNJ153" s="22"/>
      <c r="GNK153" s="22"/>
      <c r="GNL153" s="22"/>
      <c r="GNM153" s="22"/>
      <c r="GNN153" s="22"/>
      <c r="GNO153" s="22"/>
      <c r="GNP153" s="22"/>
      <c r="GNQ153" s="22"/>
      <c r="GNR153" s="22"/>
      <c r="GNS153" s="22"/>
      <c r="GNT153" s="22"/>
      <c r="GNU153" s="22"/>
      <c r="GNV153" s="22"/>
      <c r="GNW153" s="22"/>
      <c r="GNX153" s="22"/>
      <c r="GNY153" s="22"/>
      <c r="GNZ153" s="22"/>
      <c r="GOA153" s="22"/>
      <c r="GOB153" s="22"/>
      <c r="GOC153" s="22"/>
      <c r="GOD153" s="22"/>
      <c r="GOE153" s="22"/>
      <c r="GOF153" s="22"/>
      <c r="GOG153" s="22"/>
      <c r="GOH153" s="22"/>
      <c r="GOI153" s="22"/>
      <c r="GOJ153" s="22"/>
      <c r="GOK153" s="22"/>
      <c r="GOL153" s="22"/>
      <c r="GOM153" s="22"/>
      <c r="GON153" s="22"/>
      <c r="GOO153" s="22"/>
      <c r="GOP153" s="22"/>
      <c r="GOQ153" s="22"/>
      <c r="GOR153" s="22"/>
      <c r="GOS153" s="22"/>
      <c r="GOT153" s="22"/>
      <c r="GOU153" s="22"/>
      <c r="GOV153" s="22"/>
      <c r="GOW153" s="22"/>
      <c r="GOX153" s="22"/>
      <c r="GOY153" s="22"/>
      <c r="GOZ153" s="22"/>
      <c r="GPA153" s="22"/>
      <c r="GPB153" s="22"/>
      <c r="GPC153" s="22"/>
      <c r="GPD153" s="22"/>
      <c r="GPE153" s="22"/>
      <c r="GPF153" s="22"/>
      <c r="GPG153" s="22"/>
      <c r="GPH153" s="22"/>
      <c r="GPI153" s="22"/>
      <c r="GPJ153" s="22"/>
      <c r="GPK153" s="22"/>
      <c r="GPL153" s="22"/>
      <c r="GPM153" s="22"/>
      <c r="GPN153" s="22"/>
      <c r="GPO153" s="22"/>
      <c r="GPP153" s="22"/>
      <c r="GPQ153" s="22"/>
      <c r="GPR153" s="22"/>
      <c r="GPS153" s="22"/>
      <c r="GPT153" s="22"/>
      <c r="GPU153" s="22"/>
      <c r="GPV153" s="22"/>
      <c r="GPW153" s="22"/>
      <c r="GPX153" s="22"/>
      <c r="GPY153" s="22"/>
      <c r="GPZ153" s="22"/>
      <c r="GQA153" s="22"/>
      <c r="GQB153" s="22"/>
      <c r="GQC153" s="22"/>
      <c r="GQD153" s="22"/>
      <c r="GQE153" s="22"/>
      <c r="GQF153" s="22"/>
      <c r="GQG153" s="22"/>
      <c r="GQH153" s="22"/>
      <c r="GQI153" s="22"/>
      <c r="GQJ153" s="22"/>
      <c r="GQK153" s="22"/>
      <c r="GQL153" s="22"/>
      <c r="GQM153" s="22"/>
      <c r="GQN153" s="22"/>
      <c r="GQO153" s="22"/>
      <c r="GQP153" s="22"/>
      <c r="GQQ153" s="22"/>
      <c r="GQR153" s="22"/>
      <c r="GQS153" s="22"/>
      <c r="GQT153" s="22"/>
      <c r="GQU153" s="22"/>
      <c r="GQV153" s="22"/>
      <c r="GQW153" s="22"/>
      <c r="GQX153" s="22"/>
      <c r="GQY153" s="22"/>
      <c r="GQZ153" s="22"/>
      <c r="GRA153" s="22"/>
      <c r="GRB153" s="22"/>
      <c r="GRC153" s="22"/>
      <c r="GRD153" s="22"/>
      <c r="GRE153" s="22"/>
      <c r="GRF153" s="22"/>
      <c r="GRG153" s="22"/>
      <c r="GRH153" s="22"/>
      <c r="GRI153" s="22"/>
      <c r="GRJ153" s="22"/>
      <c r="GRK153" s="22"/>
      <c r="GRL153" s="22"/>
      <c r="GRM153" s="22"/>
      <c r="GRN153" s="22"/>
      <c r="GRO153" s="22"/>
      <c r="GRP153" s="22"/>
      <c r="GRQ153" s="22"/>
      <c r="GRR153" s="22"/>
      <c r="GRS153" s="22"/>
      <c r="GRT153" s="22"/>
      <c r="GRU153" s="22"/>
      <c r="GRV153" s="22"/>
      <c r="GRW153" s="22"/>
      <c r="GRX153" s="22"/>
      <c r="GRY153" s="22"/>
      <c r="GRZ153" s="22"/>
      <c r="GSA153" s="22"/>
      <c r="GSB153" s="22"/>
      <c r="GSC153" s="22"/>
      <c r="GSD153" s="22"/>
      <c r="GSE153" s="22"/>
      <c r="GSF153" s="22"/>
      <c r="GSG153" s="22"/>
      <c r="GSH153" s="22"/>
      <c r="GSI153" s="22"/>
      <c r="GSJ153" s="22"/>
      <c r="GSK153" s="22"/>
      <c r="GSL153" s="22"/>
      <c r="GSM153" s="22"/>
      <c r="GSN153" s="22"/>
      <c r="GSO153" s="22"/>
      <c r="GSP153" s="22"/>
      <c r="GSQ153" s="22"/>
      <c r="GSR153" s="22"/>
      <c r="GSS153" s="22"/>
      <c r="GST153" s="22"/>
      <c r="GSU153" s="22"/>
      <c r="GSV153" s="22"/>
      <c r="GSW153" s="22"/>
      <c r="GSX153" s="22"/>
      <c r="GSY153" s="22"/>
      <c r="GSZ153" s="22"/>
      <c r="GTA153" s="22"/>
      <c r="GTB153" s="22"/>
      <c r="GTC153" s="22"/>
      <c r="GTD153" s="22"/>
      <c r="GTE153" s="22"/>
      <c r="GTF153" s="22"/>
      <c r="GTG153" s="22"/>
      <c r="GTH153" s="22"/>
      <c r="GTI153" s="22"/>
      <c r="GTJ153" s="22"/>
      <c r="GTK153" s="22"/>
      <c r="GTL153" s="22"/>
      <c r="GTM153" s="22"/>
      <c r="GTN153" s="22"/>
      <c r="GTO153" s="22"/>
      <c r="GTP153" s="22"/>
      <c r="GTQ153" s="22"/>
      <c r="GTR153" s="22"/>
      <c r="GTS153" s="22"/>
      <c r="GTT153" s="22"/>
      <c r="GTU153" s="22"/>
      <c r="GTV153" s="22"/>
      <c r="GTW153" s="22"/>
      <c r="GTX153" s="22"/>
      <c r="GTY153" s="22"/>
      <c r="GTZ153" s="22"/>
      <c r="GUA153" s="22"/>
      <c r="GUB153" s="22"/>
      <c r="GUC153" s="22"/>
      <c r="GUD153" s="22"/>
      <c r="GUE153" s="22"/>
      <c r="GUF153" s="22"/>
      <c r="GUG153" s="22"/>
      <c r="GUH153" s="22"/>
      <c r="GUI153" s="22"/>
      <c r="GUJ153" s="22"/>
      <c r="GUK153" s="22"/>
      <c r="GUL153" s="22"/>
      <c r="GUM153" s="22"/>
      <c r="GUN153" s="22"/>
      <c r="GUO153" s="22"/>
      <c r="GUP153" s="22"/>
      <c r="GUQ153" s="22"/>
      <c r="GUR153" s="22"/>
      <c r="GUS153" s="22"/>
      <c r="GUT153" s="22"/>
      <c r="GUU153" s="22"/>
      <c r="GUV153" s="22"/>
      <c r="GUW153" s="22"/>
      <c r="GUX153" s="22"/>
      <c r="GUY153" s="22"/>
      <c r="GUZ153" s="22"/>
      <c r="GVA153" s="22"/>
      <c r="GVB153" s="22"/>
      <c r="GVC153" s="22"/>
      <c r="GVD153" s="22"/>
      <c r="GVE153" s="22"/>
      <c r="GVF153" s="22"/>
      <c r="GVG153" s="22"/>
      <c r="GVH153" s="22"/>
      <c r="GVI153" s="22"/>
      <c r="GVJ153" s="22"/>
      <c r="GVK153" s="22"/>
      <c r="GVL153" s="22"/>
      <c r="GVM153" s="22"/>
      <c r="GVN153" s="22"/>
      <c r="GVO153" s="22"/>
      <c r="GVP153" s="22"/>
      <c r="GVQ153" s="22"/>
      <c r="GVR153" s="22"/>
      <c r="GVS153" s="22"/>
      <c r="GVT153" s="22"/>
      <c r="GVU153" s="22"/>
      <c r="GVV153" s="22"/>
      <c r="GVW153" s="22"/>
      <c r="GVX153" s="22"/>
      <c r="GVY153" s="22"/>
      <c r="GVZ153" s="22"/>
      <c r="GWA153" s="22"/>
      <c r="GWB153" s="22"/>
      <c r="GWC153" s="22"/>
      <c r="GWD153" s="22"/>
      <c r="GWE153" s="22"/>
      <c r="GWF153" s="22"/>
      <c r="GWG153" s="22"/>
      <c r="GWH153" s="22"/>
      <c r="GWI153" s="22"/>
      <c r="GWJ153" s="22"/>
      <c r="GWK153" s="22"/>
      <c r="GWL153" s="22"/>
      <c r="GWM153" s="22"/>
      <c r="GWN153" s="22"/>
      <c r="GWO153" s="22"/>
      <c r="GWP153" s="22"/>
      <c r="GWQ153" s="22"/>
      <c r="GWR153" s="22"/>
      <c r="GWS153" s="22"/>
      <c r="GWT153" s="22"/>
      <c r="GWU153" s="22"/>
      <c r="GWV153" s="22"/>
      <c r="GWW153" s="22"/>
      <c r="GWX153" s="22"/>
      <c r="GWY153" s="22"/>
      <c r="GWZ153" s="22"/>
      <c r="GXA153" s="22"/>
      <c r="GXB153" s="22"/>
      <c r="GXC153" s="22"/>
      <c r="GXD153" s="22"/>
      <c r="GXE153" s="22"/>
      <c r="GXF153" s="22"/>
      <c r="GXG153" s="22"/>
      <c r="GXH153" s="22"/>
      <c r="GXI153" s="22"/>
      <c r="GXJ153" s="22"/>
      <c r="GXK153" s="22"/>
      <c r="GXL153" s="22"/>
      <c r="GXM153" s="22"/>
      <c r="GXN153" s="22"/>
      <c r="GXO153" s="22"/>
      <c r="GXP153" s="22"/>
      <c r="GXQ153" s="22"/>
      <c r="GXR153" s="22"/>
      <c r="GXS153" s="22"/>
      <c r="GXT153" s="22"/>
      <c r="GXU153" s="22"/>
      <c r="GXV153" s="22"/>
      <c r="GXW153" s="22"/>
      <c r="GXX153" s="22"/>
      <c r="GXY153" s="22"/>
      <c r="GXZ153" s="22"/>
      <c r="GYA153" s="22"/>
      <c r="GYB153" s="22"/>
      <c r="GYC153" s="22"/>
      <c r="GYD153" s="22"/>
      <c r="GYE153" s="22"/>
      <c r="GYF153" s="22"/>
      <c r="GYG153" s="22"/>
      <c r="GYH153" s="22"/>
      <c r="GYI153" s="22"/>
      <c r="GYJ153" s="22"/>
      <c r="GYK153" s="22"/>
      <c r="GYL153" s="22"/>
      <c r="GYM153" s="22"/>
      <c r="GYN153" s="22"/>
      <c r="GYO153" s="22"/>
      <c r="GYP153" s="22"/>
      <c r="GYQ153" s="22"/>
      <c r="GYR153" s="22"/>
      <c r="GYS153" s="22"/>
      <c r="GYT153" s="22"/>
      <c r="GYU153" s="22"/>
      <c r="GYV153" s="22"/>
      <c r="GYW153" s="22"/>
      <c r="GYX153" s="22"/>
      <c r="GYY153" s="22"/>
      <c r="GYZ153" s="22"/>
      <c r="GZA153" s="22"/>
      <c r="GZB153" s="22"/>
      <c r="GZC153" s="22"/>
      <c r="GZD153" s="22"/>
      <c r="GZE153" s="22"/>
      <c r="GZF153" s="22"/>
      <c r="GZG153" s="22"/>
      <c r="GZH153" s="22"/>
      <c r="GZI153" s="22"/>
      <c r="GZJ153" s="22"/>
      <c r="GZK153" s="22"/>
      <c r="GZL153" s="22"/>
      <c r="GZM153" s="22"/>
      <c r="GZN153" s="22"/>
      <c r="GZO153" s="22"/>
      <c r="GZP153" s="22"/>
      <c r="GZQ153" s="22"/>
      <c r="GZR153" s="22"/>
      <c r="GZS153" s="22"/>
      <c r="GZT153" s="22"/>
      <c r="GZU153" s="22"/>
      <c r="GZV153" s="22"/>
      <c r="GZW153" s="22"/>
      <c r="GZX153" s="22"/>
      <c r="GZY153" s="22"/>
      <c r="GZZ153" s="22"/>
      <c r="HAA153" s="22"/>
      <c r="HAB153" s="22"/>
      <c r="HAC153" s="22"/>
      <c r="HAD153" s="22"/>
      <c r="HAE153" s="22"/>
      <c r="HAF153" s="22"/>
      <c r="HAG153" s="22"/>
      <c r="HAH153" s="22"/>
      <c r="HAI153" s="22"/>
      <c r="HAJ153" s="22"/>
      <c r="HAK153" s="22"/>
      <c r="HAL153" s="22"/>
      <c r="HAM153" s="22"/>
      <c r="HAN153" s="22"/>
      <c r="HAO153" s="22"/>
      <c r="HAP153" s="22"/>
      <c r="HAQ153" s="22"/>
      <c r="HAR153" s="22"/>
      <c r="HAS153" s="22"/>
      <c r="HAT153" s="22"/>
      <c r="HAU153" s="22"/>
      <c r="HAV153" s="22"/>
      <c r="HAW153" s="22"/>
      <c r="HAX153" s="22"/>
      <c r="HAY153" s="22"/>
      <c r="HAZ153" s="22"/>
      <c r="HBA153" s="22"/>
      <c r="HBB153" s="22"/>
      <c r="HBC153" s="22"/>
      <c r="HBD153" s="22"/>
      <c r="HBE153" s="22"/>
      <c r="HBF153" s="22"/>
      <c r="HBG153" s="22"/>
      <c r="HBH153" s="22"/>
      <c r="HBI153" s="22"/>
      <c r="HBJ153" s="22"/>
      <c r="HBK153" s="22"/>
      <c r="HBL153" s="22"/>
      <c r="HBM153" s="22"/>
      <c r="HBN153" s="22"/>
      <c r="HBO153" s="22"/>
      <c r="HBP153" s="22"/>
      <c r="HBQ153" s="22"/>
      <c r="HBR153" s="22"/>
      <c r="HBS153" s="22"/>
      <c r="HBT153" s="22"/>
      <c r="HBU153" s="22"/>
      <c r="HBV153" s="22"/>
      <c r="HBW153" s="22"/>
      <c r="HBX153" s="22"/>
      <c r="HBY153" s="22"/>
      <c r="HBZ153" s="22"/>
      <c r="HCA153" s="22"/>
      <c r="HCB153" s="22"/>
      <c r="HCC153" s="22"/>
      <c r="HCD153" s="22"/>
      <c r="HCE153" s="22"/>
      <c r="HCF153" s="22"/>
      <c r="HCG153" s="22"/>
      <c r="HCH153" s="22"/>
      <c r="HCI153" s="22"/>
      <c r="HCJ153" s="22"/>
      <c r="HCK153" s="22"/>
      <c r="HCL153" s="22"/>
      <c r="HCM153" s="22"/>
      <c r="HCN153" s="22"/>
      <c r="HCO153" s="22"/>
      <c r="HCP153" s="22"/>
      <c r="HCQ153" s="22"/>
      <c r="HCR153" s="22"/>
      <c r="HCS153" s="22"/>
      <c r="HCT153" s="22"/>
      <c r="HCU153" s="22"/>
      <c r="HCV153" s="22"/>
      <c r="HCW153" s="22"/>
      <c r="HCX153" s="22"/>
      <c r="HCY153" s="22"/>
      <c r="HCZ153" s="22"/>
      <c r="HDA153" s="22"/>
      <c r="HDB153" s="22"/>
      <c r="HDC153" s="22"/>
      <c r="HDD153" s="22"/>
      <c r="HDE153" s="22"/>
      <c r="HDF153" s="22"/>
      <c r="HDG153" s="22"/>
      <c r="HDH153" s="22"/>
      <c r="HDI153" s="22"/>
      <c r="HDJ153" s="22"/>
      <c r="HDK153" s="22"/>
      <c r="HDL153" s="22"/>
      <c r="HDM153" s="22"/>
      <c r="HDN153" s="22"/>
      <c r="HDO153" s="22"/>
      <c r="HDP153" s="22"/>
      <c r="HDQ153" s="22"/>
      <c r="HDR153" s="22"/>
      <c r="HDS153" s="22"/>
      <c r="HDT153" s="22"/>
      <c r="HDU153" s="22"/>
      <c r="HDV153" s="22"/>
      <c r="HDW153" s="22"/>
      <c r="HDX153" s="22"/>
      <c r="HDY153" s="22"/>
      <c r="HDZ153" s="22"/>
      <c r="HEA153" s="22"/>
      <c r="HEB153" s="22"/>
      <c r="HEC153" s="22"/>
      <c r="HED153" s="22"/>
      <c r="HEE153" s="22"/>
      <c r="HEF153" s="22"/>
      <c r="HEG153" s="22"/>
      <c r="HEH153" s="22"/>
      <c r="HEI153" s="22"/>
      <c r="HEJ153" s="22"/>
      <c r="HEK153" s="22"/>
      <c r="HEL153" s="22"/>
      <c r="HEM153" s="22"/>
      <c r="HEN153" s="22"/>
      <c r="HEO153" s="22"/>
      <c r="HEP153" s="22"/>
      <c r="HEQ153" s="22"/>
      <c r="HER153" s="22"/>
      <c r="HES153" s="22"/>
      <c r="HET153" s="22"/>
      <c r="HEU153" s="22"/>
      <c r="HEV153" s="22"/>
      <c r="HEW153" s="22"/>
      <c r="HEX153" s="22"/>
      <c r="HEY153" s="22"/>
      <c r="HEZ153" s="22"/>
      <c r="HFA153" s="22"/>
      <c r="HFB153" s="22"/>
      <c r="HFC153" s="22"/>
      <c r="HFD153" s="22"/>
      <c r="HFE153" s="22"/>
      <c r="HFF153" s="22"/>
      <c r="HFG153" s="22"/>
      <c r="HFH153" s="22"/>
      <c r="HFI153" s="22"/>
      <c r="HFJ153" s="22"/>
      <c r="HFK153" s="22"/>
      <c r="HFL153" s="22"/>
      <c r="HFM153" s="22"/>
      <c r="HFN153" s="22"/>
      <c r="HFO153" s="22"/>
      <c r="HFP153" s="22"/>
      <c r="HFQ153" s="22"/>
      <c r="HFR153" s="22"/>
      <c r="HFS153" s="22"/>
      <c r="HFT153" s="22"/>
      <c r="HFU153" s="22"/>
      <c r="HFV153" s="22"/>
      <c r="HFW153" s="22"/>
      <c r="HFX153" s="22"/>
      <c r="HFY153" s="22"/>
      <c r="HFZ153" s="22"/>
      <c r="HGA153" s="22"/>
      <c r="HGB153" s="22"/>
      <c r="HGC153" s="22"/>
      <c r="HGD153" s="22"/>
      <c r="HGE153" s="22"/>
      <c r="HGF153" s="22"/>
      <c r="HGG153" s="22"/>
      <c r="HGH153" s="22"/>
      <c r="HGI153" s="22"/>
      <c r="HGJ153" s="22"/>
      <c r="HGK153" s="22"/>
      <c r="HGL153" s="22"/>
      <c r="HGM153" s="22"/>
      <c r="HGN153" s="22"/>
      <c r="HGO153" s="22"/>
      <c r="HGP153" s="22"/>
      <c r="HGQ153" s="22"/>
      <c r="HGR153" s="22"/>
      <c r="HGS153" s="22"/>
      <c r="HGT153" s="22"/>
      <c r="HGU153" s="22"/>
      <c r="HGV153" s="22"/>
      <c r="HGW153" s="22"/>
      <c r="HGX153" s="22"/>
      <c r="HGY153" s="22"/>
      <c r="HGZ153" s="22"/>
      <c r="HHA153" s="22"/>
      <c r="HHB153" s="22"/>
      <c r="HHC153" s="22"/>
      <c r="HHD153" s="22"/>
      <c r="HHE153" s="22"/>
      <c r="HHF153" s="22"/>
      <c r="HHG153" s="22"/>
      <c r="HHH153" s="22"/>
      <c r="HHI153" s="22"/>
      <c r="HHJ153" s="22"/>
      <c r="HHK153" s="22"/>
      <c r="HHL153" s="22"/>
      <c r="HHM153" s="22"/>
      <c r="HHN153" s="22"/>
      <c r="HHO153" s="22"/>
      <c r="HHP153" s="22"/>
      <c r="HHQ153" s="22"/>
      <c r="HHR153" s="22"/>
      <c r="HHS153" s="22"/>
      <c r="HHT153" s="22"/>
      <c r="HHU153" s="22"/>
      <c r="HHV153" s="22"/>
      <c r="HHW153" s="22"/>
      <c r="HHX153" s="22"/>
      <c r="HHY153" s="22"/>
      <c r="HHZ153" s="22"/>
      <c r="HIA153" s="22"/>
      <c r="HIB153" s="22"/>
      <c r="HIC153" s="22"/>
      <c r="HID153" s="22"/>
      <c r="HIE153" s="22"/>
      <c r="HIF153" s="22"/>
      <c r="HIG153" s="22"/>
      <c r="HIH153" s="22"/>
      <c r="HII153" s="22"/>
      <c r="HIJ153" s="22"/>
      <c r="HIK153" s="22"/>
      <c r="HIL153" s="22"/>
      <c r="HIM153" s="22"/>
      <c r="HIN153" s="22"/>
      <c r="HIO153" s="22"/>
      <c r="HIP153" s="22"/>
      <c r="HIQ153" s="22"/>
      <c r="HIR153" s="22"/>
      <c r="HIS153" s="22"/>
      <c r="HIT153" s="22"/>
      <c r="HIU153" s="22"/>
      <c r="HIV153" s="22"/>
      <c r="HIW153" s="22"/>
      <c r="HIX153" s="22"/>
      <c r="HIY153" s="22"/>
      <c r="HIZ153" s="22"/>
      <c r="HJA153" s="22"/>
      <c r="HJB153" s="22"/>
      <c r="HJC153" s="22"/>
      <c r="HJD153" s="22"/>
      <c r="HJE153" s="22"/>
      <c r="HJF153" s="22"/>
      <c r="HJG153" s="22"/>
      <c r="HJH153" s="22"/>
      <c r="HJI153" s="22"/>
      <c r="HJJ153" s="22"/>
      <c r="HJK153" s="22"/>
      <c r="HJL153" s="22"/>
      <c r="HJM153" s="22"/>
      <c r="HJN153" s="22"/>
      <c r="HJO153" s="22"/>
      <c r="HJP153" s="22"/>
      <c r="HJQ153" s="22"/>
      <c r="HJR153" s="22"/>
      <c r="HJS153" s="22"/>
      <c r="HJT153" s="22"/>
      <c r="HJU153" s="22"/>
      <c r="HJV153" s="22"/>
      <c r="HJW153" s="22"/>
      <c r="HJX153" s="22"/>
      <c r="HJY153" s="22"/>
      <c r="HJZ153" s="22"/>
      <c r="HKA153" s="22"/>
      <c r="HKB153" s="22"/>
      <c r="HKC153" s="22"/>
      <c r="HKD153" s="22"/>
      <c r="HKE153" s="22"/>
      <c r="HKF153" s="22"/>
      <c r="HKG153" s="22"/>
      <c r="HKH153" s="22"/>
      <c r="HKI153" s="22"/>
      <c r="HKJ153" s="22"/>
      <c r="HKK153" s="22"/>
      <c r="HKL153" s="22"/>
      <c r="HKM153" s="22"/>
      <c r="HKN153" s="22"/>
      <c r="HKO153" s="22"/>
      <c r="HKP153" s="22"/>
      <c r="HKQ153" s="22"/>
      <c r="HKR153" s="22"/>
      <c r="HKS153" s="22"/>
      <c r="HKT153" s="22"/>
      <c r="HKU153" s="22"/>
      <c r="HKV153" s="22"/>
      <c r="HKW153" s="22"/>
      <c r="HKX153" s="22"/>
      <c r="HKY153" s="22"/>
      <c r="HKZ153" s="22"/>
      <c r="HLA153" s="22"/>
      <c r="HLB153" s="22"/>
      <c r="HLC153" s="22"/>
      <c r="HLD153" s="22"/>
      <c r="HLE153" s="22"/>
      <c r="HLF153" s="22"/>
      <c r="HLG153" s="22"/>
      <c r="HLH153" s="22"/>
      <c r="HLI153" s="22"/>
      <c r="HLJ153" s="22"/>
      <c r="HLK153" s="22"/>
      <c r="HLL153" s="22"/>
      <c r="HLM153" s="22"/>
      <c r="HLN153" s="22"/>
      <c r="HLO153" s="22"/>
      <c r="HLP153" s="22"/>
      <c r="HLQ153" s="22"/>
      <c r="HLR153" s="22"/>
      <c r="HLS153" s="22"/>
      <c r="HLT153" s="22"/>
      <c r="HLU153" s="22"/>
      <c r="HLV153" s="22"/>
      <c r="HLW153" s="22"/>
      <c r="HLX153" s="22"/>
      <c r="HLY153" s="22"/>
      <c r="HLZ153" s="22"/>
      <c r="HMA153" s="22"/>
      <c r="HMB153" s="22"/>
      <c r="HMC153" s="22"/>
      <c r="HMD153" s="22"/>
      <c r="HME153" s="22"/>
      <c r="HMF153" s="22"/>
      <c r="HMG153" s="22"/>
      <c r="HMH153" s="22"/>
      <c r="HMI153" s="22"/>
      <c r="HMJ153" s="22"/>
      <c r="HMK153" s="22"/>
      <c r="HML153" s="22"/>
      <c r="HMM153" s="22"/>
      <c r="HMN153" s="22"/>
      <c r="HMO153" s="22"/>
      <c r="HMP153" s="22"/>
      <c r="HMQ153" s="22"/>
      <c r="HMR153" s="22"/>
      <c r="HMS153" s="22"/>
      <c r="HMT153" s="22"/>
      <c r="HMU153" s="22"/>
      <c r="HMV153" s="22"/>
      <c r="HMW153" s="22"/>
      <c r="HMX153" s="22"/>
      <c r="HMY153" s="22"/>
      <c r="HMZ153" s="22"/>
      <c r="HNA153" s="22"/>
      <c r="HNB153" s="22"/>
      <c r="HNC153" s="22"/>
      <c r="HND153" s="22"/>
      <c r="HNE153" s="22"/>
      <c r="HNF153" s="22"/>
      <c r="HNG153" s="22"/>
      <c r="HNH153" s="22"/>
      <c r="HNI153" s="22"/>
      <c r="HNJ153" s="22"/>
      <c r="HNK153" s="22"/>
      <c r="HNL153" s="22"/>
      <c r="HNM153" s="22"/>
      <c r="HNN153" s="22"/>
      <c r="HNO153" s="22"/>
      <c r="HNP153" s="22"/>
      <c r="HNQ153" s="22"/>
      <c r="HNR153" s="22"/>
      <c r="HNS153" s="22"/>
      <c r="HNT153" s="22"/>
      <c r="HNU153" s="22"/>
      <c r="HNV153" s="22"/>
      <c r="HNW153" s="22"/>
      <c r="HNX153" s="22"/>
      <c r="HNY153" s="22"/>
      <c r="HNZ153" s="22"/>
      <c r="HOA153" s="22"/>
      <c r="HOB153" s="22"/>
      <c r="HOC153" s="22"/>
      <c r="HOD153" s="22"/>
      <c r="HOE153" s="22"/>
      <c r="HOF153" s="22"/>
      <c r="HOG153" s="22"/>
      <c r="HOH153" s="22"/>
      <c r="HOI153" s="22"/>
      <c r="HOJ153" s="22"/>
      <c r="HOK153" s="22"/>
      <c r="HOL153" s="22"/>
      <c r="HOM153" s="22"/>
      <c r="HON153" s="22"/>
      <c r="HOO153" s="22"/>
      <c r="HOP153" s="22"/>
      <c r="HOQ153" s="22"/>
      <c r="HOR153" s="22"/>
      <c r="HOS153" s="22"/>
      <c r="HOT153" s="22"/>
      <c r="HOU153" s="22"/>
      <c r="HOV153" s="22"/>
      <c r="HOW153" s="22"/>
      <c r="HOX153" s="22"/>
      <c r="HOY153" s="22"/>
      <c r="HOZ153" s="22"/>
      <c r="HPA153" s="22"/>
      <c r="HPB153" s="22"/>
      <c r="HPC153" s="22"/>
      <c r="HPD153" s="22"/>
      <c r="HPE153" s="22"/>
      <c r="HPF153" s="22"/>
      <c r="HPG153" s="22"/>
      <c r="HPH153" s="22"/>
      <c r="HPI153" s="22"/>
      <c r="HPJ153" s="22"/>
      <c r="HPK153" s="22"/>
      <c r="HPL153" s="22"/>
      <c r="HPM153" s="22"/>
      <c r="HPN153" s="22"/>
      <c r="HPO153" s="22"/>
      <c r="HPP153" s="22"/>
      <c r="HPQ153" s="22"/>
      <c r="HPR153" s="22"/>
      <c r="HPS153" s="22"/>
      <c r="HPT153" s="22"/>
      <c r="HPU153" s="22"/>
      <c r="HPV153" s="22"/>
      <c r="HPW153" s="22"/>
      <c r="HPX153" s="22"/>
      <c r="HPY153" s="22"/>
      <c r="HPZ153" s="22"/>
      <c r="HQA153" s="22"/>
      <c r="HQB153" s="22"/>
      <c r="HQC153" s="22"/>
      <c r="HQD153" s="22"/>
      <c r="HQE153" s="22"/>
      <c r="HQF153" s="22"/>
      <c r="HQG153" s="22"/>
      <c r="HQH153" s="22"/>
      <c r="HQI153" s="22"/>
      <c r="HQJ153" s="22"/>
      <c r="HQK153" s="22"/>
      <c r="HQL153" s="22"/>
      <c r="HQM153" s="22"/>
      <c r="HQN153" s="22"/>
      <c r="HQO153" s="22"/>
      <c r="HQP153" s="22"/>
      <c r="HQQ153" s="22"/>
      <c r="HQR153" s="22"/>
      <c r="HQS153" s="22"/>
      <c r="HQT153" s="22"/>
      <c r="HQU153" s="22"/>
      <c r="HQV153" s="22"/>
      <c r="HQW153" s="22"/>
      <c r="HQX153" s="22"/>
      <c r="HQY153" s="22"/>
      <c r="HQZ153" s="22"/>
      <c r="HRA153" s="22"/>
      <c r="HRB153" s="22"/>
      <c r="HRC153" s="22"/>
      <c r="HRD153" s="22"/>
      <c r="HRE153" s="22"/>
      <c r="HRF153" s="22"/>
      <c r="HRG153" s="22"/>
      <c r="HRH153" s="22"/>
      <c r="HRI153" s="22"/>
      <c r="HRJ153" s="22"/>
      <c r="HRK153" s="22"/>
      <c r="HRL153" s="22"/>
      <c r="HRM153" s="22"/>
      <c r="HRN153" s="22"/>
      <c r="HRO153" s="22"/>
      <c r="HRP153" s="22"/>
      <c r="HRQ153" s="22"/>
      <c r="HRR153" s="22"/>
      <c r="HRS153" s="22"/>
      <c r="HRT153" s="22"/>
      <c r="HRU153" s="22"/>
      <c r="HRV153" s="22"/>
      <c r="HRW153" s="22"/>
      <c r="HRX153" s="22"/>
      <c r="HRY153" s="22"/>
      <c r="HRZ153" s="22"/>
      <c r="HSA153" s="22"/>
      <c r="HSB153" s="22"/>
      <c r="HSC153" s="22"/>
      <c r="HSD153" s="22"/>
      <c r="HSE153" s="22"/>
      <c r="HSF153" s="22"/>
      <c r="HSG153" s="22"/>
      <c r="HSH153" s="22"/>
      <c r="HSI153" s="22"/>
      <c r="HSJ153" s="22"/>
      <c r="HSK153" s="22"/>
      <c r="HSL153" s="22"/>
      <c r="HSM153" s="22"/>
      <c r="HSN153" s="22"/>
      <c r="HSO153" s="22"/>
      <c r="HSP153" s="22"/>
      <c r="HSQ153" s="22"/>
      <c r="HSR153" s="22"/>
      <c r="HSS153" s="22"/>
      <c r="HST153" s="22"/>
      <c r="HSU153" s="22"/>
      <c r="HSV153" s="22"/>
      <c r="HSW153" s="22"/>
      <c r="HSX153" s="22"/>
      <c r="HSY153" s="22"/>
      <c r="HSZ153" s="22"/>
      <c r="HTA153" s="22"/>
      <c r="HTB153" s="22"/>
      <c r="HTC153" s="22"/>
      <c r="HTD153" s="22"/>
      <c r="HTE153" s="22"/>
      <c r="HTF153" s="22"/>
      <c r="HTG153" s="22"/>
      <c r="HTH153" s="22"/>
      <c r="HTI153" s="22"/>
      <c r="HTJ153" s="22"/>
      <c r="HTK153" s="22"/>
      <c r="HTL153" s="22"/>
      <c r="HTM153" s="22"/>
      <c r="HTN153" s="22"/>
      <c r="HTO153" s="22"/>
      <c r="HTP153" s="22"/>
      <c r="HTQ153" s="22"/>
      <c r="HTR153" s="22"/>
      <c r="HTS153" s="22"/>
      <c r="HTT153" s="22"/>
      <c r="HTU153" s="22"/>
      <c r="HTV153" s="22"/>
      <c r="HTW153" s="22"/>
      <c r="HTX153" s="22"/>
      <c r="HTY153" s="22"/>
      <c r="HTZ153" s="22"/>
      <c r="HUA153" s="22"/>
      <c r="HUB153" s="22"/>
      <c r="HUC153" s="22"/>
      <c r="HUD153" s="22"/>
      <c r="HUE153" s="22"/>
      <c r="HUF153" s="22"/>
      <c r="HUG153" s="22"/>
      <c r="HUH153" s="22"/>
      <c r="HUI153" s="22"/>
      <c r="HUJ153" s="22"/>
      <c r="HUK153" s="22"/>
      <c r="HUL153" s="22"/>
      <c r="HUM153" s="22"/>
      <c r="HUN153" s="22"/>
      <c r="HUO153" s="22"/>
      <c r="HUP153" s="22"/>
      <c r="HUQ153" s="22"/>
      <c r="HUR153" s="22"/>
      <c r="HUS153" s="22"/>
      <c r="HUT153" s="22"/>
      <c r="HUU153" s="22"/>
      <c r="HUV153" s="22"/>
      <c r="HUW153" s="22"/>
      <c r="HUX153" s="22"/>
      <c r="HUY153" s="22"/>
      <c r="HUZ153" s="22"/>
      <c r="HVA153" s="22"/>
      <c r="HVB153" s="22"/>
      <c r="HVC153" s="22"/>
      <c r="HVD153" s="22"/>
      <c r="HVE153" s="22"/>
      <c r="HVF153" s="22"/>
      <c r="HVG153" s="22"/>
      <c r="HVH153" s="22"/>
      <c r="HVI153" s="22"/>
      <c r="HVJ153" s="22"/>
      <c r="HVK153" s="22"/>
      <c r="HVL153" s="22"/>
      <c r="HVM153" s="22"/>
      <c r="HVN153" s="22"/>
      <c r="HVO153" s="22"/>
      <c r="HVP153" s="22"/>
      <c r="HVQ153" s="22"/>
      <c r="HVR153" s="22"/>
      <c r="HVS153" s="22"/>
      <c r="HVT153" s="22"/>
      <c r="HVU153" s="22"/>
      <c r="HVV153" s="22"/>
      <c r="HVW153" s="22"/>
      <c r="HVX153" s="22"/>
      <c r="HVY153" s="22"/>
      <c r="HVZ153" s="22"/>
      <c r="HWA153" s="22"/>
      <c r="HWB153" s="22"/>
      <c r="HWC153" s="22"/>
      <c r="HWD153" s="22"/>
      <c r="HWE153" s="22"/>
      <c r="HWF153" s="22"/>
      <c r="HWG153" s="22"/>
      <c r="HWH153" s="22"/>
      <c r="HWI153" s="22"/>
      <c r="HWJ153" s="22"/>
      <c r="HWK153" s="22"/>
      <c r="HWL153" s="22"/>
      <c r="HWM153" s="22"/>
      <c r="HWN153" s="22"/>
      <c r="HWO153" s="22"/>
      <c r="HWP153" s="22"/>
      <c r="HWQ153" s="22"/>
      <c r="HWR153" s="22"/>
      <c r="HWS153" s="22"/>
      <c r="HWT153" s="22"/>
      <c r="HWU153" s="22"/>
      <c r="HWV153" s="22"/>
      <c r="HWW153" s="22"/>
      <c r="HWX153" s="22"/>
      <c r="HWY153" s="22"/>
      <c r="HWZ153" s="22"/>
      <c r="HXA153" s="22"/>
      <c r="HXB153" s="22"/>
      <c r="HXC153" s="22"/>
      <c r="HXD153" s="22"/>
      <c r="HXE153" s="22"/>
      <c r="HXF153" s="22"/>
      <c r="HXG153" s="22"/>
      <c r="HXH153" s="22"/>
      <c r="HXI153" s="22"/>
      <c r="HXJ153" s="22"/>
      <c r="HXK153" s="22"/>
      <c r="HXL153" s="22"/>
      <c r="HXM153" s="22"/>
      <c r="HXN153" s="22"/>
      <c r="HXO153" s="22"/>
      <c r="HXP153" s="22"/>
      <c r="HXQ153" s="22"/>
      <c r="HXR153" s="22"/>
      <c r="HXS153" s="22"/>
      <c r="HXT153" s="22"/>
      <c r="HXU153" s="22"/>
      <c r="HXV153" s="22"/>
      <c r="HXW153" s="22"/>
      <c r="HXX153" s="22"/>
      <c r="HXY153" s="22"/>
      <c r="HXZ153" s="22"/>
      <c r="HYA153" s="22"/>
      <c r="HYB153" s="22"/>
      <c r="HYC153" s="22"/>
      <c r="HYD153" s="22"/>
      <c r="HYE153" s="22"/>
      <c r="HYF153" s="22"/>
      <c r="HYG153" s="22"/>
      <c r="HYH153" s="22"/>
      <c r="HYI153" s="22"/>
      <c r="HYJ153" s="22"/>
      <c r="HYK153" s="22"/>
      <c r="HYL153" s="22"/>
      <c r="HYM153" s="22"/>
      <c r="HYN153" s="22"/>
      <c r="HYO153" s="22"/>
      <c r="HYP153" s="22"/>
      <c r="HYQ153" s="22"/>
      <c r="HYR153" s="22"/>
      <c r="HYS153" s="22"/>
      <c r="HYT153" s="22"/>
      <c r="HYU153" s="22"/>
      <c r="HYV153" s="22"/>
      <c r="HYW153" s="22"/>
      <c r="HYX153" s="22"/>
      <c r="HYY153" s="22"/>
      <c r="HYZ153" s="22"/>
      <c r="HZA153" s="22"/>
      <c r="HZB153" s="22"/>
      <c r="HZC153" s="22"/>
      <c r="HZD153" s="22"/>
      <c r="HZE153" s="22"/>
      <c r="HZF153" s="22"/>
      <c r="HZG153" s="22"/>
      <c r="HZH153" s="22"/>
      <c r="HZI153" s="22"/>
      <c r="HZJ153" s="22"/>
      <c r="HZK153" s="22"/>
      <c r="HZL153" s="22"/>
      <c r="HZM153" s="22"/>
      <c r="HZN153" s="22"/>
      <c r="HZO153" s="22"/>
      <c r="HZP153" s="22"/>
      <c r="HZQ153" s="22"/>
      <c r="HZR153" s="22"/>
      <c r="HZS153" s="22"/>
      <c r="HZT153" s="22"/>
      <c r="HZU153" s="22"/>
      <c r="HZV153" s="22"/>
      <c r="HZW153" s="22"/>
      <c r="HZX153" s="22"/>
      <c r="HZY153" s="22"/>
      <c r="HZZ153" s="22"/>
      <c r="IAA153" s="22"/>
      <c r="IAB153" s="22"/>
      <c r="IAC153" s="22"/>
      <c r="IAD153" s="22"/>
      <c r="IAE153" s="22"/>
      <c r="IAF153" s="22"/>
      <c r="IAG153" s="22"/>
      <c r="IAH153" s="22"/>
      <c r="IAI153" s="22"/>
      <c r="IAJ153" s="22"/>
      <c r="IAK153" s="22"/>
      <c r="IAL153" s="22"/>
      <c r="IAM153" s="22"/>
      <c r="IAN153" s="22"/>
      <c r="IAO153" s="22"/>
      <c r="IAP153" s="22"/>
      <c r="IAQ153" s="22"/>
      <c r="IAR153" s="22"/>
      <c r="IAS153" s="22"/>
      <c r="IAT153" s="22"/>
      <c r="IAU153" s="22"/>
      <c r="IAV153" s="22"/>
      <c r="IAW153" s="22"/>
      <c r="IAX153" s="22"/>
      <c r="IAY153" s="22"/>
      <c r="IAZ153" s="22"/>
      <c r="IBA153" s="22"/>
      <c r="IBB153" s="22"/>
      <c r="IBC153" s="22"/>
      <c r="IBD153" s="22"/>
      <c r="IBE153" s="22"/>
      <c r="IBF153" s="22"/>
      <c r="IBG153" s="22"/>
      <c r="IBH153" s="22"/>
      <c r="IBI153" s="22"/>
      <c r="IBJ153" s="22"/>
      <c r="IBK153" s="22"/>
      <c r="IBL153" s="22"/>
      <c r="IBM153" s="22"/>
      <c r="IBN153" s="22"/>
      <c r="IBO153" s="22"/>
      <c r="IBP153" s="22"/>
      <c r="IBQ153" s="22"/>
      <c r="IBR153" s="22"/>
      <c r="IBS153" s="22"/>
      <c r="IBT153" s="22"/>
      <c r="IBU153" s="22"/>
      <c r="IBV153" s="22"/>
      <c r="IBW153" s="22"/>
      <c r="IBX153" s="22"/>
      <c r="IBY153" s="22"/>
      <c r="IBZ153" s="22"/>
      <c r="ICA153" s="22"/>
      <c r="ICB153" s="22"/>
      <c r="ICC153" s="22"/>
      <c r="ICD153" s="22"/>
      <c r="ICE153" s="22"/>
      <c r="ICF153" s="22"/>
      <c r="ICG153" s="22"/>
      <c r="ICH153" s="22"/>
      <c r="ICI153" s="22"/>
      <c r="ICJ153" s="22"/>
      <c r="ICK153" s="22"/>
      <c r="ICL153" s="22"/>
      <c r="ICM153" s="22"/>
      <c r="ICN153" s="22"/>
      <c r="ICO153" s="22"/>
      <c r="ICP153" s="22"/>
      <c r="ICQ153" s="22"/>
      <c r="ICR153" s="22"/>
      <c r="ICS153" s="22"/>
      <c r="ICT153" s="22"/>
      <c r="ICU153" s="22"/>
      <c r="ICV153" s="22"/>
      <c r="ICW153" s="22"/>
      <c r="ICX153" s="22"/>
      <c r="ICY153" s="22"/>
      <c r="ICZ153" s="22"/>
      <c r="IDA153" s="22"/>
      <c r="IDB153" s="22"/>
      <c r="IDC153" s="22"/>
      <c r="IDD153" s="22"/>
      <c r="IDE153" s="22"/>
      <c r="IDF153" s="22"/>
      <c r="IDG153" s="22"/>
      <c r="IDH153" s="22"/>
      <c r="IDI153" s="22"/>
      <c r="IDJ153" s="22"/>
      <c r="IDK153" s="22"/>
      <c r="IDL153" s="22"/>
      <c r="IDM153" s="22"/>
      <c r="IDN153" s="22"/>
      <c r="IDO153" s="22"/>
      <c r="IDP153" s="22"/>
      <c r="IDQ153" s="22"/>
      <c r="IDR153" s="22"/>
      <c r="IDS153" s="22"/>
      <c r="IDT153" s="22"/>
      <c r="IDU153" s="22"/>
      <c r="IDV153" s="22"/>
      <c r="IDW153" s="22"/>
      <c r="IDX153" s="22"/>
      <c r="IDY153" s="22"/>
      <c r="IDZ153" s="22"/>
      <c r="IEA153" s="22"/>
      <c r="IEB153" s="22"/>
      <c r="IEC153" s="22"/>
      <c r="IED153" s="22"/>
      <c r="IEE153" s="22"/>
      <c r="IEF153" s="22"/>
      <c r="IEG153" s="22"/>
      <c r="IEH153" s="22"/>
      <c r="IEI153" s="22"/>
      <c r="IEJ153" s="22"/>
      <c r="IEK153" s="22"/>
      <c r="IEL153" s="22"/>
      <c r="IEM153" s="22"/>
      <c r="IEN153" s="22"/>
      <c r="IEO153" s="22"/>
      <c r="IEP153" s="22"/>
      <c r="IEQ153" s="22"/>
      <c r="IER153" s="22"/>
      <c r="IES153" s="22"/>
      <c r="IET153" s="22"/>
      <c r="IEU153" s="22"/>
      <c r="IEV153" s="22"/>
      <c r="IEW153" s="22"/>
      <c r="IEX153" s="22"/>
      <c r="IEY153" s="22"/>
      <c r="IEZ153" s="22"/>
      <c r="IFA153" s="22"/>
      <c r="IFB153" s="22"/>
      <c r="IFC153" s="22"/>
      <c r="IFD153" s="22"/>
      <c r="IFE153" s="22"/>
      <c r="IFF153" s="22"/>
      <c r="IFG153" s="22"/>
      <c r="IFH153" s="22"/>
      <c r="IFI153" s="22"/>
      <c r="IFJ153" s="22"/>
      <c r="IFK153" s="22"/>
      <c r="IFL153" s="22"/>
      <c r="IFM153" s="22"/>
      <c r="IFN153" s="22"/>
      <c r="IFO153" s="22"/>
      <c r="IFP153" s="22"/>
      <c r="IFQ153" s="22"/>
      <c r="IFR153" s="22"/>
      <c r="IFS153" s="22"/>
      <c r="IFT153" s="22"/>
      <c r="IFU153" s="22"/>
      <c r="IFV153" s="22"/>
      <c r="IFW153" s="22"/>
      <c r="IFX153" s="22"/>
      <c r="IFY153" s="22"/>
      <c r="IFZ153" s="22"/>
      <c r="IGA153" s="22"/>
      <c r="IGB153" s="22"/>
      <c r="IGC153" s="22"/>
      <c r="IGD153" s="22"/>
      <c r="IGE153" s="22"/>
      <c r="IGF153" s="22"/>
      <c r="IGG153" s="22"/>
      <c r="IGH153" s="22"/>
      <c r="IGI153" s="22"/>
      <c r="IGJ153" s="22"/>
      <c r="IGK153" s="22"/>
      <c r="IGL153" s="22"/>
      <c r="IGM153" s="22"/>
      <c r="IGN153" s="22"/>
      <c r="IGO153" s="22"/>
      <c r="IGP153" s="22"/>
      <c r="IGQ153" s="22"/>
      <c r="IGR153" s="22"/>
      <c r="IGS153" s="22"/>
      <c r="IGT153" s="22"/>
      <c r="IGU153" s="22"/>
      <c r="IGV153" s="22"/>
      <c r="IGW153" s="22"/>
      <c r="IGX153" s="22"/>
      <c r="IGY153" s="22"/>
      <c r="IGZ153" s="22"/>
      <c r="IHA153" s="22"/>
      <c r="IHB153" s="22"/>
      <c r="IHC153" s="22"/>
      <c r="IHD153" s="22"/>
      <c r="IHE153" s="22"/>
      <c r="IHF153" s="22"/>
      <c r="IHG153" s="22"/>
      <c r="IHH153" s="22"/>
      <c r="IHI153" s="22"/>
      <c r="IHJ153" s="22"/>
      <c r="IHK153" s="22"/>
      <c r="IHL153" s="22"/>
      <c r="IHM153" s="22"/>
      <c r="IHN153" s="22"/>
      <c r="IHO153" s="22"/>
      <c r="IHP153" s="22"/>
      <c r="IHQ153" s="22"/>
      <c r="IHR153" s="22"/>
      <c r="IHS153" s="22"/>
      <c r="IHT153" s="22"/>
      <c r="IHU153" s="22"/>
      <c r="IHV153" s="22"/>
      <c r="IHW153" s="22"/>
      <c r="IHX153" s="22"/>
      <c r="IHY153" s="22"/>
      <c r="IHZ153" s="22"/>
      <c r="IIA153" s="22"/>
      <c r="IIB153" s="22"/>
      <c r="IIC153" s="22"/>
      <c r="IID153" s="22"/>
      <c r="IIE153" s="22"/>
      <c r="IIF153" s="22"/>
      <c r="IIG153" s="22"/>
      <c r="IIH153" s="22"/>
      <c r="III153" s="22"/>
      <c r="IIJ153" s="22"/>
      <c r="IIK153" s="22"/>
      <c r="IIL153" s="22"/>
      <c r="IIM153" s="22"/>
      <c r="IIN153" s="22"/>
      <c r="IIO153" s="22"/>
      <c r="IIP153" s="22"/>
      <c r="IIQ153" s="22"/>
      <c r="IIR153" s="22"/>
      <c r="IIS153" s="22"/>
      <c r="IIT153" s="22"/>
      <c r="IIU153" s="22"/>
      <c r="IIV153" s="22"/>
      <c r="IIW153" s="22"/>
      <c r="IIX153" s="22"/>
      <c r="IIY153" s="22"/>
      <c r="IIZ153" s="22"/>
      <c r="IJA153" s="22"/>
      <c r="IJB153" s="22"/>
      <c r="IJC153" s="22"/>
      <c r="IJD153" s="22"/>
      <c r="IJE153" s="22"/>
      <c r="IJF153" s="22"/>
      <c r="IJG153" s="22"/>
      <c r="IJH153" s="22"/>
      <c r="IJI153" s="22"/>
      <c r="IJJ153" s="22"/>
      <c r="IJK153" s="22"/>
      <c r="IJL153" s="22"/>
      <c r="IJM153" s="22"/>
      <c r="IJN153" s="22"/>
      <c r="IJO153" s="22"/>
      <c r="IJP153" s="22"/>
      <c r="IJQ153" s="22"/>
      <c r="IJR153" s="22"/>
      <c r="IJS153" s="22"/>
      <c r="IJT153" s="22"/>
      <c r="IJU153" s="22"/>
      <c r="IJV153" s="22"/>
      <c r="IJW153" s="22"/>
      <c r="IJX153" s="22"/>
      <c r="IJY153" s="22"/>
      <c r="IJZ153" s="22"/>
      <c r="IKA153" s="22"/>
      <c r="IKB153" s="22"/>
      <c r="IKC153" s="22"/>
      <c r="IKD153" s="22"/>
      <c r="IKE153" s="22"/>
      <c r="IKF153" s="22"/>
      <c r="IKG153" s="22"/>
      <c r="IKH153" s="22"/>
      <c r="IKI153" s="22"/>
      <c r="IKJ153" s="22"/>
      <c r="IKK153" s="22"/>
      <c r="IKL153" s="22"/>
      <c r="IKM153" s="22"/>
      <c r="IKN153" s="22"/>
      <c r="IKO153" s="22"/>
      <c r="IKP153" s="22"/>
      <c r="IKQ153" s="22"/>
      <c r="IKR153" s="22"/>
      <c r="IKS153" s="22"/>
      <c r="IKT153" s="22"/>
      <c r="IKU153" s="22"/>
      <c r="IKV153" s="22"/>
      <c r="IKW153" s="22"/>
      <c r="IKX153" s="22"/>
      <c r="IKY153" s="22"/>
      <c r="IKZ153" s="22"/>
      <c r="ILA153" s="22"/>
      <c r="ILB153" s="22"/>
      <c r="ILC153" s="22"/>
      <c r="ILD153" s="22"/>
      <c r="ILE153" s="22"/>
      <c r="ILF153" s="22"/>
      <c r="ILG153" s="22"/>
      <c r="ILH153" s="22"/>
      <c r="ILI153" s="22"/>
      <c r="ILJ153" s="22"/>
      <c r="ILK153" s="22"/>
      <c r="ILL153" s="22"/>
      <c r="ILM153" s="22"/>
      <c r="ILN153" s="22"/>
      <c r="ILO153" s="22"/>
      <c r="ILP153" s="22"/>
      <c r="ILQ153" s="22"/>
      <c r="ILR153" s="22"/>
      <c r="ILS153" s="22"/>
      <c r="ILT153" s="22"/>
      <c r="ILU153" s="22"/>
      <c r="ILV153" s="22"/>
      <c r="ILW153" s="22"/>
      <c r="ILX153" s="22"/>
      <c r="ILY153" s="22"/>
      <c r="ILZ153" s="22"/>
      <c r="IMA153" s="22"/>
      <c r="IMB153" s="22"/>
      <c r="IMC153" s="22"/>
      <c r="IMD153" s="22"/>
      <c r="IME153" s="22"/>
      <c r="IMF153" s="22"/>
      <c r="IMG153" s="22"/>
      <c r="IMH153" s="22"/>
      <c r="IMI153" s="22"/>
      <c r="IMJ153" s="22"/>
      <c r="IMK153" s="22"/>
      <c r="IML153" s="22"/>
      <c r="IMM153" s="22"/>
      <c r="IMN153" s="22"/>
      <c r="IMO153" s="22"/>
      <c r="IMP153" s="22"/>
      <c r="IMQ153" s="22"/>
      <c r="IMR153" s="22"/>
      <c r="IMS153" s="22"/>
      <c r="IMT153" s="22"/>
      <c r="IMU153" s="22"/>
      <c r="IMV153" s="22"/>
      <c r="IMW153" s="22"/>
      <c r="IMX153" s="22"/>
      <c r="IMY153" s="22"/>
      <c r="IMZ153" s="22"/>
      <c r="INA153" s="22"/>
      <c r="INB153" s="22"/>
      <c r="INC153" s="22"/>
      <c r="IND153" s="22"/>
      <c r="INE153" s="22"/>
      <c r="INF153" s="22"/>
      <c r="ING153" s="22"/>
      <c r="INH153" s="22"/>
      <c r="INI153" s="22"/>
      <c r="INJ153" s="22"/>
      <c r="INK153" s="22"/>
      <c r="INL153" s="22"/>
      <c r="INM153" s="22"/>
      <c r="INN153" s="22"/>
      <c r="INO153" s="22"/>
      <c r="INP153" s="22"/>
      <c r="INQ153" s="22"/>
      <c r="INR153" s="22"/>
      <c r="INS153" s="22"/>
      <c r="INT153" s="22"/>
      <c r="INU153" s="22"/>
      <c r="INV153" s="22"/>
      <c r="INW153" s="22"/>
      <c r="INX153" s="22"/>
      <c r="INY153" s="22"/>
      <c r="INZ153" s="22"/>
      <c r="IOA153" s="22"/>
      <c r="IOB153" s="22"/>
      <c r="IOC153" s="22"/>
      <c r="IOD153" s="22"/>
      <c r="IOE153" s="22"/>
      <c r="IOF153" s="22"/>
      <c r="IOG153" s="22"/>
      <c r="IOH153" s="22"/>
      <c r="IOI153" s="22"/>
      <c r="IOJ153" s="22"/>
      <c r="IOK153" s="22"/>
      <c r="IOL153" s="22"/>
      <c r="IOM153" s="22"/>
      <c r="ION153" s="22"/>
      <c r="IOO153" s="22"/>
      <c r="IOP153" s="22"/>
      <c r="IOQ153" s="22"/>
      <c r="IOR153" s="22"/>
      <c r="IOS153" s="22"/>
      <c r="IOT153" s="22"/>
      <c r="IOU153" s="22"/>
      <c r="IOV153" s="22"/>
      <c r="IOW153" s="22"/>
      <c r="IOX153" s="22"/>
      <c r="IOY153" s="22"/>
      <c r="IOZ153" s="22"/>
      <c r="IPA153" s="22"/>
      <c r="IPB153" s="22"/>
      <c r="IPC153" s="22"/>
      <c r="IPD153" s="22"/>
      <c r="IPE153" s="22"/>
      <c r="IPF153" s="22"/>
      <c r="IPG153" s="22"/>
      <c r="IPH153" s="22"/>
      <c r="IPI153" s="22"/>
      <c r="IPJ153" s="22"/>
      <c r="IPK153" s="22"/>
      <c r="IPL153" s="22"/>
      <c r="IPM153" s="22"/>
      <c r="IPN153" s="22"/>
      <c r="IPO153" s="22"/>
      <c r="IPP153" s="22"/>
      <c r="IPQ153" s="22"/>
      <c r="IPR153" s="22"/>
      <c r="IPS153" s="22"/>
      <c r="IPT153" s="22"/>
      <c r="IPU153" s="22"/>
      <c r="IPV153" s="22"/>
      <c r="IPW153" s="22"/>
      <c r="IPX153" s="22"/>
      <c r="IPY153" s="22"/>
      <c r="IPZ153" s="22"/>
      <c r="IQA153" s="22"/>
      <c r="IQB153" s="22"/>
      <c r="IQC153" s="22"/>
      <c r="IQD153" s="22"/>
      <c r="IQE153" s="22"/>
      <c r="IQF153" s="22"/>
      <c r="IQG153" s="22"/>
      <c r="IQH153" s="22"/>
      <c r="IQI153" s="22"/>
      <c r="IQJ153" s="22"/>
      <c r="IQK153" s="22"/>
      <c r="IQL153" s="22"/>
      <c r="IQM153" s="22"/>
      <c r="IQN153" s="22"/>
      <c r="IQO153" s="22"/>
      <c r="IQP153" s="22"/>
      <c r="IQQ153" s="22"/>
      <c r="IQR153" s="22"/>
      <c r="IQS153" s="22"/>
      <c r="IQT153" s="22"/>
      <c r="IQU153" s="22"/>
      <c r="IQV153" s="22"/>
      <c r="IQW153" s="22"/>
      <c r="IQX153" s="22"/>
      <c r="IQY153" s="22"/>
      <c r="IQZ153" s="22"/>
      <c r="IRA153" s="22"/>
      <c r="IRB153" s="22"/>
      <c r="IRC153" s="22"/>
      <c r="IRD153" s="22"/>
      <c r="IRE153" s="22"/>
      <c r="IRF153" s="22"/>
      <c r="IRG153" s="22"/>
      <c r="IRH153" s="22"/>
      <c r="IRI153" s="22"/>
      <c r="IRJ153" s="22"/>
      <c r="IRK153" s="22"/>
      <c r="IRL153" s="22"/>
      <c r="IRM153" s="22"/>
      <c r="IRN153" s="22"/>
      <c r="IRO153" s="22"/>
      <c r="IRP153" s="22"/>
      <c r="IRQ153" s="22"/>
      <c r="IRR153" s="22"/>
      <c r="IRS153" s="22"/>
      <c r="IRT153" s="22"/>
      <c r="IRU153" s="22"/>
      <c r="IRV153" s="22"/>
      <c r="IRW153" s="22"/>
      <c r="IRX153" s="22"/>
      <c r="IRY153" s="22"/>
      <c r="IRZ153" s="22"/>
      <c r="ISA153" s="22"/>
      <c r="ISB153" s="22"/>
      <c r="ISC153" s="22"/>
      <c r="ISD153" s="22"/>
      <c r="ISE153" s="22"/>
      <c r="ISF153" s="22"/>
      <c r="ISG153" s="22"/>
      <c r="ISH153" s="22"/>
      <c r="ISI153" s="22"/>
      <c r="ISJ153" s="22"/>
      <c r="ISK153" s="22"/>
      <c r="ISL153" s="22"/>
      <c r="ISM153" s="22"/>
      <c r="ISN153" s="22"/>
      <c r="ISO153" s="22"/>
      <c r="ISP153" s="22"/>
      <c r="ISQ153" s="22"/>
      <c r="ISR153" s="22"/>
      <c r="ISS153" s="22"/>
      <c r="IST153" s="22"/>
      <c r="ISU153" s="22"/>
      <c r="ISV153" s="22"/>
      <c r="ISW153" s="22"/>
      <c r="ISX153" s="22"/>
      <c r="ISY153" s="22"/>
      <c r="ISZ153" s="22"/>
      <c r="ITA153" s="22"/>
      <c r="ITB153" s="22"/>
      <c r="ITC153" s="22"/>
      <c r="ITD153" s="22"/>
      <c r="ITE153" s="22"/>
      <c r="ITF153" s="22"/>
      <c r="ITG153" s="22"/>
      <c r="ITH153" s="22"/>
      <c r="ITI153" s="22"/>
      <c r="ITJ153" s="22"/>
      <c r="ITK153" s="22"/>
      <c r="ITL153" s="22"/>
      <c r="ITM153" s="22"/>
      <c r="ITN153" s="22"/>
      <c r="ITO153" s="22"/>
      <c r="ITP153" s="22"/>
      <c r="ITQ153" s="22"/>
      <c r="ITR153" s="22"/>
      <c r="ITS153" s="22"/>
      <c r="ITT153" s="22"/>
      <c r="ITU153" s="22"/>
      <c r="ITV153" s="22"/>
      <c r="ITW153" s="22"/>
      <c r="ITX153" s="22"/>
      <c r="ITY153" s="22"/>
      <c r="ITZ153" s="22"/>
      <c r="IUA153" s="22"/>
      <c r="IUB153" s="22"/>
      <c r="IUC153" s="22"/>
      <c r="IUD153" s="22"/>
      <c r="IUE153" s="22"/>
      <c r="IUF153" s="22"/>
      <c r="IUG153" s="22"/>
      <c r="IUH153" s="22"/>
      <c r="IUI153" s="22"/>
      <c r="IUJ153" s="22"/>
      <c r="IUK153" s="22"/>
      <c r="IUL153" s="22"/>
      <c r="IUM153" s="22"/>
      <c r="IUN153" s="22"/>
      <c r="IUO153" s="22"/>
      <c r="IUP153" s="22"/>
      <c r="IUQ153" s="22"/>
      <c r="IUR153" s="22"/>
      <c r="IUS153" s="22"/>
      <c r="IUT153" s="22"/>
      <c r="IUU153" s="22"/>
      <c r="IUV153" s="22"/>
      <c r="IUW153" s="22"/>
      <c r="IUX153" s="22"/>
      <c r="IUY153" s="22"/>
      <c r="IUZ153" s="22"/>
      <c r="IVA153" s="22"/>
      <c r="IVB153" s="22"/>
      <c r="IVC153" s="22"/>
      <c r="IVD153" s="22"/>
      <c r="IVE153" s="22"/>
      <c r="IVF153" s="22"/>
      <c r="IVG153" s="22"/>
      <c r="IVH153" s="22"/>
      <c r="IVI153" s="22"/>
      <c r="IVJ153" s="22"/>
      <c r="IVK153" s="22"/>
      <c r="IVL153" s="22"/>
      <c r="IVM153" s="22"/>
      <c r="IVN153" s="22"/>
      <c r="IVO153" s="22"/>
      <c r="IVP153" s="22"/>
      <c r="IVQ153" s="22"/>
      <c r="IVR153" s="22"/>
      <c r="IVS153" s="22"/>
      <c r="IVT153" s="22"/>
      <c r="IVU153" s="22"/>
      <c r="IVV153" s="22"/>
      <c r="IVW153" s="22"/>
      <c r="IVX153" s="22"/>
      <c r="IVY153" s="22"/>
      <c r="IVZ153" s="22"/>
      <c r="IWA153" s="22"/>
      <c r="IWB153" s="22"/>
      <c r="IWC153" s="22"/>
      <c r="IWD153" s="22"/>
      <c r="IWE153" s="22"/>
      <c r="IWF153" s="22"/>
      <c r="IWG153" s="22"/>
      <c r="IWH153" s="22"/>
      <c r="IWI153" s="22"/>
      <c r="IWJ153" s="22"/>
      <c r="IWK153" s="22"/>
      <c r="IWL153" s="22"/>
      <c r="IWM153" s="22"/>
      <c r="IWN153" s="22"/>
      <c r="IWO153" s="22"/>
      <c r="IWP153" s="22"/>
      <c r="IWQ153" s="22"/>
      <c r="IWR153" s="22"/>
      <c r="IWS153" s="22"/>
      <c r="IWT153" s="22"/>
      <c r="IWU153" s="22"/>
      <c r="IWV153" s="22"/>
      <c r="IWW153" s="22"/>
      <c r="IWX153" s="22"/>
      <c r="IWY153" s="22"/>
      <c r="IWZ153" s="22"/>
      <c r="IXA153" s="22"/>
      <c r="IXB153" s="22"/>
      <c r="IXC153" s="22"/>
      <c r="IXD153" s="22"/>
      <c r="IXE153" s="22"/>
      <c r="IXF153" s="22"/>
      <c r="IXG153" s="22"/>
      <c r="IXH153" s="22"/>
      <c r="IXI153" s="22"/>
      <c r="IXJ153" s="22"/>
      <c r="IXK153" s="22"/>
      <c r="IXL153" s="22"/>
      <c r="IXM153" s="22"/>
      <c r="IXN153" s="22"/>
      <c r="IXO153" s="22"/>
      <c r="IXP153" s="22"/>
      <c r="IXQ153" s="22"/>
      <c r="IXR153" s="22"/>
      <c r="IXS153" s="22"/>
      <c r="IXT153" s="22"/>
      <c r="IXU153" s="22"/>
      <c r="IXV153" s="22"/>
      <c r="IXW153" s="22"/>
      <c r="IXX153" s="22"/>
      <c r="IXY153" s="22"/>
      <c r="IXZ153" s="22"/>
      <c r="IYA153" s="22"/>
      <c r="IYB153" s="22"/>
      <c r="IYC153" s="22"/>
      <c r="IYD153" s="22"/>
      <c r="IYE153" s="22"/>
      <c r="IYF153" s="22"/>
      <c r="IYG153" s="22"/>
      <c r="IYH153" s="22"/>
      <c r="IYI153" s="22"/>
      <c r="IYJ153" s="22"/>
      <c r="IYK153" s="22"/>
      <c r="IYL153" s="22"/>
      <c r="IYM153" s="22"/>
      <c r="IYN153" s="22"/>
      <c r="IYO153" s="22"/>
      <c r="IYP153" s="22"/>
      <c r="IYQ153" s="22"/>
      <c r="IYR153" s="22"/>
      <c r="IYS153" s="22"/>
      <c r="IYT153" s="22"/>
      <c r="IYU153" s="22"/>
      <c r="IYV153" s="22"/>
      <c r="IYW153" s="22"/>
      <c r="IYX153" s="22"/>
      <c r="IYY153" s="22"/>
      <c r="IYZ153" s="22"/>
      <c r="IZA153" s="22"/>
      <c r="IZB153" s="22"/>
      <c r="IZC153" s="22"/>
      <c r="IZD153" s="22"/>
      <c r="IZE153" s="22"/>
      <c r="IZF153" s="22"/>
      <c r="IZG153" s="22"/>
      <c r="IZH153" s="22"/>
      <c r="IZI153" s="22"/>
      <c r="IZJ153" s="22"/>
      <c r="IZK153" s="22"/>
      <c r="IZL153" s="22"/>
      <c r="IZM153" s="22"/>
      <c r="IZN153" s="22"/>
      <c r="IZO153" s="22"/>
      <c r="IZP153" s="22"/>
      <c r="IZQ153" s="22"/>
      <c r="IZR153" s="22"/>
      <c r="IZS153" s="22"/>
      <c r="IZT153" s="22"/>
      <c r="IZU153" s="22"/>
      <c r="IZV153" s="22"/>
      <c r="IZW153" s="22"/>
      <c r="IZX153" s="22"/>
      <c r="IZY153" s="22"/>
      <c r="IZZ153" s="22"/>
      <c r="JAA153" s="22"/>
      <c r="JAB153" s="22"/>
      <c r="JAC153" s="22"/>
      <c r="JAD153" s="22"/>
      <c r="JAE153" s="22"/>
      <c r="JAF153" s="22"/>
      <c r="JAG153" s="22"/>
      <c r="JAH153" s="22"/>
      <c r="JAI153" s="22"/>
      <c r="JAJ153" s="22"/>
      <c r="JAK153" s="22"/>
      <c r="JAL153" s="22"/>
      <c r="JAM153" s="22"/>
      <c r="JAN153" s="22"/>
      <c r="JAO153" s="22"/>
      <c r="JAP153" s="22"/>
      <c r="JAQ153" s="22"/>
      <c r="JAR153" s="22"/>
      <c r="JAS153" s="22"/>
      <c r="JAT153" s="22"/>
      <c r="JAU153" s="22"/>
      <c r="JAV153" s="22"/>
      <c r="JAW153" s="22"/>
      <c r="JAX153" s="22"/>
      <c r="JAY153" s="22"/>
      <c r="JAZ153" s="22"/>
      <c r="JBA153" s="22"/>
      <c r="JBB153" s="22"/>
      <c r="JBC153" s="22"/>
      <c r="JBD153" s="22"/>
      <c r="JBE153" s="22"/>
      <c r="JBF153" s="22"/>
      <c r="JBG153" s="22"/>
      <c r="JBH153" s="22"/>
      <c r="JBI153" s="22"/>
      <c r="JBJ153" s="22"/>
      <c r="JBK153" s="22"/>
      <c r="JBL153" s="22"/>
      <c r="JBM153" s="22"/>
      <c r="JBN153" s="22"/>
      <c r="JBO153" s="22"/>
      <c r="JBP153" s="22"/>
      <c r="JBQ153" s="22"/>
      <c r="JBR153" s="22"/>
      <c r="JBS153" s="22"/>
      <c r="JBT153" s="22"/>
      <c r="JBU153" s="22"/>
      <c r="JBV153" s="22"/>
      <c r="JBW153" s="22"/>
      <c r="JBX153" s="22"/>
      <c r="JBY153" s="22"/>
      <c r="JBZ153" s="22"/>
      <c r="JCA153" s="22"/>
      <c r="JCB153" s="22"/>
      <c r="JCC153" s="22"/>
      <c r="JCD153" s="22"/>
      <c r="JCE153" s="22"/>
      <c r="JCF153" s="22"/>
      <c r="JCG153" s="22"/>
      <c r="JCH153" s="22"/>
      <c r="JCI153" s="22"/>
      <c r="JCJ153" s="22"/>
      <c r="JCK153" s="22"/>
      <c r="JCL153" s="22"/>
      <c r="JCM153" s="22"/>
      <c r="JCN153" s="22"/>
      <c r="JCO153" s="22"/>
      <c r="JCP153" s="22"/>
      <c r="JCQ153" s="22"/>
      <c r="JCR153" s="22"/>
      <c r="JCS153" s="22"/>
      <c r="JCT153" s="22"/>
      <c r="JCU153" s="22"/>
      <c r="JCV153" s="22"/>
      <c r="JCW153" s="22"/>
      <c r="JCX153" s="22"/>
      <c r="JCY153" s="22"/>
      <c r="JCZ153" s="22"/>
      <c r="JDA153" s="22"/>
      <c r="JDB153" s="22"/>
      <c r="JDC153" s="22"/>
      <c r="JDD153" s="22"/>
      <c r="JDE153" s="22"/>
      <c r="JDF153" s="22"/>
      <c r="JDG153" s="22"/>
      <c r="JDH153" s="22"/>
      <c r="JDI153" s="22"/>
      <c r="JDJ153" s="22"/>
      <c r="JDK153" s="22"/>
      <c r="JDL153" s="22"/>
      <c r="JDM153" s="22"/>
      <c r="JDN153" s="22"/>
      <c r="JDO153" s="22"/>
      <c r="JDP153" s="22"/>
      <c r="JDQ153" s="22"/>
      <c r="JDR153" s="22"/>
      <c r="JDS153" s="22"/>
      <c r="JDT153" s="22"/>
      <c r="JDU153" s="22"/>
      <c r="JDV153" s="22"/>
      <c r="JDW153" s="22"/>
      <c r="JDX153" s="22"/>
      <c r="JDY153" s="22"/>
      <c r="JDZ153" s="22"/>
      <c r="JEA153" s="22"/>
      <c r="JEB153" s="22"/>
      <c r="JEC153" s="22"/>
      <c r="JED153" s="22"/>
      <c r="JEE153" s="22"/>
      <c r="JEF153" s="22"/>
      <c r="JEG153" s="22"/>
      <c r="JEH153" s="22"/>
      <c r="JEI153" s="22"/>
      <c r="JEJ153" s="22"/>
      <c r="JEK153" s="22"/>
      <c r="JEL153" s="22"/>
      <c r="JEM153" s="22"/>
      <c r="JEN153" s="22"/>
      <c r="JEO153" s="22"/>
      <c r="JEP153" s="22"/>
      <c r="JEQ153" s="22"/>
      <c r="JER153" s="22"/>
      <c r="JES153" s="22"/>
      <c r="JET153" s="22"/>
      <c r="JEU153" s="22"/>
      <c r="JEV153" s="22"/>
      <c r="JEW153" s="22"/>
      <c r="JEX153" s="22"/>
      <c r="JEY153" s="22"/>
      <c r="JEZ153" s="22"/>
      <c r="JFA153" s="22"/>
      <c r="JFB153" s="22"/>
      <c r="JFC153" s="22"/>
      <c r="JFD153" s="22"/>
      <c r="JFE153" s="22"/>
      <c r="JFF153" s="22"/>
      <c r="JFG153" s="22"/>
      <c r="JFH153" s="22"/>
      <c r="JFI153" s="22"/>
      <c r="JFJ153" s="22"/>
      <c r="JFK153" s="22"/>
      <c r="JFL153" s="22"/>
      <c r="JFM153" s="22"/>
      <c r="JFN153" s="22"/>
      <c r="JFO153" s="22"/>
      <c r="JFP153" s="22"/>
      <c r="JFQ153" s="22"/>
      <c r="JFR153" s="22"/>
      <c r="JFS153" s="22"/>
      <c r="JFT153" s="22"/>
      <c r="JFU153" s="22"/>
      <c r="JFV153" s="22"/>
      <c r="JFW153" s="22"/>
      <c r="JFX153" s="22"/>
      <c r="JFY153" s="22"/>
      <c r="JFZ153" s="22"/>
      <c r="JGA153" s="22"/>
      <c r="JGB153" s="22"/>
      <c r="JGC153" s="22"/>
      <c r="JGD153" s="22"/>
      <c r="JGE153" s="22"/>
      <c r="JGF153" s="22"/>
      <c r="JGG153" s="22"/>
      <c r="JGH153" s="22"/>
      <c r="JGI153" s="22"/>
      <c r="JGJ153" s="22"/>
      <c r="JGK153" s="22"/>
      <c r="JGL153" s="22"/>
      <c r="JGM153" s="22"/>
      <c r="JGN153" s="22"/>
      <c r="JGO153" s="22"/>
      <c r="JGP153" s="22"/>
      <c r="JGQ153" s="22"/>
      <c r="JGR153" s="22"/>
      <c r="JGS153" s="22"/>
      <c r="JGT153" s="22"/>
      <c r="JGU153" s="22"/>
      <c r="JGV153" s="22"/>
      <c r="JGW153" s="22"/>
      <c r="JGX153" s="22"/>
      <c r="JGY153" s="22"/>
      <c r="JGZ153" s="22"/>
      <c r="JHA153" s="22"/>
      <c r="JHB153" s="22"/>
      <c r="JHC153" s="22"/>
      <c r="JHD153" s="22"/>
      <c r="JHE153" s="22"/>
      <c r="JHF153" s="22"/>
      <c r="JHG153" s="22"/>
      <c r="JHH153" s="22"/>
      <c r="JHI153" s="22"/>
      <c r="JHJ153" s="22"/>
      <c r="JHK153" s="22"/>
      <c r="JHL153" s="22"/>
      <c r="JHM153" s="22"/>
      <c r="JHN153" s="22"/>
      <c r="JHO153" s="22"/>
      <c r="JHP153" s="22"/>
      <c r="JHQ153" s="22"/>
      <c r="JHR153" s="22"/>
      <c r="JHS153" s="22"/>
      <c r="JHT153" s="22"/>
      <c r="JHU153" s="22"/>
      <c r="JHV153" s="22"/>
      <c r="JHW153" s="22"/>
      <c r="JHX153" s="22"/>
      <c r="JHY153" s="22"/>
      <c r="JHZ153" s="22"/>
      <c r="JIA153" s="22"/>
      <c r="JIB153" s="22"/>
      <c r="JIC153" s="22"/>
      <c r="JID153" s="22"/>
      <c r="JIE153" s="22"/>
      <c r="JIF153" s="22"/>
      <c r="JIG153" s="22"/>
      <c r="JIH153" s="22"/>
      <c r="JII153" s="22"/>
      <c r="JIJ153" s="22"/>
      <c r="JIK153" s="22"/>
      <c r="JIL153" s="22"/>
      <c r="JIM153" s="22"/>
      <c r="JIN153" s="22"/>
      <c r="JIO153" s="22"/>
      <c r="JIP153" s="22"/>
      <c r="JIQ153" s="22"/>
      <c r="JIR153" s="22"/>
      <c r="JIS153" s="22"/>
      <c r="JIT153" s="22"/>
      <c r="JIU153" s="22"/>
      <c r="JIV153" s="22"/>
      <c r="JIW153" s="22"/>
      <c r="JIX153" s="22"/>
      <c r="JIY153" s="22"/>
      <c r="JIZ153" s="22"/>
      <c r="JJA153" s="22"/>
      <c r="JJB153" s="22"/>
      <c r="JJC153" s="22"/>
      <c r="JJD153" s="22"/>
      <c r="JJE153" s="22"/>
      <c r="JJF153" s="22"/>
      <c r="JJG153" s="22"/>
      <c r="JJH153" s="22"/>
      <c r="JJI153" s="22"/>
      <c r="JJJ153" s="22"/>
      <c r="JJK153" s="22"/>
      <c r="JJL153" s="22"/>
      <c r="JJM153" s="22"/>
      <c r="JJN153" s="22"/>
      <c r="JJO153" s="22"/>
      <c r="JJP153" s="22"/>
      <c r="JJQ153" s="22"/>
      <c r="JJR153" s="22"/>
      <c r="JJS153" s="22"/>
      <c r="JJT153" s="22"/>
      <c r="JJU153" s="22"/>
      <c r="JJV153" s="22"/>
      <c r="JJW153" s="22"/>
      <c r="JJX153" s="22"/>
      <c r="JJY153" s="22"/>
      <c r="JJZ153" s="22"/>
      <c r="JKA153" s="22"/>
      <c r="JKB153" s="22"/>
      <c r="JKC153" s="22"/>
      <c r="JKD153" s="22"/>
      <c r="JKE153" s="22"/>
      <c r="JKF153" s="22"/>
      <c r="JKG153" s="22"/>
      <c r="JKH153" s="22"/>
      <c r="JKI153" s="22"/>
      <c r="JKJ153" s="22"/>
      <c r="JKK153" s="22"/>
      <c r="JKL153" s="22"/>
      <c r="JKM153" s="22"/>
      <c r="JKN153" s="22"/>
      <c r="JKO153" s="22"/>
      <c r="JKP153" s="22"/>
      <c r="JKQ153" s="22"/>
      <c r="JKR153" s="22"/>
      <c r="JKS153" s="22"/>
      <c r="JKT153" s="22"/>
      <c r="JKU153" s="22"/>
      <c r="JKV153" s="22"/>
      <c r="JKW153" s="22"/>
      <c r="JKX153" s="22"/>
      <c r="JKY153" s="22"/>
      <c r="JKZ153" s="22"/>
      <c r="JLA153" s="22"/>
      <c r="JLB153" s="22"/>
      <c r="JLC153" s="22"/>
      <c r="JLD153" s="22"/>
      <c r="JLE153" s="22"/>
      <c r="JLF153" s="22"/>
      <c r="JLG153" s="22"/>
      <c r="JLH153" s="22"/>
      <c r="JLI153" s="22"/>
      <c r="JLJ153" s="22"/>
      <c r="JLK153" s="22"/>
      <c r="JLL153" s="22"/>
      <c r="JLM153" s="22"/>
      <c r="JLN153" s="22"/>
      <c r="JLO153" s="22"/>
      <c r="JLP153" s="22"/>
      <c r="JLQ153" s="22"/>
      <c r="JLR153" s="22"/>
      <c r="JLS153" s="22"/>
      <c r="JLT153" s="22"/>
      <c r="JLU153" s="22"/>
      <c r="JLV153" s="22"/>
      <c r="JLW153" s="22"/>
      <c r="JLX153" s="22"/>
      <c r="JLY153" s="22"/>
      <c r="JLZ153" s="22"/>
      <c r="JMA153" s="22"/>
      <c r="JMB153" s="22"/>
      <c r="JMC153" s="22"/>
      <c r="JMD153" s="22"/>
      <c r="JME153" s="22"/>
      <c r="JMF153" s="22"/>
      <c r="JMG153" s="22"/>
      <c r="JMH153" s="22"/>
      <c r="JMI153" s="22"/>
      <c r="JMJ153" s="22"/>
      <c r="JMK153" s="22"/>
      <c r="JML153" s="22"/>
      <c r="JMM153" s="22"/>
      <c r="JMN153" s="22"/>
      <c r="JMO153" s="22"/>
      <c r="JMP153" s="22"/>
      <c r="JMQ153" s="22"/>
      <c r="JMR153" s="22"/>
      <c r="JMS153" s="22"/>
      <c r="JMT153" s="22"/>
      <c r="JMU153" s="22"/>
      <c r="JMV153" s="22"/>
      <c r="JMW153" s="22"/>
      <c r="JMX153" s="22"/>
      <c r="JMY153" s="22"/>
      <c r="JMZ153" s="22"/>
      <c r="JNA153" s="22"/>
      <c r="JNB153" s="22"/>
      <c r="JNC153" s="22"/>
      <c r="JND153" s="22"/>
      <c r="JNE153" s="22"/>
      <c r="JNF153" s="22"/>
      <c r="JNG153" s="22"/>
      <c r="JNH153" s="22"/>
      <c r="JNI153" s="22"/>
      <c r="JNJ153" s="22"/>
      <c r="JNK153" s="22"/>
      <c r="JNL153" s="22"/>
      <c r="JNM153" s="22"/>
      <c r="JNN153" s="22"/>
      <c r="JNO153" s="22"/>
      <c r="JNP153" s="22"/>
      <c r="JNQ153" s="22"/>
      <c r="JNR153" s="22"/>
      <c r="JNS153" s="22"/>
      <c r="JNT153" s="22"/>
      <c r="JNU153" s="22"/>
      <c r="JNV153" s="22"/>
      <c r="JNW153" s="22"/>
      <c r="JNX153" s="22"/>
      <c r="JNY153" s="22"/>
      <c r="JNZ153" s="22"/>
      <c r="JOA153" s="22"/>
      <c r="JOB153" s="22"/>
      <c r="JOC153" s="22"/>
      <c r="JOD153" s="22"/>
      <c r="JOE153" s="22"/>
      <c r="JOF153" s="22"/>
      <c r="JOG153" s="22"/>
      <c r="JOH153" s="22"/>
      <c r="JOI153" s="22"/>
      <c r="JOJ153" s="22"/>
      <c r="JOK153" s="22"/>
      <c r="JOL153" s="22"/>
      <c r="JOM153" s="22"/>
      <c r="JON153" s="22"/>
      <c r="JOO153" s="22"/>
      <c r="JOP153" s="22"/>
      <c r="JOQ153" s="22"/>
      <c r="JOR153" s="22"/>
      <c r="JOS153" s="22"/>
      <c r="JOT153" s="22"/>
      <c r="JOU153" s="22"/>
      <c r="JOV153" s="22"/>
      <c r="JOW153" s="22"/>
      <c r="JOX153" s="22"/>
      <c r="JOY153" s="22"/>
      <c r="JOZ153" s="22"/>
      <c r="JPA153" s="22"/>
      <c r="JPB153" s="22"/>
      <c r="JPC153" s="22"/>
      <c r="JPD153" s="22"/>
      <c r="JPE153" s="22"/>
      <c r="JPF153" s="22"/>
      <c r="JPG153" s="22"/>
      <c r="JPH153" s="22"/>
      <c r="JPI153" s="22"/>
      <c r="JPJ153" s="22"/>
      <c r="JPK153" s="22"/>
      <c r="JPL153" s="22"/>
      <c r="JPM153" s="22"/>
      <c r="JPN153" s="22"/>
      <c r="JPO153" s="22"/>
      <c r="JPP153" s="22"/>
      <c r="JPQ153" s="22"/>
      <c r="JPR153" s="22"/>
      <c r="JPS153" s="22"/>
      <c r="JPT153" s="22"/>
      <c r="JPU153" s="22"/>
      <c r="JPV153" s="22"/>
      <c r="JPW153" s="22"/>
      <c r="JPX153" s="22"/>
      <c r="JPY153" s="22"/>
      <c r="JPZ153" s="22"/>
      <c r="JQA153" s="22"/>
      <c r="JQB153" s="22"/>
      <c r="JQC153" s="22"/>
      <c r="JQD153" s="22"/>
      <c r="JQE153" s="22"/>
      <c r="JQF153" s="22"/>
      <c r="JQG153" s="22"/>
      <c r="JQH153" s="22"/>
      <c r="JQI153" s="22"/>
      <c r="JQJ153" s="22"/>
      <c r="JQK153" s="22"/>
      <c r="JQL153" s="22"/>
      <c r="JQM153" s="22"/>
      <c r="JQN153" s="22"/>
      <c r="JQO153" s="22"/>
      <c r="JQP153" s="22"/>
      <c r="JQQ153" s="22"/>
      <c r="JQR153" s="22"/>
      <c r="JQS153" s="22"/>
      <c r="JQT153" s="22"/>
      <c r="JQU153" s="22"/>
      <c r="JQV153" s="22"/>
      <c r="JQW153" s="22"/>
      <c r="JQX153" s="22"/>
      <c r="JQY153" s="22"/>
      <c r="JQZ153" s="22"/>
      <c r="JRA153" s="22"/>
      <c r="JRB153" s="22"/>
      <c r="JRC153" s="22"/>
      <c r="JRD153" s="22"/>
      <c r="JRE153" s="22"/>
      <c r="JRF153" s="22"/>
      <c r="JRG153" s="22"/>
      <c r="JRH153" s="22"/>
      <c r="JRI153" s="22"/>
      <c r="JRJ153" s="22"/>
      <c r="JRK153" s="22"/>
      <c r="JRL153" s="22"/>
      <c r="JRM153" s="22"/>
      <c r="JRN153" s="22"/>
      <c r="JRO153" s="22"/>
      <c r="JRP153" s="22"/>
      <c r="JRQ153" s="22"/>
      <c r="JRR153" s="22"/>
      <c r="JRS153" s="22"/>
      <c r="JRT153" s="22"/>
      <c r="JRU153" s="22"/>
      <c r="JRV153" s="22"/>
      <c r="JRW153" s="22"/>
      <c r="JRX153" s="22"/>
      <c r="JRY153" s="22"/>
      <c r="JRZ153" s="22"/>
      <c r="JSA153" s="22"/>
      <c r="JSB153" s="22"/>
      <c r="JSC153" s="22"/>
      <c r="JSD153" s="22"/>
      <c r="JSE153" s="22"/>
      <c r="JSF153" s="22"/>
      <c r="JSG153" s="22"/>
      <c r="JSH153" s="22"/>
      <c r="JSI153" s="22"/>
      <c r="JSJ153" s="22"/>
      <c r="JSK153" s="22"/>
      <c r="JSL153" s="22"/>
      <c r="JSM153" s="22"/>
      <c r="JSN153" s="22"/>
      <c r="JSO153" s="22"/>
      <c r="JSP153" s="22"/>
      <c r="JSQ153" s="22"/>
      <c r="JSR153" s="22"/>
      <c r="JSS153" s="22"/>
      <c r="JST153" s="22"/>
      <c r="JSU153" s="22"/>
      <c r="JSV153" s="22"/>
      <c r="JSW153" s="22"/>
      <c r="JSX153" s="22"/>
      <c r="JSY153" s="22"/>
      <c r="JSZ153" s="22"/>
      <c r="JTA153" s="22"/>
      <c r="JTB153" s="22"/>
      <c r="JTC153" s="22"/>
      <c r="JTD153" s="22"/>
      <c r="JTE153" s="22"/>
      <c r="JTF153" s="22"/>
      <c r="JTG153" s="22"/>
      <c r="JTH153" s="22"/>
      <c r="JTI153" s="22"/>
      <c r="JTJ153" s="22"/>
      <c r="JTK153" s="22"/>
      <c r="JTL153" s="22"/>
      <c r="JTM153" s="22"/>
      <c r="JTN153" s="22"/>
      <c r="JTO153" s="22"/>
      <c r="JTP153" s="22"/>
      <c r="JTQ153" s="22"/>
      <c r="JTR153" s="22"/>
      <c r="JTS153" s="22"/>
      <c r="JTT153" s="22"/>
      <c r="JTU153" s="22"/>
      <c r="JTV153" s="22"/>
      <c r="JTW153" s="22"/>
      <c r="JTX153" s="22"/>
      <c r="JTY153" s="22"/>
      <c r="JTZ153" s="22"/>
      <c r="JUA153" s="22"/>
      <c r="JUB153" s="22"/>
      <c r="JUC153" s="22"/>
      <c r="JUD153" s="22"/>
      <c r="JUE153" s="22"/>
      <c r="JUF153" s="22"/>
      <c r="JUG153" s="22"/>
      <c r="JUH153" s="22"/>
      <c r="JUI153" s="22"/>
      <c r="JUJ153" s="22"/>
      <c r="JUK153" s="22"/>
      <c r="JUL153" s="22"/>
      <c r="JUM153" s="22"/>
      <c r="JUN153" s="22"/>
      <c r="JUO153" s="22"/>
      <c r="JUP153" s="22"/>
      <c r="JUQ153" s="22"/>
      <c r="JUR153" s="22"/>
      <c r="JUS153" s="22"/>
      <c r="JUT153" s="22"/>
      <c r="JUU153" s="22"/>
      <c r="JUV153" s="22"/>
      <c r="JUW153" s="22"/>
      <c r="JUX153" s="22"/>
      <c r="JUY153" s="22"/>
      <c r="JUZ153" s="22"/>
      <c r="JVA153" s="22"/>
      <c r="JVB153" s="22"/>
      <c r="JVC153" s="22"/>
      <c r="JVD153" s="22"/>
      <c r="JVE153" s="22"/>
      <c r="JVF153" s="22"/>
      <c r="JVG153" s="22"/>
      <c r="JVH153" s="22"/>
      <c r="JVI153" s="22"/>
      <c r="JVJ153" s="22"/>
      <c r="JVK153" s="22"/>
      <c r="JVL153" s="22"/>
      <c r="JVM153" s="22"/>
      <c r="JVN153" s="22"/>
      <c r="JVO153" s="22"/>
      <c r="JVP153" s="22"/>
      <c r="JVQ153" s="22"/>
      <c r="JVR153" s="22"/>
      <c r="JVS153" s="22"/>
      <c r="JVT153" s="22"/>
      <c r="JVU153" s="22"/>
      <c r="JVV153" s="22"/>
      <c r="JVW153" s="22"/>
      <c r="JVX153" s="22"/>
      <c r="JVY153" s="22"/>
      <c r="JVZ153" s="22"/>
      <c r="JWA153" s="22"/>
      <c r="JWB153" s="22"/>
      <c r="JWC153" s="22"/>
      <c r="JWD153" s="22"/>
      <c r="JWE153" s="22"/>
      <c r="JWF153" s="22"/>
      <c r="JWG153" s="22"/>
      <c r="JWH153" s="22"/>
      <c r="JWI153" s="22"/>
      <c r="JWJ153" s="22"/>
      <c r="JWK153" s="22"/>
      <c r="JWL153" s="22"/>
      <c r="JWM153" s="22"/>
      <c r="JWN153" s="22"/>
      <c r="JWO153" s="22"/>
      <c r="JWP153" s="22"/>
      <c r="JWQ153" s="22"/>
      <c r="JWR153" s="22"/>
      <c r="JWS153" s="22"/>
      <c r="JWT153" s="22"/>
      <c r="JWU153" s="22"/>
      <c r="JWV153" s="22"/>
      <c r="JWW153" s="22"/>
      <c r="JWX153" s="22"/>
      <c r="JWY153" s="22"/>
      <c r="JWZ153" s="22"/>
      <c r="JXA153" s="22"/>
      <c r="JXB153" s="22"/>
      <c r="JXC153" s="22"/>
      <c r="JXD153" s="22"/>
      <c r="JXE153" s="22"/>
      <c r="JXF153" s="22"/>
      <c r="JXG153" s="22"/>
      <c r="JXH153" s="22"/>
      <c r="JXI153" s="22"/>
      <c r="JXJ153" s="22"/>
      <c r="JXK153" s="22"/>
      <c r="JXL153" s="22"/>
      <c r="JXM153" s="22"/>
      <c r="JXN153" s="22"/>
      <c r="JXO153" s="22"/>
      <c r="JXP153" s="22"/>
      <c r="JXQ153" s="22"/>
      <c r="JXR153" s="22"/>
      <c r="JXS153" s="22"/>
      <c r="JXT153" s="22"/>
      <c r="JXU153" s="22"/>
      <c r="JXV153" s="22"/>
      <c r="JXW153" s="22"/>
      <c r="JXX153" s="22"/>
      <c r="JXY153" s="22"/>
      <c r="JXZ153" s="22"/>
      <c r="JYA153" s="22"/>
      <c r="JYB153" s="22"/>
      <c r="JYC153" s="22"/>
      <c r="JYD153" s="22"/>
      <c r="JYE153" s="22"/>
      <c r="JYF153" s="22"/>
      <c r="JYG153" s="22"/>
      <c r="JYH153" s="22"/>
      <c r="JYI153" s="22"/>
      <c r="JYJ153" s="22"/>
      <c r="JYK153" s="22"/>
      <c r="JYL153" s="22"/>
      <c r="JYM153" s="22"/>
      <c r="JYN153" s="22"/>
      <c r="JYO153" s="22"/>
      <c r="JYP153" s="22"/>
      <c r="JYQ153" s="22"/>
      <c r="JYR153" s="22"/>
      <c r="JYS153" s="22"/>
      <c r="JYT153" s="22"/>
      <c r="JYU153" s="22"/>
      <c r="JYV153" s="22"/>
      <c r="JYW153" s="22"/>
      <c r="JYX153" s="22"/>
      <c r="JYY153" s="22"/>
      <c r="JYZ153" s="22"/>
      <c r="JZA153" s="22"/>
      <c r="JZB153" s="22"/>
      <c r="JZC153" s="22"/>
      <c r="JZD153" s="22"/>
      <c r="JZE153" s="22"/>
      <c r="JZF153" s="22"/>
      <c r="JZG153" s="22"/>
      <c r="JZH153" s="22"/>
      <c r="JZI153" s="22"/>
      <c r="JZJ153" s="22"/>
      <c r="JZK153" s="22"/>
      <c r="JZL153" s="22"/>
      <c r="JZM153" s="22"/>
      <c r="JZN153" s="22"/>
      <c r="JZO153" s="22"/>
      <c r="JZP153" s="22"/>
      <c r="JZQ153" s="22"/>
      <c r="JZR153" s="22"/>
      <c r="JZS153" s="22"/>
      <c r="JZT153" s="22"/>
      <c r="JZU153" s="22"/>
      <c r="JZV153" s="22"/>
      <c r="JZW153" s="22"/>
      <c r="JZX153" s="22"/>
      <c r="JZY153" s="22"/>
      <c r="JZZ153" s="22"/>
      <c r="KAA153" s="22"/>
      <c r="KAB153" s="22"/>
      <c r="KAC153" s="22"/>
      <c r="KAD153" s="22"/>
      <c r="KAE153" s="22"/>
      <c r="KAF153" s="22"/>
      <c r="KAG153" s="22"/>
      <c r="KAH153" s="22"/>
      <c r="KAI153" s="22"/>
      <c r="KAJ153" s="22"/>
      <c r="KAK153" s="22"/>
      <c r="KAL153" s="22"/>
      <c r="KAM153" s="22"/>
      <c r="KAN153" s="22"/>
      <c r="KAO153" s="22"/>
      <c r="KAP153" s="22"/>
      <c r="KAQ153" s="22"/>
      <c r="KAR153" s="22"/>
      <c r="KAS153" s="22"/>
      <c r="KAT153" s="22"/>
      <c r="KAU153" s="22"/>
      <c r="KAV153" s="22"/>
      <c r="KAW153" s="22"/>
      <c r="KAX153" s="22"/>
      <c r="KAY153" s="22"/>
      <c r="KAZ153" s="22"/>
      <c r="KBA153" s="22"/>
      <c r="KBB153" s="22"/>
      <c r="KBC153" s="22"/>
      <c r="KBD153" s="22"/>
      <c r="KBE153" s="22"/>
      <c r="KBF153" s="22"/>
      <c r="KBG153" s="22"/>
      <c r="KBH153" s="22"/>
      <c r="KBI153" s="22"/>
      <c r="KBJ153" s="22"/>
      <c r="KBK153" s="22"/>
      <c r="KBL153" s="22"/>
      <c r="KBM153" s="22"/>
      <c r="KBN153" s="22"/>
      <c r="KBO153" s="22"/>
      <c r="KBP153" s="22"/>
      <c r="KBQ153" s="22"/>
      <c r="KBR153" s="22"/>
      <c r="KBS153" s="22"/>
      <c r="KBT153" s="22"/>
      <c r="KBU153" s="22"/>
      <c r="KBV153" s="22"/>
      <c r="KBW153" s="22"/>
      <c r="KBX153" s="22"/>
      <c r="KBY153" s="22"/>
      <c r="KBZ153" s="22"/>
      <c r="KCA153" s="22"/>
      <c r="KCB153" s="22"/>
      <c r="KCC153" s="22"/>
      <c r="KCD153" s="22"/>
      <c r="KCE153" s="22"/>
      <c r="KCF153" s="22"/>
      <c r="KCG153" s="22"/>
      <c r="KCH153" s="22"/>
      <c r="KCI153" s="22"/>
      <c r="KCJ153" s="22"/>
      <c r="KCK153" s="22"/>
      <c r="KCL153" s="22"/>
      <c r="KCM153" s="22"/>
      <c r="KCN153" s="22"/>
      <c r="KCO153" s="22"/>
      <c r="KCP153" s="22"/>
      <c r="KCQ153" s="22"/>
      <c r="KCR153" s="22"/>
      <c r="KCS153" s="22"/>
      <c r="KCT153" s="22"/>
      <c r="KCU153" s="22"/>
      <c r="KCV153" s="22"/>
      <c r="KCW153" s="22"/>
      <c r="KCX153" s="22"/>
      <c r="KCY153" s="22"/>
      <c r="KCZ153" s="22"/>
      <c r="KDA153" s="22"/>
      <c r="KDB153" s="22"/>
      <c r="KDC153" s="22"/>
      <c r="KDD153" s="22"/>
      <c r="KDE153" s="22"/>
      <c r="KDF153" s="22"/>
      <c r="KDG153" s="22"/>
      <c r="KDH153" s="22"/>
      <c r="KDI153" s="22"/>
      <c r="KDJ153" s="22"/>
      <c r="KDK153" s="22"/>
      <c r="KDL153" s="22"/>
      <c r="KDM153" s="22"/>
      <c r="KDN153" s="22"/>
      <c r="KDO153" s="22"/>
      <c r="KDP153" s="22"/>
      <c r="KDQ153" s="22"/>
      <c r="KDR153" s="22"/>
      <c r="KDS153" s="22"/>
      <c r="KDT153" s="22"/>
      <c r="KDU153" s="22"/>
      <c r="KDV153" s="22"/>
      <c r="KDW153" s="22"/>
      <c r="KDX153" s="22"/>
      <c r="KDY153" s="22"/>
      <c r="KDZ153" s="22"/>
      <c r="KEA153" s="22"/>
      <c r="KEB153" s="22"/>
      <c r="KEC153" s="22"/>
      <c r="KED153" s="22"/>
      <c r="KEE153" s="22"/>
      <c r="KEF153" s="22"/>
      <c r="KEG153" s="22"/>
      <c r="KEH153" s="22"/>
      <c r="KEI153" s="22"/>
      <c r="KEJ153" s="22"/>
      <c r="KEK153" s="22"/>
      <c r="KEL153" s="22"/>
      <c r="KEM153" s="22"/>
      <c r="KEN153" s="22"/>
      <c r="KEO153" s="22"/>
      <c r="KEP153" s="22"/>
      <c r="KEQ153" s="22"/>
      <c r="KER153" s="22"/>
      <c r="KES153" s="22"/>
      <c r="KET153" s="22"/>
      <c r="KEU153" s="22"/>
      <c r="KEV153" s="22"/>
      <c r="KEW153" s="22"/>
      <c r="KEX153" s="22"/>
      <c r="KEY153" s="22"/>
      <c r="KEZ153" s="22"/>
      <c r="KFA153" s="22"/>
      <c r="KFB153" s="22"/>
      <c r="KFC153" s="22"/>
      <c r="KFD153" s="22"/>
      <c r="KFE153" s="22"/>
      <c r="KFF153" s="22"/>
      <c r="KFG153" s="22"/>
      <c r="KFH153" s="22"/>
      <c r="KFI153" s="22"/>
      <c r="KFJ153" s="22"/>
      <c r="KFK153" s="22"/>
      <c r="KFL153" s="22"/>
      <c r="KFM153" s="22"/>
      <c r="KFN153" s="22"/>
      <c r="KFO153" s="22"/>
      <c r="KFP153" s="22"/>
      <c r="KFQ153" s="22"/>
      <c r="KFR153" s="22"/>
      <c r="KFS153" s="22"/>
      <c r="KFT153" s="22"/>
      <c r="KFU153" s="22"/>
      <c r="KFV153" s="22"/>
      <c r="KFW153" s="22"/>
      <c r="KFX153" s="22"/>
      <c r="KFY153" s="22"/>
      <c r="KFZ153" s="22"/>
      <c r="KGA153" s="22"/>
      <c r="KGB153" s="22"/>
      <c r="KGC153" s="22"/>
      <c r="KGD153" s="22"/>
      <c r="KGE153" s="22"/>
      <c r="KGF153" s="22"/>
      <c r="KGG153" s="22"/>
      <c r="KGH153" s="22"/>
      <c r="KGI153" s="22"/>
      <c r="KGJ153" s="22"/>
      <c r="KGK153" s="22"/>
      <c r="KGL153" s="22"/>
      <c r="KGM153" s="22"/>
      <c r="KGN153" s="22"/>
      <c r="KGO153" s="22"/>
      <c r="KGP153" s="22"/>
      <c r="KGQ153" s="22"/>
      <c r="KGR153" s="22"/>
      <c r="KGS153" s="22"/>
      <c r="KGT153" s="22"/>
      <c r="KGU153" s="22"/>
      <c r="KGV153" s="22"/>
      <c r="KGW153" s="22"/>
      <c r="KGX153" s="22"/>
      <c r="KGY153" s="22"/>
      <c r="KGZ153" s="22"/>
      <c r="KHA153" s="22"/>
      <c r="KHB153" s="22"/>
      <c r="KHC153" s="22"/>
      <c r="KHD153" s="22"/>
      <c r="KHE153" s="22"/>
      <c r="KHF153" s="22"/>
      <c r="KHG153" s="22"/>
      <c r="KHH153" s="22"/>
      <c r="KHI153" s="22"/>
      <c r="KHJ153" s="22"/>
      <c r="KHK153" s="22"/>
      <c r="KHL153" s="22"/>
      <c r="KHM153" s="22"/>
      <c r="KHN153" s="22"/>
      <c r="KHO153" s="22"/>
      <c r="KHP153" s="22"/>
      <c r="KHQ153" s="22"/>
      <c r="KHR153" s="22"/>
      <c r="KHS153" s="22"/>
      <c r="KHT153" s="22"/>
      <c r="KHU153" s="22"/>
      <c r="KHV153" s="22"/>
      <c r="KHW153" s="22"/>
      <c r="KHX153" s="22"/>
      <c r="KHY153" s="22"/>
      <c r="KHZ153" s="22"/>
      <c r="KIA153" s="22"/>
      <c r="KIB153" s="22"/>
      <c r="KIC153" s="22"/>
      <c r="KID153" s="22"/>
      <c r="KIE153" s="22"/>
      <c r="KIF153" s="22"/>
      <c r="KIG153" s="22"/>
      <c r="KIH153" s="22"/>
      <c r="KII153" s="22"/>
      <c r="KIJ153" s="22"/>
      <c r="KIK153" s="22"/>
      <c r="KIL153" s="22"/>
      <c r="KIM153" s="22"/>
      <c r="KIN153" s="22"/>
      <c r="KIO153" s="22"/>
      <c r="KIP153" s="22"/>
      <c r="KIQ153" s="22"/>
      <c r="KIR153" s="22"/>
      <c r="KIS153" s="22"/>
      <c r="KIT153" s="22"/>
      <c r="KIU153" s="22"/>
      <c r="KIV153" s="22"/>
      <c r="KIW153" s="22"/>
      <c r="KIX153" s="22"/>
      <c r="KIY153" s="22"/>
      <c r="KIZ153" s="22"/>
      <c r="KJA153" s="22"/>
      <c r="KJB153" s="22"/>
      <c r="KJC153" s="22"/>
      <c r="KJD153" s="22"/>
      <c r="KJE153" s="22"/>
      <c r="KJF153" s="22"/>
      <c r="KJG153" s="22"/>
      <c r="KJH153" s="22"/>
      <c r="KJI153" s="22"/>
      <c r="KJJ153" s="22"/>
      <c r="KJK153" s="22"/>
      <c r="KJL153" s="22"/>
      <c r="KJM153" s="22"/>
      <c r="KJN153" s="22"/>
      <c r="KJO153" s="22"/>
      <c r="KJP153" s="22"/>
      <c r="KJQ153" s="22"/>
      <c r="KJR153" s="22"/>
      <c r="KJS153" s="22"/>
      <c r="KJT153" s="22"/>
      <c r="KJU153" s="22"/>
      <c r="KJV153" s="22"/>
      <c r="KJW153" s="22"/>
      <c r="KJX153" s="22"/>
      <c r="KJY153" s="22"/>
      <c r="KJZ153" s="22"/>
      <c r="KKA153" s="22"/>
      <c r="KKB153" s="22"/>
      <c r="KKC153" s="22"/>
      <c r="KKD153" s="22"/>
      <c r="KKE153" s="22"/>
      <c r="KKF153" s="22"/>
      <c r="KKG153" s="22"/>
      <c r="KKH153" s="22"/>
      <c r="KKI153" s="22"/>
      <c r="KKJ153" s="22"/>
      <c r="KKK153" s="22"/>
      <c r="KKL153" s="22"/>
      <c r="KKM153" s="22"/>
      <c r="KKN153" s="22"/>
      <c r="KKO153" s="22"/>
      <c r="KKP153" s="22"/>
      <c r="KKQ153" s="22"/>
      <c r="KKR153" s="22"/>
      <c r="KKS153" s="22"/>
      <c r="KKT153" s="22"/>
      <c r="KKU153" s="22"/>
      <c r="KKV153" s="22"/>
      <c r="KKW153" s="22"/>
      <c r="KKX153" s="22"/>
      <c r="KKY153" s="22"/>
      <c r="KKZ153" s="22"/>
      <c r="KLA153" s="22"/>
      <c r="KLB153" s="22"/>
      <c r="KLC153" s="22"/>
      <c r="KLD153" s="22"/>
      <c r="KLE153" s="22"/>
      <c r="KLF153" s="22"/>
      <c r="KLG153" s="22"/>
      <c r="KLH153" s="22"/>
      <c r="KLI153" s="22"/>
      <c r="KLJ153" s="22"/>
      <c r="KLK153" s="22"/>
      <c r="KLL153" s="22"/>
      <c r="KLM153" s="22"/>
      <c r="KLN153" s="22"/>
      <c r="KLO153" s="22"/>
      <c r="KLP153" s="22"/>
      <c r="KLQ153" s="22"/>
      <c r="KLR153" s="22"/>
      <c r="KLS153" s="22"/>
      <c r="KLT153" s="22"/>
      <c r="KLU153" s="22"/>
      <c r="KLV153" s="22"/>
      <c r="KLW153" s="22"/>
      <c r="KLX153" s="22"/>
      <c r="KLY153" s="22"/>
      <c r="KLZ153" s="22"/>
      <c r="KMA153" s="22"/>
      <c r="KMB153" s="22"/>
      <c r="KMC153" s="22"/>
      <c r="KMD153" s="22"/>
      <c r="KME153" s="22"/>
      <c r="KMF153" s="22"/>
      <c r="KMG153" s="22"/>
      <c r="KMH153" s="22"/>
      <c r="KMI153" s="22"/>
      <c r="KMJ153" s="22"/>
      <c r="KMK153" s="22"/>
      <c r="KML153" s="22"/>
      <c r="KMM153" s="22"/>
      <c r="KMN153" s="22"/>
      <c r="KMO153" s="22"/>
      <c r="KMP153" s="22"/>
      <c r="KMQ153" s="22"/>
      <c r="KMR153" s="22"/>
      <c r="KMS153" s="22"/>
      <c r="KMT153" s="22"/>
      <c r="KMU153" s="22"/>
      <c r="KMV153" s="22"/>
      <c r="KMW153" s="22"/>
      <c r="KMX153" s="22"/>
      <c r="KMY153" s="22"/>
      <c r="KMZ153" s="22"/>
      <c r="KNA153" s="22"/>
      <c r="KNB153" s="22"/>
      <c r="KNC153" s="22"/>
      <c r="KND153" s="22"/>
      <c r="KNE153" s="22"/>
      <c r="KNF153" s="22"/>
      <c r="KNG153" s="22"/>
      <c r="KNH153" s="22"/>
      <c r="KNI153" s="22"/>
      <c r="KNJ153" s="22"/>
      <c r="KNK153" s="22"/>
      <c r="KNL153" s="22"/>
      <c r="KNM153" s="22"/>
      <c r="KNN153" s="22"/>
      <c r="KNO153" s="22"/>
      <c r="KNP153" s="22"/>
      <c r="KNQ153" s="22"/>
      <c r="KNR153" s="22"/>
      <c r="KNS153" s="22"/>
      <c r="KNT153" s="22"/>
      <c r="KNU153" s="22"/>
      <c r="KNV153" s="22"/>
      <c r="KNW153" s="22"/>
      <c r="KNX153" s="22"/>
      <c r="KNY153" s="22"/>
      <c r="KNZ153" s="22"/>
      <c r="KOA153" s="22"/>
      <c r="KOB153" s="22"/>
      <c r="KOC153" s="22"/>
      <c r="KOD153" s="22"/>
      <c r="KOE153" s="22"/>
      <c r="KOF153" s="22"/>
      <c r="KOG153" s="22"/>
      <c r="KOH153" s="22"/>
      <c r="KOI153" s="22"/>
      <c r="KOJ153" s="22"/>
      <c r="KOK153" s="22"/>
      <c r="KOL153" s="22"/>
      <c r="KOM153" s="22"/>
      <c r="KON153" s="22"/>
      <c r="KOO153" s="22"/>
      <c r="KOP153" s="22"/>
      <c r="KOQ153" s="22"/>
      <c r="KOR153" s="22"/>
      <c r="KOS153" s="22"/>
      <c r="KOT153" s="22"/>
      <c r="KOU153" s="22"/>
      <c r="KOV153" s="22"/>
      <c r="KOW153" s="22"/>
      <c r="KOX153" s="22"/>
      <c r="KOY153" s="22"/>
      <c r="KOZ153" s="22"/>
      <c r="KPA153" s="22"/>
      <c r="KPB153" s="22"/>
      <c r="KPC153" s="22"/>
      <c r="KPD153" s="22"/>
      <c r="KPE153" s="22"/>
      <c r="KPF153" s="22"/>
      <c r="KPG153" s="22"/>
      <c r="KPH153" s="22"/>
      <c r="KPI153" s="22"/>
      <c r="KPJ153" s="22"/>
      <c r="KPK153" s="22"/>
      <c r="KPL153" s="22"/>
      <c r="KPM153" s="22"/>
      <c r="KPN153" s="22"/>
      <c r="KPO153" s="22"/>
      <c r="KPP153" s="22"/>
      <c r="KPQ153" s="22"/>
      <c r="KPR153" s="22"/>
      <c r="KPS153" s="22"/>
      <c r="KPT153" s="22"/>
      <c r="KPU153" s="22"/>
      <c r="KPV153" s="22"/>
      <c r="KPW153" s="22"/>
      <c r="KPX153" s="22"/>
      <c r="KPY153" s="22"/>
      <c r="KPZ153" s="22"/>
      <c r="KQA153" s="22"/>
      <c r="KQB153" s="22"/>
      <c r="KQC153" s="22"/>
      <c r="KQD153" s="22"/>
      <c r="KQE153" s="22"/>
      <c r="KQF153" s="22"/>
      <c r="KQG153" s="22"/>
      <c r="KQH153" s="22"/>
      <c r="KQI153" s="22"/>
      <c r="KQJ153" s="22"/>
      <c r="KQK153" s="22"/>
      <c r="KQL153" s="22"/>
      <c r="KQM153" s="22"/>
      <c r="KQN153" s="22"/>
      <c r="KQO153" s="22"/>
      <c r="KQP153" s="22"/>
      <c r="KQQ153" s="22"/>
      <c r="KQR153" s="22"/>
      <c r="KQS153" s="22"/>
      <c r="KQT153" s="22"/>
      <c r="KQU153" s="22"/>
      <c r="KQV153" s="22"/>
      <c r="KQW153" s="22"/>
      <c r="KQX153" s="22"/>
      <c r="KQY153" s="22"/>
      <c r="KQZ153" s="22"/>
      <c r="KRA153" s="22"/>
      <c r="KRB153" s="22"/>
      <c r="KRC153" s="22"/>
      <c r="KRD153" s="22"/>
      <c r="KRE153" s="22"/>
      <c r="KRF153" s="22"/>
      <c r="KRG153" s="22"/>
      <c r="KRH153" s="22"/>
      <c r="KRI153" s="22"/>
      <c r="KRJ153" s="22"/>
      <c r="KRK153" s="22"/>
      <c r="KRL153" s="22"/>
      <c r="KRM153" s="22"/>
      <c r="KRN153" s="22"/>
      <c r="KRO153" s="22"/>
      <c r="KRP153" s="22"/>
      <c r="KRQ153" s="22"/>
      <c r="KRR153" s="22"/>
      <c r="KRS153" s="22"/>
      <c r="KRT153" s="22"/>
      <c r="KRU153" s="22"/>
      <c r="KRV153" s="22"/>
      <c r="KRW153" s="22"/>
      <c r="KRX153" s="22"/>
      <c r="KRY153" s="22"/>
      <c r="KRZ153" s="22"/>
      <c r="KSA153" s="22"/>
      <c r="KSB153" s="22"/>
      <c r="KSC153" s="22"/>
      <c r="KSD153" s="22"/>
      <c r="KSE153" s="22"/>
      <c r="KSF153" s="22"/>
      <c r="KSG153" s="22"/>
      <c r="KSH153" s="22"/>
      <c r="KSI153" s="22"/>
      <c r="KSJ153" s="22"/>
      <c r="KSK153" s="22"/>
      <c r="KSL153" s="22"/>
      <c r="KSM153" s="22"/>
      <c r="KSN153" s="22"/>
      <c r="KSO153" s="22"/>
      <c r="KSP153" s="22"/>
      <c r="KSQ153" s="22"/>
      <c r="KSR153" s="22"/>
      <c r="KSS153" s="22"/>
      <c r="KST153" s="22"/>
      <c r="KSU153" s="22"/>
      <c r="KSV153" s="22"/>
      <c r="KSW153" s="22"/>
      <c r="KSX153" s="22"/>
      <c r="KSY153" s="22"/>
      <c r="KSZ153" s="22"/>
      <c r="KTA153" s="22"/>
      <c r="KTB153" s="22"/>
      <c r="KTC153" s="22"/>
      <c r="KTD153" s="22"/>
      <c r="KTE153" s="22"/>
      <c r="KTF153" s="22"/>
      <c r="KTG153" s="22"/>
      <c r="KTH153" s="22"/>
      <c r="KTI153" s="22"/>
      <c r="KTJ153" s="22"/>
      <c r="KTK153" s="22"/>
      <c r="KTL153" s="22"/>
      <c r="KTM153" s="22"/>
      <c r="KTN153" s="22"/>
      <c r="KTO153" s="22"/>
      <c r="KTP153" s="22"/>
      <c r="KTQ153" s="22"/>
      <c r="KTR153" s="22"/>
      <c r="KTS153" s="22"/>
      <c r="KTT153" s="22"/>
      <c r="KTU153" s="22"/>
      <c r="KTV153" s="22"/>
      <c r="KTW153" s="22"/>
      <c r="KTX153" s="22"/>
      <c r="KTY153" s="22"/>
      <c r="KTZ153" s="22"/>
      <c r="KUA153" s="22"/>
      <c r="KUB153" s="22"/>
      <c r="KUC153" s="22"/>
      <c r="KUD153" s="22"/>
      <c r="KUE153" s="22"/>
      <c r="KUF153" s="22"/>
      <c r="KUG153" s="22"/>
      <c r="KUH153" s="22"/>
      <c r="KUI153" s="22"/>
      <c r="KUJ153" s="22"/>
      <c r="KUK153" s="22"/>
      <c r="KUL153" s="22"/>
      <c r="KUM153" s="22"/>
      <c r="KUN153" s="22"/>
      <c r="KUO153" s="22"/>
      <c r="KUP153" s="22"/>
      <c r="KUQ153" s="22"/>
      <c r="KUR153" s="22"/>
      <c r="KUS153" s="22"/>
      <c r="KUT153" s="22"/>
      <c r="KUU153" s="22"/>
      <c r="KUV153" s="22"/>
      <c r="KUW153" s="22"/>
      <c r="KUX153" s="22"/>
      <c r="KUY153" s="22"/>
      <c r="KUZ153" s="22"/>
      <c r="KVA153" s="22"/>
      <c r="KVB153" s="22"/>
      <c r="KVC153" s="22"/>
      <c r="KVD153" s="22"/>
      <c r="KVE153" s="22"/>
      <c r="KVF153" s="22"/>
      <c r="KVG153" s="22"/>
      <c r="KVH153" s="22"/>
      <c r="KVI153" s="22"/>
      <c r="KVJ153" s="22"/>
      <c r="KVK153" s="22"/>
      <c r="KVL153" s="22"/>
      <c r="KVM153" s="22"/>
      <c r="KVN153" s="22"/>
      <c r="KVO153" s="22"/>
      <c r="KVP153" s="22"/>
      <c r="KVQ153" s="22"/>
      <c r="KVR153" s="22"/>
      <c r="KVS153" s="22"/>
      <c r="KVT153" s="22"/>
      <c r="KVU153" s="22"/>
      <c r="KVV153" s="22"/>
      <c r="KVW153" s="22"/>
      <c r="KVX153" s="22"/>
      <c r="KVY153" s="22"/>
      <c r="KVZ153" s="22"/>
      <c r="KWA153" s="22"/>
      <c r="KWB153" s="22"/>
      <c r="KWC153" s="22"/>
      <c r="KWD153" s="22"/>
      <c r="KWE153" s="22"/>
      <c r="KWF153" s="22"/>
      <c r="KWG153" s="22"/>
      <c r="KWH153" s="22"/>
      <c r="KWI153" s="22"/>
      <c r="KWJ153" s="22"/>
      <c r="KWK153" s="22"/>
      <c r="KWL153" s="22"/>
      <c r="KWM153" s="22"/>
      <c r="KWN153" s="22"/>
      <c r="KWO153" s="22"/>
      <c r="KWP153" s="22"/>
      <c r="KWQ153" s="22"/>
      <c r="KWR153" s="22"/>
      <c r="KWS153" s="22"/>
      <c r="KWT153" s="22"/>
      <c r="KWU153" s="22"/>
      <c r="KWV153" s="22"/>
      <c r="KWW153" s="22"/>
      <c r="KWX153" s="22"/>
      <c r="KWY153" s="22"/>
      <c r="KWZ153" s="22"/>
      <c r="KXA153" s="22"/>
      <c r="KXB153" s="22"/>
      <c r="KXC153" s="22"/>
      <c r="KXD153" s="22"/>
      <c r="KXE153" s="22"/>
      <c r="KXF153" s="22"/>
      <c r="KXG153" s="22"/>
      <c r="KXH153" s="22"/>
      <c r="KXI153" s="22"/>
      <c r="KXJ153" s="22"/>
      <c r="KXK153" s="22"/>
      <c r="KXL153" s="22"/>
      <c r="KXM153" s="22"/>
      <c r="KXN153" s="22"/>
      <c r="KXO153" s="22"/>
      <c r="KXP153" s="22"/>
      <c r="KXQ153" s="22"/>
      <c r="KXR153" s="22"/>
      <c r="KXS153" s="22"/>
      <c r="KXT153" s="22"/>
      <c r="KXU153" s="22"/>
      <c r="KXV153" s="22"/>
      <c r="KXW153" s="22"/>
      <c r="KXX153" s="22"/>
      <c r="KXY153" s="22"/>
      <c r="KXZ153" s="22"/>
      <c r="KYA153" s="22"/>
      <c r="KYB153" s="22"/>
      <c r="KYC153" s="22"/>
      <c r="KYD153" s="22"/>
      <c r="KYE153" s="22"/>
      <c r="KYF153" s="22"/>
      <c r="KYG153" s="22"/>
      <c r="KYH153" s="22"/>
      <c r="KYI153" s="22"/>
      <c r="KYJ153" s="22"/>
      <c r="KYK153" s="22"/>
      <c r="KYL153" s="22"/>
      <c r="KYM153" s="22"/>
      <c r="KYN153" s="22"/>
      <c r="KYO153" s="22"/>
      <c r="KYP153" s="22"/>
      <c r="KYQ153" s="22"/>
      <c r="KYR153" s="22"/>
      <c r="KYS153" s="22"/>
      <c r="KYT153" s="22"/>
      <c r="KYU153" s="22"/>
      <c r="KYV153" s="22"/>
      <c r="KYW153" s="22"/>
      <c r="KYX153" s="22"/>
      <c r="KYY153" s="22"/>
      <c r="KYZ153" s="22"/>
      <c r="KZA153" s="22"/>
      <c r="KZB153" s="22"/>
      <c r="KZC153" s="22"/>
      <c r="KZD153" s="22"/>
      <c r="KZE153" s="22"/>
      <c r="KZF153" s="22"/>
      <c r="KZG153" s="22"/>
      <c r="KZH153" s="22"/>
      <c r="KZI153" s="22"/>
      <c r="KZJ153" s="22"/>
      <c r="KZK153" s="22"/>
      <c r="KZL153" s="22"/>
      <c r="KZM153" s="22"/>
      <c r="KZN153" s="22"/>
      <c r="KZO153" s="22"/>
      <c r="KZP153" s="22"/>
      <c r="KZQ153" s="22"/>
      <c r="KZR153" s="22"/>
      <c r="KZS153" s="22"/>
      <c r="KZT153" s="22"/>
      <c r="KZU153" s="22"/>
      <c r="KZV153" s="22"/>
      <c r="KZW153" s="22"/>
      <c r="KZX153" s="22"/>
      <c r="KZY153" s="22"/>
      <c r="KZZ153" s="22"/>
      <c r="LAA153" s="22"/>
      <c r="LAB153" s="22"/>
      <c r="LAC153" s="22"/>
      <c r="LAD153" s="22"/>
      <c r="LAE153" s="22"/>
      <c r="LAF153" s="22"/>
      <c r="LAG153" s="22"/>
      <c r="LAH153" s="22"/>
      <c r="LAI153" s="22"/>
      <c r="LAJ153" s="22"/>
      <c r="LAK153" s="22"/>
      <c r="LAL153" s="22"/>
      <c r="LAM153" s="22"/>
      <c r="LAN153" s="22"/>
      <c r="LAO153" s="22"/>
      <c r="LAP153" s="22"/>
      <c r="LAQ153" s="22"/>
      <c r="LAR153" s="22"/>
      <c r="LAS153" s="22"/>
      <c r="LAT153" s="22"/>
      <c r="LAU153" s="22"/>
      <c r="LAV153" s="22"/>
      <c r="LAW153" s="22"/>
      <c r="LAX153" s="22"/>
      <c r="LAY153" s="22"/>
      <c r="LAZ153" s="22"/>
      <c r="LBA153" s="22"/>
      <c r="LBB153" s="22"/>
      <c r="LBC153" s="22"/>
      <c r="LBD153" s="22"/>
      <c r="LBE153" s="22"/>
      <c r="LBF153" s="22"/>
      <c r="LBG153" s="22"/>
      <c r="LBH153" s="22"/>
      <c r="LBI153" s="22"/>
      <c r="LBJ153" s="22"/>
      <c r="LBK153" s="22"/>
      <c r="LBL153" s="22"/>
      <c r="LBM153" s="22"/>
      <c r="LBN153" s="22"/>
      <c r="LBO153" s="22"/>
      <c r="LBP153" s="22"/>
      <c r="LBQ153" s="22"/>
      <c r="LBR153" s="22"/>
      <c r="LBS153" s="22"/>
      <c r="LBT153" s="22"/>
      <c r="LBU153" s="22"/>
      <c r="LBV153" s="22"/>
      <c r="LBW153" s="22"/>
      <c r="LBX153" s="22"/>
      <c r="LBY153" s="22"/>
      <c r="LBZ153" s="22"/>
      <c r="LCA153" s="22"/>
      <c r="LCB153" s="22"/>
      <c r="LCC153" s="22"/>
      <c r="LCD153" s="22"/>
      <c r="LCE153" s="22"/>
      <c r="LCF153" s="22"/>
      <c r="LCG153" s="22"/>
      <c r="LCH153" s="22"/>
      <c r="LCI153" s="22"/>
      <c r="LCJ153" s="22"/>
      <c r="LCK153" s="22"/>
      <c r="LCL153" s="22"/>
      <c r="LCM153" s="22"/>
      <c r="LCN153" s="22"/>
      <c r="LCO153" s="22"/>
      <c r="LCP153" s="22"/>
      <c r="LCQ153" s="22"/>
      <c r="LCR153" s="22"/>
      <c r="LCS153" s="22"/>
      <c r="LCT153" s="22"/>
      <c r="LCU153" s="22"/>
      <c r="LCV153" s="22"/>
      <c r="LCW153" s="22"/>
      <c r="LCX153" s="22"/>
      <c r="LCY153" s="22"/>
      <c r="LCZ153" s="22"/>
      <c r="LDA153" s="22"/>
      <c r="LDB153" s="22"/>
      <c r="LDC153" s="22"/>
      <c r="LDD153" s="22"/>
      <c r="LDE153" s="22"/>
      <c r="LDF153" s="22"/>
      <c r="LDG153" s="22"/>
      <c r="LDH153" s="22"/>
      <c r="LDI153" s="22"/>
      <c r="LDJ153" s="22"/>
      <c r="LDK153" s="22"/>
      <c r="LDL153" s="22"/>
      <c r="LDM153" s="22"/>
      <c r="LDN153" s="22"/>
      <c r="LDO153" s="22"/>
      <c r="LDP153" s="22"/>
      <c r="LDQ153" s="22"/>
      <c r="LDR153" s="22"/>
      <c r="LDS153" s="22"/>
      <c r="LDT153" s="22"/>
      <c r="LDU153" s="22"/>
      <c r="LDV153" s="22"/>
      <c r="LDW153" s="22"/>
      <c r="LDX153" s="22"/>
      <c r="LDY153" s="22"/>
      <c r="LDZ153" s="22"/>
      <c r="LEA153" s="22"/>
      <c r="LEB153" s="22"/>
      <c r="LEC153" s="22"/>
      <c r="LED153" s="22"/>
      <c r="LEE153" s="22"/>
      <c r="LEF153" s="22"/>
      <c r="LEG153" s="22"/>
      <c r="LEH153" s="22"/>
      <c r="LEI153" s="22"/>
      <c r="LEJ153" s="22"/>
      <c r="LEK153" s="22"/>
      <c r="LEL153" s="22"/>
      <c r="LEM153" s="22"/>
      <c r="LEN153" s="22"/>
      <c r="LEO153" s="22"/>
      <c r="LEP153" s="22"/>
      <c r="LEQ153" s="22"/>
      <c r="LER153" s="22"/>
      <c r="LES153" s="22"/>
      <c r="LET153" s="22"/>
      <c r="LEU153" s="22"/>
      <c r="LEV153" s="22"/>
      <c r="LEW153" s="22"/>
      <c r="LEX153" s="22"/>
      <c r="LEY153" s="22"/>
      <c r="LEZ153" s="22"/>
      <c r="LFA153" s="22"/>
      <c r="LFB153" s="22"/>
      <c r="LFC153" s="22"/>
      <c r="LFD153" s="22"/>
      <c r="LFE153" s="22"/>
      <c r="LFF153" s="22"/>
      <c r="LFG153" s="22"/>
      <c r="LFH153" s="22"/>
      <c r="LFI153" s="22"/>
      <c r="LFJ153" s="22"/>
      <c r="LFK153" s="22"/>
      <c r="LFL153" s="22"/>
      <c r="LFM153" s="22"/>
      <c r="LFN153" s="22"/>
      <c r="LFO153" s="22"/>
      <c r="LFP153" s="22"/>
      <c r="LFQ153" s="22"/>
      <c r="LFR153" s="22"/>
      <c r="LFS153" s="22"/>
      <c r="LFT153" s="22"/>
      <c r="LFU153" s="22"/>
      <c r="LFV153" s="22"/>
      <c r="LFW153" s="22"/>
      <c r="LFX153" s="22"/>
      <c r="LFY153" s="22"/>
      <c r="LFZ153" s="22"/>
      <c r="LGA153" s="22"/>
      <c r="LGB153" s="22"/>
      <c r="LGC153" s="22"/>
      <c r="LGD153" s="22"/>
      <c r="LGE153" s="22"/>
      <c r="LGF153" s="22"/>
      <c r="LGG153" s="22"/>
      <c r="LGH153" s="22"/>
      <c r="LGI153" s="22"/>
      <c r="LGJ153" s="22"/>
      <c r="LGK153" s="22"/>
      <c r="LGL153" s="22"/>
      <c r="LGM153" s="22"/>
      <c r="LGN153" s="22"/>
      <c r="LGO153" s="22"/>
      <c r="LGP153" s="22"/>
      <c r="LGQ153" s="22"/>
      <c r="LGR153" s="22"/>
      <c r="LGS153" s="22"/>
      <c r="LGT153" s="22"/>
      <c r="LGU153" s="22"/>
      <c r="LGV153" s="22"/>
      <c r="LGW153" s="22"/>
      <c r="LGX153" s="22"/>
      <c r="LGY153" s="22"/>
      <c r="LGZ153" s="22"/>
      <c r="LHA153" s="22"/>
      <c r="LHB153" s="22"/>
      <c r="LHC153" s="22"/>
      <c r="LHD153" s="22"/>
      <c r="LHE153" s="22"/>
      <c r="LHF153" s="22"/>
      <c r="LHG153" s="22"/>
      <c r="LHH153" s="22"/>
      <c r="LHI153" s="22"/>
      <c r="LHJ153" s="22"/>
      <c r="LHK153" s="22"/>
      <c r="LHL153" s="22"/>
      <c r="LHM153" s="22"/>
      <c r="LHN153" s="22"/>
      <c r="LHO153" s="22"/>
      <c r="LHP153" s="22"/>
      <c r="LHQ153" s="22"/>
      <c r="LHR153" s="22"/>
      <c r="LHS153" s="22"/>
      <c r="LHT153" s="22"/>
      <c r="LHU153" s="22"/>
      <c r="LHV153" s="22"/>
      <c r="LHW153" s="22"/>
      <c r="LHX153" s="22"/>
      <c r="LHY153" s="22"/>
      <c r="LHZ153" s="22"/>
      <c r="LIA153" s="22"/>
      <c r="LIB153" s="22"/>
      <c r="LIC153" s="22"/>
      <c r="LID153" s="22"/>
      <c r="LIE153" s="22"/>
      <c r="LIF153" s="22"/>
      <c r="LIG153" s="22"/>
      <c r="LIH153" s="22"/>
      <c r="LII153" s="22"/>
      <c r="LIJ153" s="22"/>
      <c r="LIK153" s="22"/>
      <c r="LIL153" s="22"/>
      <c r="LIM153" s="22"/>
      <c r="LIN153" s="22"/>
      <c r="LIO153" s="22"/>
      <c r="LIP153" s="22"/>
      <c r="LIQ153" s="22"/>
      <c r="LIR153" s="22"/>
      <c r="LIS153" s="22"/>
      <c r="LIT153" s="22"/>
      <c r="LIU153" s="22"/>
      <c r="LIV153" s="22"/>
      <c r="LIW153" s="22"/>
      <c r="LIX153" s="22"/>
      <c r="LIY153" s="22"/>
      <c r="LIZ153" s="22"/>
      <c r="LJA153" s="22"/>
      <c r="LJB153" s="22"/>
      <c r="LJC153" s="22"/>
      <c r="LJD153" s="22"/>
      <c r="LJE153" s="22"/>
      <c r="LJF153" s="22"/>
      <c r="LJG153" s="22"/>
      <c r="LJH153" s="22"/>
      <c r="LJI153" s="22"/>
      <c r="LJJ153" s="22"/>
      <c r="LJK153" s="22"/>
      <c r="LJL153" s="22"/>
      <c r="LJM153" s="22"/>
      <c r="LJN153" s="22"/>
      <c r="LJO153" s="22"/>
      <c r="LJP153" s="22"/>
      <c r="LJQ153" s="22"/>
      <c r="LJR153" s="22"/>
      <c r="LJS153" s="22"/>
      <c r="LJT153" s="22"/>
      <c r="LJU153" s="22"/>
      <c r="LJV153" s="22"/>
      <c r="LJW153" s="22"/>
      <c r="LJX153" s="22"/>
      <c r="LJY153" s="22"/>
      <c r="LJZ153" s="22"/>
      <c r="LKA153" s="22"/>
      <c r="LKB153" s="22"/>
      <c r="LKC153" s="22"/>
      <c r="LKD153" s="22"/>
      <c r="LKE153" s="22"/>
      <c r="LKF153" s="22"/>
      <c r="LKG153" s="22"/>
      <c r="LKH153" s="22"/>
      <c r="LKI153" s="22"/>
      <c r="LKJ153" s="22"/>
      <c r="LKK153" s="22"/>
      <c r="LKL153" s="22"/>
      <c r="LKM153" s="22"/>
      <c r="LKN153" s="22"/>
      <c r="LKO153" s="22"/>
      <c r="LKP153" s="22"/>
      <c r="LKQ153" s="22"/>
      <c r="LKR153" s="22"/>
      <c r="LKS153" s="22"/>
      <c r="LKT153" s="22"/>
      <c r="LKU153" s="22"/>
      <c r="LKV153" s="22"/>
      <c r="LKW153" s="22"/>
      <c r="LKX153" s="22"/>
      <c r="LKY153" s="22"/>
      <c r="LKZ153" s="22"/>
      <c r="LLA153" s="22"/>
      <c r="LLB153" s="22"/>
      <c r="LLC153" s="22"/>
      <c r="LLD153" s="22"/>
      <c r="LLE153" s="22"/>
      <c r="LLF153" s="22"/>
      <c r="LLG153" s="22"/>
      <c r="LLH153" s="22"/>
      <c r="LLI153" s="22"/>
      <c r="LLJ153" s="22"/>
      <c r="LLK153" s="22"/>
      <c r="LLL153" s="22"/>
      <c r="LLM153" s="22"/>
      <c r="LLN153" s="22"/>
      <c r="LLO153" s="22"/>
      <c r="LLP153" s="22"/>
      <c r="LLQ153" s="22"/>
      <c r="LLR153" s="22"/>
      <c r="LLS153" s="22"/>
      <c r="LLT153" s="22"/>
      <c r="LLU153" s="22"/>
      <c r="LLV153" s="22"/>
      <c r="LLW153" s="22"/>
      <c r="LLX153" s="22"/>
      <c r="LLY153" s="22"/>
      <c r="LLZ153" s="22"/>
      <c r="LMA153" s="22"/>
      <c r="LMB153" s="22"/>
      <c r="LMC153" s="22"/>
      <c r="LMD153" s="22"/>
      <c r="LME153" s="22"/>
      <c r="LMF153" s="22"/>
      <c r="LMG153" s="22"/>
      <c r="LMH153" s="22"/>
      <c r="LMI153" s="22"/>
      <c r="LMJ153" s="22"/>
      <c r="LMK153" s="22"/>
      <c r="LML153" s="22"/>
      <c r="LMM153" s="22"/>
      <c r="LMN153" s="22"/>
      <c r="LMO153" s="22"/>
      <c r="LMP153" s="22"/>
      <c r="LMQ153" s="22"/>
      <c r="LMR153" s="22"/>
      <c r="LMS153" s="22"/>
      <c r="LMT153" s="22"/>
      <c r="LMU153" s="22"/>
      <c r="LMV153" s="22"/>
      <c r="LMW153" s="22"/>
      <c r="LMX153" s="22"/>
      <c r="LMY153" s="22"/>
      <c r="LMZ153" s="22"/>
      <c r="LNA153" s="22"/>
      <c r="LNB153" s="22"/>
      <c r="LNC153" s="22"/>
      <c r="LND153" s="22"/>
      <c r="LNE153" s="22"/>
      <c r="LNF153" s="22"/>
      <c r="LNG153" s="22"/>
      <c r="LNH153" s="22"/>
      <c r="LNI153" s="22"/>
      <c r="LNJ153" s="22"/>
      <c r="LNK153" s="22"/>
      <c r="LNL153" s="22"/>
      <c r="LNM153" s="22"/>
      <c r="LNN153" s="22"/>
      <c r="LNO153" s="22"/>
      <c r="LNP153" s="22"/>
      <c r="LNQ153" s="22"/>
      <c r="LNR153" s="22"/>
      <c r="LNS153" s="22"/>
      <c r="LNT153" s="22"/>
      <c r="LNU153" s="22"/>
      <c r="LNV153" s="22"/>
      <c r="LNW153" s="22"/>
      <c r="LNX153" s="22"/>
      <c r="LNY153" s="22"/>
      <c r="LNZ153" s="22"/>
      <c r="LOA153" s="22"/>
      <c r="LOB153" s="22"/>
      <c r="LOC153" s="22"/>
      <c r="LOD153" s="22"/>
      <c r="LOE153" s="22"/>
      <c r="LOF153" s="22"/>
      <c r="LOG153" s="22"/>
      <c r="LOH153" s="22"/>
      <c r="LOI153" s="22"/>
      <c r="LOJ153" s="22"/>
      <c r="LOK153" s="22"/>
      <c r="LOL153" s="22"/>
      <c r="LOM153" s="22"/>
      <c r="LON153" s="22"/>
      <c r="LOO153" s="22"/>
      <c r="LOP153" s="22"/>
      <c r="LOQ153" s="22"/>
      <c r="LOR153" s="22"/>
      <c r="LOS153" s="22"/>
      <c r="LOT153" s="22"/>
      <c r="LOU153" s="22"/>
      <c r="LOV153" s="22"/>
      <c r="LOW153" s="22"/>
      <c r="LOX153" s="22"/>
      <c r="LOY153" s="22"/>
      <c r="LOZ153" s="22"/>
      <c r="LPA153" s="22"/>
      <c r="LPB153" s="22"/>
      <c r="LPC153" s="22"/>
      <c r="LPD153" s="22"/>
      <c r="LPE153" s="22"/>
      <c r="LPF153" s="22"/>
      <c r="LPG153" s="22"/>
      <c r="LPH153" s="22"/>
      <c r="LPI153" s="22"/>
      <c r="LPJ153" s="22"/>
      <c r="LPK153" s="22"/>
      <c r="LPL153" s="22"/>
      <c r="LPM153" s="22"/>
      <c r="LPN153" s="22"/>
      <c r="LPO153" s="22"/>
      <c r="LPP153" s="22"/>
      <c r="LPQ153" s="22"/>
      <c r="LPR153" s="22"/>
      <c r="LPS153" s="22"/>
      <c r="LPT153" s="22"/>
      <c r="LPU153" s="22"/>
      <c r="LPV153" s="22"/>
      <c r="LPW153" s="22"/>
      <c r="LPX153" s="22"/>
      <c r="LPY153" s="22"/>
      <c r="LPZ153" s="22"/>
      <c r="LQA153" s="22"/>
      <c r="LQB153" s="22"/>
      <c r="LQC153" s="22"/>
      <c r="LQD153" s="22"/>
      <c r="LQE153" s="22"/>
      <c r="LQF153" s="22"/>
      <c r="LQG153" s="22"/>
      <c r="LQH153" s="22"/>
      <c r="LQI153" s="22"/>
      <c r="LQJ153" s="22"/>
      <c r="LQK153" s="22"/>
      <c r="LQL153" s="22"/>
      <c r="LQM153" s="22"/>
      <c r="LQN153" s="22"/>
      <c r="LQO153" s="22"/>
      <c r="LQP153" s="22"/>
      <c r="LQQ153" s="22"/>
      <c r="LQR153" s="22"/>
      <c r="LQS153" s="22"/>
      <c r="LQT153" s="22"/>
      <c r="LQU153" s="22"/>
      <c r="LQV153" s="22"/>
      <c r="LQW153" s="22"/>
      <c r="LQX153" s="22"/>
      <c r="LQY153" s="22"/>
      <c r="LQZ153" s="22"/>
      <c r="LRA153" s="22"/>
      <c r="LRB153" s="22"/>
      <c r="LRC153" s="22"/>
      <c r="LRD153" s="22"/>
      <c r="LRE153" s="22"/>
      <c r="LRF153" s="22"/>
      <c r="LRG153" s="22"/>
      <c r="LRH153" s="22"/>
      <c r="LRI153" s="22"/>
      <c r="LRJ153" s="22"/>
      <c r="LRK153" s="22"/>
      <c r="LRL153" s="22"/>
      <c r="LRM153" s="22"/>
      <c r="LRN153" s="22"/>
      <c r="LRO153" s="22"/>
      <c r="LRP153" s="22"/>
      <c r="LRQ153" s="22"/>
      <c r="LRR153" s="22"/>
      <c r="LRS153" s="22"/>
      <c r="LRT153" s="22"/>
      <c r="LRU153" s="22"/>
      <c r="LRV153" s="22"/>
      <c r="LRW153" s="22"/>
      <c r="LRX153" s="22"/>
      <c r="LRY153" s="22"/>
      <c r="LRZ153" s="22"/>
      <c r="LSA153" s="22"/>
      <c r="LSB153" s="22"/>
      <c r="LSC153" s="22"/>
      <c r="LSD153" s="22"/>
      <c r="LSE153" s="22"/>
      <c r="LSF153" s="22"/>
      <c r="LSG153" s="22"/>
      <c r="LSH153" s="22"/>
      <c r="LSI153" s="22"/>
      <c r="LSJ153" s="22"/>
      <c r="LSK153" s="22"/>
      <c r="LSL153" s="22"/>
      <c r="LSM153" s="22"/>
      <c r="LSN153" s="22"/>
      <c r="LSO153" s="22"/>
      <c r="LSP153" s="22"/>
      <c r="LSQ153" s="22"/>
      <c r="LSR153" s="22"/>
      <c r="LSS153" s="22"/>
      <c r="LST153" s="22"/>
      <c r="LSU153" s="22"/>
      <c r="LSV153" s="22"/>
      <c r="LSW153" s="22"/>
      <c r="LSX153" s="22"/>
      <c r="LSY153" s="22"/>
      <c r="LSZ153" s="22"/>
      <c r="LTA153" s="22"/>
      <c r="LTB153" s="22"/>
      <c r="LTC153" s="22"/>
      <c r="LTD153" s="22"/>
      <c r="LTE153" s="22"/>
      <c r="LTF153" s="22"/>
      <c r="LTG153" s="22"/>
      <c r="LTH153" s="22"/>
      <c r="LTI153" s="22"/>
      <c r="LTJ153" s="22"/>
      <c r="LTK153" s="22"/>
      <c r="LTL153" s="22"/>
      <c r="LTM153" s="22"/>
      <c r="LTN153" s="22"/>
      <c r="LTO153" s="22"/>
      <c r="LTP153" s="22"/>
      <c r="LTQ153" s="22"/>
      <c r="LTR153" s="22"/>
      <c r="LTS153" s="22"/>
      <c r="LTT153" s="22"/>
      <c r="LTU153" s="22"/>
      <c r="LTV153" s="22"/>
      <c r="LTW153" s="22"/>
      <c r="LTX153" s="22"/>
      <c r="LTY153" s="22"/>
      <c r="LTZ153" s="22"/>
      <c r="LUA153" s="22"/>
      <c r="LUB153" s="22"/>
      <c r="LUC153" s="22"/>
      <c r="LUD153" s="22"/>
      <c r="LUE153" s="22"/>
      <c r="LUF153" s="22"/>
      <c r="LUG153" s="22"/>
      <c r="LUH153" s="22"/>
      <c r="LUI153" s="22"/>
      <c r="LUJ153" s="22"/>
      <c r="LUK153" s="22"/>
      <c r="LUL153" s="22"/>
      <c r="LUM153" s="22"/>
      <c r="LUN153" s="22"/>
      <c r="LUO153" s="22"/>
      <c r="LUP153" s="22"/>
      <c r="LUQ153" s="22"/>
      <c r="LUR153" s="22"/>
      <c r="LUS153" s="22"/>
      <c r="LUT153" s="22"/>
      <c r="LUU153" s="22"/>
      <c r="LUV153" s="22"/>
      <c r="LUW153" s="22"/>
      <c r="LUX153" s="22"/>
      <c r="LUY153" s="22"/>
      <c r="LUZ153" s="22"/>
      <c r="LVA153" s="22"/>
      <c r="LVB153" s="22"/>
      <c r="LVC153" s="22"/>
      <c r="LVD153" s="22"/>
      <c r="LVE153" s="22"/>
      <c r="LVF153" s="22"/>
      <c r="LVG153" s="22"/>
      <c r="LVH153" s="22"/>
      <c r="LVI153" s="22"/>
      <c r="LVJ153" s="22"/>
      <c r="LVK153" s="22"/>
      <c r="LVL153" s="22"/>
      <c r="LVM153" s="22"/>
      <c r="LVN153" s="22"/>
      <c r="LVO153" s="22"/>
      <c r="LVP153" s="22"/>
      <c r="LVQ153" s="22"/>
      <c r="LVR153" s="22"/>
      <c r="LVS153" s="22"/>
      <c r="LVT153" s="22"/>
      <c r="LVU153" s="22"/>
      <c r="LVV153" s="22"/>
      <c r="LVW153" s="22"/>
      <c r="LVX153" s="22"/>
      <c r="LVY153" s="22"/>
      <c r="LVZ153" s="22"/>
      <c r="LWA153" s="22"/>
      <c r="LWB153" s="22"/>
      <c r="LWC153" s="22"/>
      <c r="LWD153" s="22"/>
      <c r="LWE153" s="22"/>
      <c r="LWF153" s="22"/>
      <c r="LWG153" s="22"/>
      <c r="LWH153" s="22"/>
      <c r="LWI153" s="22"/>
      <c r="LWJ153" s="22"/>
      <c r="LWK153" s="22"/>
      <c r="LWL153" s="22"/>
      <c r="LWM153" s="22"/>
      <c r="LWN153" s="22"/>
      <c r="LWO153" s="22"/>
      <c r="LWP153" s="22"/>
      <c r="LWQ153" s="22"/>
      <c r="LWR153" s="22"/>
      <c r="LWS153" s="22"/>
      <c r="LWT153" s="22"/>
      <c r="LWU153" s="22"/>
      <c r="LWV153" s="22"/>
      <c r="LWW153" s="22"/>
      <c r="LWX153" s="22"/>
      <c r="LWY153" s="22"/>
      <c r="LWZ153" s="22"/>
      <c r="LXA153" s="22"/>
      <c r="LXB153" s="22"/>
      <c r="LXC153" s="22"/>
      <c r="LXD153" s="22"/>
      <c r="LXE153" s="22"/>
      <c r="LXF153" s="22"/>
      <c r="LXG153" s="22"/>
      <c r="LXH153" s="22"/>
      <c r="LXI153" s="22"/>
      <c r="LXJ153" s="22"/>
      <c r="LXK153" s="22"/>
      <c r="LXL153" s="22"/>
      <c r="LXM153" s="22"/>
      <c r="LXN153" s="22"/>
      <c r="LXO153" s="22"/>
      <c r="LXP153" s="22"/>
      <c r="LXQ153" s="22"/>
      <c r="LXR153" s="22"/>
      <c r="LXS153" s="22"/>
      <c r="LXT153" s="22"/>
      <c r="LXU153" s="22"/>
      <c r="LXV153" s="22"/>
      <c r="LXW153" s="22"/>
      <c r="LXX153" s="22"/>
      <c r="LXY153" s="22"/>
      <c r="LXZ153" s="22"/>
      <c r="LYA153" s="22"/>
      <c r="LYB153" s="22"/>
      <c r="LYC153" s="22"/>
      <c r="LYD153" s="22"/>
      <c r="LYE153" s="22"/>
      <c r="LYF153" s="22"/>
      <c r="LYG153" s="22"/>
      <c r="LYH153" s="22"/>
      <c r="LYI153" s="22"/>
      <c r="LYJ153" s="22"/>
      <c r="LYK153" s="22"/>
      <c r="LYL153" s="22"/>
      <c r="LYM153" s="22"/>
      <c r="LYN153" s="22"/>
      <c r="LYO153" s="22"/>
      <c r="LYP153" s="22"/>
      <c r="LYQ153" s="22"/>
      <c r="LYR153" s="22"/>
      <c r="LYS153" s="22"/>
      <c r="LYT153" s="22"/>
      <c r="LYU153" s="22"/>
      <c r="LYV153" s="22"/>
      <c r="LYW153" s="22"/>
      <c r="LYX153" s="22"/>
      <c r="LYY153" s="22"/>
      <c r="LYZ153" s="22"/>
      <c r="LZA153" s="22"/>
      <c r="LZB153" s="22"/>
      <c r="LZC153" s="22"/>
      <c r="LZD153" s="22"/>
      <c r="LZE153" s="22"/>
      <c r="LZF153" s="22"/>
      <c r="LZG153" s="22"/>
      <c r="LZH153" s="22"/>
      <c r="LZI153" s="22"/>
      <c r="LZJ153" s="22"/>
      <c r="LZK153" s="22"/>
      <c r="LZL153" s="22"/>
      <c r="LZM153" s="22"/>
      <c r="LZN153" s="22"/>
      <c r="LZO153" s="22"/>
      <c r="LZP153" s="22"/>
      <c r="LZQ153" s="22"/>
      <c r="LZR153" s="22"/>
      <c r="LZS153" s="22"/>
      <c r="LZT153" s="22"/>
      <c r="LZU153" s="22"/>
      <c r="LZV153" s="22"/>
      <c r="LZW153" s="22"/>
      <c r="LZX153" s="22"/>
      <c r="LZY153" s="22"/>
      <c r="LZZ153" s="22"/>
      <c r="MAA153" s="22"/>
      <c r="MAB153" s="22"/>
      <c r="MAC153" s="22"/>
      <c r="MAD153" s="22"/>
      <c r="MAE153" s="22"/>
      <c r="MAF153" s="22"/>
      <c r="MAG153" s="22"/>
      <c r="MAH153" s="22"/>
      <c r="MAI153" s="22"/>
      <c r="MAJ153" s="22"/>
      <c r="MAK153" s="22"/>
      <c r="MAL153" s="22"/>
      <c r="MAM153" s="22"/>
      <c r="MAN153" s="22"/>
      <c r="MAO153" s="22"/>
      <c r="MAP153" s="22"/>
      <c r="MAQ153" s="22"/>
      <c r="MAR153" s="22"/>
      <c r="MAS153" s="22"/>
      <c r="MAT153" s="22"/>
      <c r="MAU153" s="22"/>
      <c r="MAV153" s="22"/>
      <c r="MAW153" s="22"/>
      <c r="MAX153" s="22"/>
      <c r="MAY153" s="22"/>
      <c r="MAZ153" s="22"/>
      <c r="MBA153" s="22"/>
      <c r="MBB153" s="22"/>
      <c r="MBC153" s="22"/>
      <c r="MBD153" s="22"/>
      <c r="MBE153" s="22"/>
      <c r="MBF153" s="22"/>
      <c r="MBG153" s="22"/>
      <c r="MBH153" s="22"/>
      <c r="MBI153" s="22"/>
      <c r="MBJ153" s="22"/>
      <c r="MBK153" s="22"/>
      <c r="MBL153" s="22"/>
      <c r="MBM153" s="22"/>
      <c r="MBN153" s="22"/>
      <c r="MBO153" s="22"/>
      <c r="MBP153" s="22"/>
      <c r="MBQ153" s="22"/>
      <c r="MBR153" s="22"/>
      <c r="MBS153" s="22"/>
      <c r="MBT153" s="22"/>
      <c r="MBU153" s="22"/>
      <c r="MBV153" s="22"/>
      <c r="MBW153" s="22"/>
      <c r="MBX153" s="22"/>
      <c r="MBY153" s="22"/>
      <c r="MBZ153" s="22"/>
      <c r="MCA153" s="22"/>
      <c r="MCB153" s="22"/>
      <c r="MCC153" s="22"/>
      <c r="MCD153" s="22"/>
      <c r="MCE153" s="22"/>
      <c r="MCF153" s="22"/>
      <c r="MCG153" s="22"/>
      <c r="MCH153" s="22"/>
      <c r="MCI153" s="22"/>
      <c r="MCJ153" s="22"/>
      <c r="MCK153" s="22"/>
      <c r="MCL153" s="22"/>
      <c r="MCM153" s="22"/>
      <c r="MCN153" s="22"/>
      <c r="MCO153" s="22"/>
      <c r="MCP153" s="22"/>
      <c r="MCQ153" s="22"/>
      <c r="MCR153" s="22"/>
      <c r="MCS153" s="22"/>
      <c r="MCT153" s="22"/>
      <c r="MCU153" s="22"/>
      <c r="MCV153" s="22"/>
      <c r="MCW153" s="22"/>
      <c r="MCX153" s="22"/>
      <c r="MCY153" s="22"/>
      <c r="MCZ153" s="22"/>
      <c r="MDA153" s="22"/>
      <c r="MDB153" s="22"/>
      <c r="MDC153" s="22"/>
      <c r="MDD153" s="22"/>
      <c r="MDE153" s="22"/>
      <c r="MDF153" s="22"/>
      <c r="MDG153" s="22"/>
      <c r="MDH153" s="22"/>
      <c r="MDI153" s="22"/>
      <c r="MDJ153" s="22"/>
      <c r="MDK153" s="22"/>
      <c r="MDL153" s="22"/>
      <c r="MDM153" s="22"/>
      <c r="MDN153" s="22"/>
      <c r="MDO153" s="22"/>
      <c r="MDP153" s="22"/>
      <c r="MDQ153" s="22"/>
      <c r="MDR153" s="22"/>
      <c r="MDS153" s="22"/>
      <c r="MDT153" s="22"/>
      <c r="MDU153" s="22"/>
      <c r="MDV153" s="22"/>
      <c r="MDW153" s="22"/>
      <c r="MDX153" s="22"/>
      <c r="MDY153" s="22"/>
      <c r="MDZ153" s="22"/>
      <c r="MEA153" s="22"/>
      <c r="MEB153" s="22"/>
      <c r="MEC153" s="22"/>
      <c r="MED153" s="22"/>
      <c r="MEE153" s="22"/>
      <c r="MEF153" s="22"/>
      <c r="MEG153" s="22"/>
      <c r="MEH153" s="22"/>
      <c r="MEI153" s="22"/>
      <c r="MEJ153" s="22"/>
      <c r="MEK153" s="22"/>
      <c r="MEL153" s="22"/>
      <c r="MEM153" s="22"/>
      <c r="MEN153" s="22"/>
      <c r="MEO153" s="22"/>
      <c r="MEP153" s="22"/>
      <c r="MEQ153" s="22"/>
      <c r="MER153" s="22"/>
      <c r="MES153" s="22"/>
      <c r="MET153" s="22"/>
      <c r="MEU153" s="22"/>
      <c r="MEV153" s="22"/>
      <c r="MEW153" s="22"/>
      <c r="MEX153" s="22"/>
      <c r="MEY153" s="22"/>
      <c r="MEZ153" s="22"/>
      <c r="MFA153" s="22"/>
      <c r="MFB153" s="22"/>
      <c r="MFC153" s="22"/>
      <c r="MFD153" s="22"/>
      <c r="MFE153" s="22"/>
      <c r="MFF153" s="22"/>
      <c r="MFG153" s="22"/>
      <c r="MFH153" s="22"/>
      <c r="MFI153" s="22"/>
      <c r="MFJ153" s="22"/>
      <c r="MFK153" s="22"/>
      <c r="MFL153" s="22"/>
      <c r="MFM153" s="22"/>
      <c r="MFN153" s="22"/>
      <c r="MFO153" s="22"/>
      <c r="MFP153" s="22"/>
      <c r="MFQ153" s="22"/>
      <c r="MFR153" s="22"/>
      <c r="MFS153" s="22"/>
      <c r="MFT153" s="22"/>
      <c r="MFU153" s="22"/>
      <c r="MFV153" s="22"/>
      <c r="MFW153" s="22"/>
      <c r="MFX153" s="22"/>
      <c r="MFY153" s="22"/>
      <c r="MFZ153" s="22"/>
      <c r="MGA153" s="22"/>
      <c r="MGB153" s="22"/>
      <c r="MGC153" s="22"/>
      <c r="MGD153" s="22"/>
      <c r="MGE153" s="22"/>
      <c r="MGF153" s="22"/>
      <c r="MGG153" s="22"/>
      <c r="MGH153" s="22"/>
      <c r="MGI153" s="22"/>
      <c r="MGJ153" s="22"/>
      <c r="MGK153" s="22"/>
      <c r="MGL153" s="22"/>
      <c r="MGM153" s="22"/>
      <c r="MGN153" s="22"/>
      <c r="MGO153" s="22"/>
      <c r="MGP153" s="22"/>
      <c r="MGQ153" s="22"/>
      <c r="MGR153" s="22"/>
      <c r="MGS153" s="22"/>
      <c r="MGT153" s="22"/>
      <c r="MGU153" s="22"/>
      <c r="MGV153" s="22"/>
      <c r="MGW153" s="22"/>
      <c r="MGX153" s="22"/>
      <c r="MGY153" s="22"/>
      <c r="MGZ153" s="22"/>
      <c r="MHA153" s="22"/>
      <c r="MHB153" s="22"/>
      <c r="MHC153" s="22"/>
      <c r="MHD153" s="22"/>
      <c r="MHE153" s="22"/>
      <c r="MHF153" s="22"/>
      <c r="MHG153" s="22"/>
      <c r="MHH153" s="22"/>
      <c r="MHI153" s="22"/>
      <c r="MHJ153" s="22"/>
      <c r="MHK153" s="22"/>
      <c r="MHL153" s="22"/>
      <c r="MHM153" s="22"/>
      <c r="MHN153" s="22"/>
      <c r="MHO153" s="22"/>
      <c r="MHP153" s="22"/>
      <c r="MHQ153" s="22"/>
      <c r="MHR153" s="22"/>
      <c r="MHS153" s="22"/>
      <c r="MHT153" s="22"/>
      <c r="MHU153" s="22"/>
      <c r="MHV153" s="22"/>
      <c r="MHW153" s="22"/>
      <c r="MHX153" s="22"/>
      <c r="MHY153" s="22"/>
      <c r="MHZ153" s="22"/>
      <c r="MIA153" s="22"/>
      <c r="MIB153" s="22"/>
      <c r="MIC153" s="22"/>
      <c r="MID153" s="22"/>
      <c r="MIE153" s="22"/>
      <c r="MIF153" s="22"/>
      <c r="MIG153" s="22"/>
      <c r="MIH153" s="22"/>
      <c r="MII153" s="22"/>
      <c r="MIJ153" s="22"/>
      <c r="MIK153" s="22"/>
      <c r="MIL153" s="22"/>
      <c r="MIM153" s="22"/>
      <c r="MIN153" s="22"/>
      <c r="MIO153" s="22"/>
      <c r="MIP153" s="22"/>
      <c r="MIQ153" s="22"/>
      <c r="MIR153" s="22"/>
      <c r="MIS153" s="22"/>
      <c r="MIT153" s="22"/>
      <c r="MIU153" s="22"/>
      <c r="MIV153" s="22"/>
      <c r="MIW153" s="22"/>
      <c r="MIX153" s="22"/>
      <c r="MIY153" s="22"/>
      <c r="MIZ153" s="22"/>
      <c r="MJA153" s="22"/>
      <c r="MJB153" s="22"/>
      <c r="MJC153" s="22"/>
      <c r="MJD153" s="22"/>
      <c r="MJE153" s="22"/>
      <c r="MJF153" s="22"/>
      <c r="MJG153" s="22"/>
      <c r="MJH153" s="22"/>
      <c r="MJI153" s="22"/>
      <c r="MJJ153" s="22"/>
      <c r="MJK153" s="22"/>
      <c r="MJL153" s="22"/>
      <c r="MJM153" s="22"/>
      <c r="MJN153" s="22"/>
      <c r="MJO153" s="22"/>
      <c r="MJP153" s="22"/>
      <c r="MJQ153" s="22"/>
      <c r="MJR153" s="22"/>
      <c r="MJS153" s="22"/>
      <c r="MJT153" s="22"/>
      <c r="MJU153" s="22"/>
      <c r="MJV153" s="22"/>
      <c r="MJW153" s="22"/>
      <c r="MJX153" s="22"/>
      <c r="MJY153" s="22"/>
      <c r="MJZ153" s="22"/>
      <c r="MKA153" s="22"/>
      <c r="MKB153" s="22"/>
      <c r="MKC153" s="22"/>
      <c r="MKD153" s="22"/>
      <c r="MKE153" s="22"/>
      <c r="MKF153" s="22"/>
      <c r="MKG153" s="22"/>
      <c r="MKH153" s="22"/>
      <c r="MKI153" s="22"/>
      <c r="MKJ153" s="22"/>
      <c r="MKK153" s="22"/>
      <c r="MKL153" s="22"/>
      <c r="MKM153" s="22"/>
      <c r="MKN153" s="22"/>
      <c r="MKO153" s="22"/>
      <c r="MKP153" s="22"/>
      <c r="MKQ153" s="22"/>
      <c r="MKR153" s="22"/>
      <c r="MKS153" s="22"/>
      <c r="MKT153" s="22"/>
      <c r="MKU153" s="22"/>
      <c r="MKV153" s="22"/>
      <c r="MKW153" s="22"/>
      <c r="MKX153" s="22"/>
      <c r="MKY153" s="22"/>
      <c r="MKZ153" s="22"/>
      <c r="MLA153" s="22"/>
      <c r="MLB153" s="22"/>
      <c r="MLC153" s="22"/>
      <c r="MLD153" s="22"/>
      <c r="MLE153" s="22"/>
      <c r="MLF153" s="22"/>
      <c r="MLG153" s="22"/>
      <c r="MLH153" s="22"/>
      <c r="MLI153" s="22"/>
      <c r="MLJ153" s="22"/>
      <c r="MLK153" s="22"/>
      <c r="MLL153" s="22"/>
      <c r="MLM153" s="22"/>
      <c r="MLN153" s="22"/>
      <c r="MLO153" s="22"/>
      <c r="MLP153" s="22"/>
      <c r="MLQ153" s="22"/>
      <c r="MLR153" s="22"/>
      <c r="MLS153" s="22"/>
      <c r="MLT153" s="22"/>
      <c r="MLU153" s="22"/>
      <c r="MLV153" s="22"/>
      <c r="MLW153" s="22"/>
      <c r="MLX153" s="22"/>
      <c r="MLY153" s="22"/>
      <c r="MLZ153" s="22"/>
      <c r="MMA153" s="22"/>
      <c r="MMB153" s="22"/>
      <c r="MMC153" s="22"/>
      <c r="MMD153" s="22"/>
      <c r="MME153" s="22"/>
      <c r="MMF153" s="22"/>
      <c r="MMG153" s="22"/>
      <c r="MMH153" s="22"/>
      <c r="MMI153" s="22"/>
      <c r="MMJ153" s="22"/>
      <c r="MMK153" s="22"/>
      <c r="MML153" s="22"/>
      <c r="MMM153" s="22"/>
      <c r="MMN153" s="22"/>
      <c r="MMO153" s="22"/>
      <c r="MMP153" s="22"/>
      <c r="MMQ153" s="22"/>
      <c r="MMR153" s="22"/>
      <c r="MMS153" s="22"/>
      <c r="MMT153" s="22"/>
      <c r="MMU153" s="22"/>
      <c r="MMV153" s="22"/>
      <c r="MMW153" s="22"/>
      <c r="MMX153" s="22"/>
      <c r="MMY153" s="22"/>
      <c r="MMZ153" s="22"/>
      <c r="MNA153" s="22"/>
      <c r="MNB153" s="22"/>
      <c r="MNC153" s="22"/>
      <c r="MND153" s="22"/>
      <c r="MNE153" s="22"/>
      <c r="MNF153" s="22"/>
      <c r="MNG153" s="22"/>
      <c r="MNH153" s="22"/>
      <c r="MNI153" s="22"/>
      <c r="MNJ153" s="22"/>
      <c r="MNK153" s="22"/>
      <c r="MNL153" s="22"/>
      <c r="MNM153" s="22"/>
      <c r="MNN153" s="22"/>
      <c r="MNO153" s="22"/>
      <c r="MNP153" s="22"/>
      <c r="MNQ153" s="22"/>
      <c r="MNR153" s="22"/>
      <c r="MNS153" s="22"/>
      <c r="MNT153" s="22"/>
      <c r="MNU153" s="22"/>
      <c r="MNV153" s="22"/>
      <c r="MNW153" s="22"/>
      <c r="MNX153" s="22"/>
      <c r="MNY153" s="22"/>
      <c r="MNZ153" s="22"/>
      <c r="MOA153" s="22"/>
      <c r="MOB153" s="22"/>
      <c r="MOC153" s="22"/>
      <c r="MOD153" s="22"/>
      <c r="MOE153" s="22"/>
      <c r="MOF153" s="22"/>
      <c r="MOG153" s="22"/>
      <c r="MOH153" s="22"/>
      <c r="MOI153" s="22"/>
      <c r="MOJ153" s="22"/>
      <c r="MOK153" s="22"/>
      <c r="MOL153" s="22"/>
      <c r="MOM153" s="22"/>
      <c r="MON153" s="22"/>
      <c r="MOO153" s="22"/>
      <c r="MOP153" s="22"/>
      <c r="MOQ153" s="22"/>
      <c r="MOR153" s="22"/>
      <c r="MOS153" s="22"/>
      <c r="MOT153" s="22"/>
      <c r="MOU153" s="22"/>
      <c r="MOV153" s="22"/>
      <c r="MOW153" s="22"/>
      <c r="MOX153" s="22"/>
      <c r="MOY153" s="22"/>
      <c r="MOZ153" s="22"/>
      <c r="MPA153" s="22"/>
      <c r="MPB153" s="22"/>
      <c r="MPC153" s="22"/>
      <c r="MPD153" s="22"/>
      <c r="MPE153" s="22"/>
      <c r="MPF153" s="22"/>
      <c r="MPG153" s="22"/>
      <c r="MPH153" s="22"/>
      <c r="MPI153" s="22"/>
      <c r="MPJ153" s="22"/>
      <c r="MPK153" s="22"/>
      <c r="MPL153" s="22"/>
      <c r="MPM153" s="22"/>
      <c r="MPN153" s="22"/>
      <c r="MPO153" s="22"/>
      <c r="MPP153" s="22"/>
      <c r="MPQ153" s="22"/>
      <c r="MPR153" s="22"/>
      <c r="MPS153" s="22"/>
      <c r="MPT153" s="22"/>
      <c r="MPU153" s="22"/>
      <c r="MPV153" s="22"/>
      <c r="MPW153" s="22"/>
      <c r="MPX153" s="22"/>
      <c r="MPY153" s="22"/>
      <c r="MPZ153" s="22"/>
      <c r="MQA153" s="22"/>
      <c r="MQB153" s="22"/>
      <c r="MQC153" s="22"/>
      <c r="MQD153" s="22"/>
      <c r="MQE153" s="22"/>
      <c r="MQF153" s="22"/>
      <c r="MQG153" s="22"/>
      <c r="MQH153" s="22"/>
      <c r="MQI153" s="22"/>
      <c r="MQJ153" s="22"/>
      <c r="MQK153" s="22"/>
      <c r="MQL153" s="22"/>
      <c r="MQM153" s="22"/>
      <c r="MQN153" s="22"/>
      <c r="MQO153" s="22"/>
      <c r="MQP153" s="22"/>
      <c r="MQQ153" s="22"/>
      <c r="MQR153" s="22"/>
      <c r="MQS153" s="22"/>
      <c r="MQT153" s="22"/>
      <c r="MQU153" s="22"/>
      <c r="MQV153" s="22"/>
      <c r="MQW153" s="22"/>
      <c r="MQX153" s="22"/>
      <c r="MQY153" s="22"/>
      <c r="MQZ153" s="22"/>
      <c r="MRA153" s="22"/>
      <c r="MRB153" s="22"/>
      <c r="MRC153" s="22"/>
      <c r="MRD153" s="22"/>
      <c r="MRE153" s="22"/>
      <c r="MRF153" s="22"/>
      <c r="MRG153" s="22"/>
      <c r="MRH153" s="22"/>
      <c r="MRI153" s="22"/>
      <c r="MRJ153" s="22"/>
      <c r="MRK153" s="22"/>
      <c r="MRL153" s="22"/>
      <c r="MRM153" s="22"/>
      <c r="MRN153" s="22"/>
      <c r="MRO153" s="22"/>
      <c r="MRP153" s="22"/>
      <c r="MRQ153" s="22"/>
      <c r="MRR153" s="22"/>
      <c r="MRS153" s="22"/>
      <c r="MRT153" s="22"/>
      <c r="MRU153" s="22"/>
      <c r="MRV153" s="22"/>
      <c r="MRW153" s="22"/>
      <c r="MRX153" s="22"/>
      <c r="MRY153" s="22"/>
      <c r="MRZ153" s="22"/>
      <c r="MSA153" s="22"/>
      <c r="MSB153" s="22"/>
      <c r="MSC153" s="22"/>
      <c r="MSD153" s="22"/>
      <c r="MSE153" s="22"/>
      <c r="MSF153" s="22"/>
      <c r="MSG153" s="22"/>
      <c r="MSH153" s="22"/>
      <c r="MSI153" s="22"/>
      <c r="MSJ153" s="22"/>
      <c r="MSK153" s="22"/>
      <c r="MSL153" s="22"/>
      <c r="MSM153" s="22"/>
      <c r="MSN153" s="22"/>
      <c r="MSO153" s="22"/>
      <c r="MSP153" s="22"/>
      <c r="MSQ153" s="22"/>
      <c r="MSR153" s="22"/>
      <c r="MSS153" s="22"/>
      <c r="MST153" s="22"/>
      <c r="MSU153" s="22"/>
      <c r="MSV153" s="22"/>
      <c r="MSW153" s="22"/>
      <c r="MSX153" s="22"/>
      <c r="MSY153" s="22"/>
      <c r="MSZ153" s="22"/>
      <c r="MTA153" s="22"/>
      <c r="MTB153" s="22"/>
      <c r="MTC153" s="22"/>
      <c r="MTD153" s="22"/>
      <c r="MTE153" s="22"/>
      <c r="MTF153" s="22"/>
      <c r="MTG153" s="22"/>
      <c r="MTH153" s="22"/>
      <c r="MTI153" s="22"/>
      <c r="MTJ153" s="22"/>
      <c r="MTK153" s="22"/>
      <c r="MTL153" s="22"/>
      <c r="MTM153" s="22"/>
      <c r="MTN153" s="22"/>
      <c r="MTO153" s="22"/>
      <c r="MTP153" s="22"/>
      <c r="MTQ153" s="22"/>
      <c r="MTR153" s="22"/>
      <c r="MTS153" s="22"/>
      <c r="MTT153" s="22"/>
      <c r="MTU153" s="22"/>
      <c r="MTV153" s="22"/>
      <c r="MTW153" s="22"/>
      <c r="MTX153" s="22"/>
      <c r="MTY153" s="22"/>
      <c r="MTZ153" s="22"/>
      <c r="MUA153" s="22"/>
      <c r="MUB153" s="22"/>
      <c r="MUC153" s="22"/>
      <c r="MUD153" s="22"/>
      <c r="MUE153" s="22"/>
      <c r="MUF153" s="22"/>
      <c r="MUG153" s="22"/>
      <c r="MUH153" s="22"/>
      <c r="MUI153" s="22"/>
      <c r="MUJ153" s="22"/>
      <c r="MUK153" s="22"/>
      <c r="MUL153" s="22"/>
      <c r="MUM153" s="22"/>
      <c r="MUN153" s="22"/>
      <c r="MUO153" s="22"/>
      <c r="MUP153" s="22"/>
      <c r="MUQ153" s="22"/>
      <c r="MUR153" s="22"/>
      <c r="MUS153" s="22"/>
      <c r="MUT153" s="22"/>
      <c r="MUU153" s="22"/>
      <c r="MUV153" s="22"/>
      <c r="MUW153" s="22"/>
      <c r="MUX153" s="22"/>
      <c r="MUY153" s="22"/>
      <c r="MUZ153" s="22"/>
      <c r="MVA153" s="22"/>
      <c r="MVB153" s="22"/>
      <c r="MVC153" s="22"/>
      <c r="MVD153" s="22"/>
      <c r="MVE153" s="22"/>
      <c r="MVF153" s="22"/>
      <c r="MVG153" s="22"/>
      <c r="MVH153" s="22"/>
      <c r="MVI153" s="22"/>
      <c r="MVJ153" s="22"/>
      <c r="MVK153" s="22"/>
      <c r="MVL153" s="22"/>
      <c r="MVM153" s="22"/>
      <c r="MVN153" s="22"/>
      <c r="MVO153" s="22"/>
      <c r="MVP153" s="22"/>
      <c r="MVQ153" s="22"/>
      <c r="MVR153" s="22"/>
      <c r="MVS153" s="22"/>
      <c r="MVT153" s="22"/>
      <c r="MVU153" s="22"/>
      <c r="MVV153" s="22"/>
      <c r="MVW153" s="22"/>
      <c r="MVX153" s="22"/>
      <c r="MVY153" s="22"/>
      <c r="MVZ153" s="22"/>
      <c r="MWA153" s="22"/>
      <c r="MWB153" s="22"/>
      <c r="MWC153" s="22"/>
      <c r="MWD153" s="22"/>
      <c r="MWE153" s="22"/>
      <c r="MWF153" s="22"/>
      <c r="MWG153" s="22"/>
      <c r="MWH153" s="22"/>
      <c r="MWI153" s="22"/>
      <c r="MWJ153" s="22"/>
      <c r="MWK153" s="22"/>
      <c r="MWL153" s="22"/>
      <c r="MWM153" s="22"/>
      <c r="MWN153" s="22"/>
      <c r="MWO153" s="22"/>
      <c r="MWP153" s="22"/>
      <c r="MWQ153" s="22"/>
      <c r="MWR153" s="22"/>
      <c r="MWS153" s="22"/>
      <c r="MWT153" s="22"/>
      <c r="MWU153" s="22"/>
      <c r="MWV153" s="22"/>
      <c r="MWW153" s="22"/>
      <c r="MWX153" s="22"/>
      <c r="MWY153" s="22"/>
      <c r="MWZ153" s="22"/>
      <c r="MXA153" s="22"/>
      <c r="MXB153" s="22"/>
      <c r="MXC153" s="22"/>
      <c r="MXD153" s="22"/>
      <c r="MXE153" s="22"/>
      <c r="MXF153" s="22"/>
      <c r="MXG153" s="22"/>
      <c r="MXH153" s="22"/>
      <c r="MXI153" s="22"/>
      <c r="MXJ153" s="22"/>
      <c r="MXK153" s="22"/>
      <c r="MXL153" s="22"/>
      <c r="MXM153" s="22"/>
      <c r="MXN153" s="22"/>
      <c r="MXO153" s="22"/>
      <c r="MXP153" s="22"/>
      <c r="MXQ153" s="22"/>
      <c r="MXR153" s="22"/>
      <c r="MXS153" s="22"/>
      <c r="MXT153" s="22"/>
      <c r="MXU153" s="22"/>
      <c r="MXV153" s="22"/>
      <c r="MXW153" s="22"/>
      <c r="MXX153" s="22"/>
      <c r="MXY153" s="22"/>
      <c r="MXZ153" s="22"/>
      <c r="MYA153" s="22"/>
      <c r="MYB153" s="22"/>
      <c r="MYC153" s="22"/>
      <c r="MYD153" s="22"/>
      <c r="MYE153" s="22"/>
      <c r="MYF153" s="22"/>
      <c r="MYG153" s="22"/>
      <c r="MYH153" s="22"/>
      <c r="MYI153" s="22"/>
      <c r="MYJ153" s="22"/>
      <c r="MYK153" s="22"/>
      <c r="MYL153" s="22"/>
      <c r="MYM153" s="22"/>
      <c r="MYN153" s="22"/>
      <c r="MYO153" s="22"/>
      <c r="MYP153" s="22"/>
      <c r="MYQ153" s="22"/>
      <c r="MYR153" s="22"/>
      <c r="MYS153" s="22"/>
      <c r="MYT153" s="22"/>
      <c r="MYU153" s="22"/>
      <c r="MYV153" s="22"/>
      <c r="MYW153" s="22"/>
      <c r="MYX153" s="22"/>
      <c r="MYY153" s="22"/>
      <c r="MYZ153" s="22"/>
      <c r="MZA153" s="22"/>
      <c r="MZB153" s="22"/>
      <c r="MZC153" s="22"/>
      <c r="MZD153" s="22"/>
      <c r="MZE153" s="22"/>
      <c r="MZF153" s="22"/>
      <c r="MZG153" s="22"/>
      <c r="MZH153" s="22"/>
      <c r="MZI153" s="22"/>
      <c r="MZJ153" s="22"/>
      <c r="MZK153" s="22"/>
      <c r="MZL153" s="22"/>
      <c r="MZM153" s="22"/>
      <c r="MZN153" s="22"/>
      <c r="MZO153" s="22"/>
      <c r="MZP153" s="22"/>
      <c r="MZQ153" s="22"/>
      <c r="MZR153" s="22"/>
      <c r="MZS153" s="22"/>
      <c r="MZT153" s="22"/>
      <c r="MZU153" s="22"/>
      <c r="MZV153" s="22"/>
      <c r="MZW153" s="22"/>
      <c r="MZX153" s="22"/>
      <c r="MZY153" s="22"/>
      <c r="MZZ153" s="22"/>
      <c r="NAA153" s="22"/>
      <c r="NAB153" s="22"/>
      <c r="NAC153" s="22"/>
      <c r="NAD153" s="22"/>
      <c r="NAE153" s="22"/>
      <c r="NAF153" s="22"/>
      <c r="NAG153" s="22"/>
      <c r="NAH153" s="22"/>
      <c r="NAI153" s="22"/>
      <c r="NAJ153" s="22"/>
      <c r="NAK153" s="22"/>
      <c r="NAL153" s="22"/>
      <c r="NAM153" s="22"/>
      <c r="NAN153" s="22"/>
      <c r="NAO153" s="22"/>
      <c r="NAP153" s="22"/>
      <c r="NAQ153" s="22"/>
      <c r="NAR153" s="22"/>
      <c r="NAS153" s="22"/>
      <c r="NAT153" s="22"/>
      <c r="NAU153" s="22"/>
      <c r="NAV153" s="22"/>
      <c r="NAW153" s="22"/>
      <c r="NAX153" s="22"/>
      <c r="NAY153" s="22"/>
      <c r="NAZ153" s="22"/>
      <c r="NBA153" s="22"/>
      <c r="NBB153" s="22"/>
      <c r="NBC153" s="22"/>
      <c r="NBD153" s="22"/>
      <c r="NBE153" s="22"/>
      <c r="NBF153" s="22"/>
      <c r="NBG153" s="22"/>
      <c r="NBH153" s="22"/>
      <c r="NBI153" s="22"/>
      <c r="NBJ153" s="22"/>
      <c r="NBK153" s="22"/>
      <c r="NBL153" s="22"/>
      <c r="NBM153" s="22"/>
      <c r="NBN153" s="22"/>
      <c r="NBO153" s="22"/>
      <c r="NBP153" s="22"/>
      <c r="NBQ153" s="22"/>
      <c r="NBR153" s="22"/>
      <c r="NBS153" s="22"/>
      <c r="NBT153" s="22"/>
      <c r="NBU153" s="22"/>
      <c r="NBV153" s="22"/>
      <c r="NBW153" s="22"/>
      <c r="NBX153" s="22"/>
      <c r="NBY153" s="22"/>
      <c r="NBZ153" s="22"/>
      <c r="NCA153" s="22"/>
      <c r="NCB153" s="22"/>
      <c r="NCC153" s="22"/>
      <c r="NCD153" s="22"/>
      <c r="NCE153" s="22"/>
      <c r="NCF153" s="22"/>
      <c r="NCG153" s="22"/>
      <c r="NCH153" s="22"/>
      <c r="NCI153" s="22"/>
      <c r="NCJ153" s="22"/>
      <c r="NCK153" s="22"/>
      <c r="NCL153" s="22"/>
      <c r="NCM153" s="22"/>
      <c r="NCN153" s="22"/>
      <c r="NCO153" s="22"/>
      <c r="NCP153" s="22"/>
      <c r="NCQ153" s="22"/>
      <c r="NCR153" s="22"/>
      <c r="NCS153" s="22"/>
      <c r="NCT153" s="22"/>
      <c r="NCU153" s="22"/>
      <c r="NCV153" s="22"/>
      <c r="NCW153" s="22"/>
      <c r="NCX153" s="22"/>
      <c r="NCY153" s="22"/>
      <c r="NCZ153" s="22"/>
      <c r="NDA153" s="22"/>
      <c r="NDB153" s="22"/>
      <c r="NDC153" s="22"/>
      <c r="NDD153" s="22"/>
      <c r="NDE153" s="22"/>
      <c r="NDF153" s="22"/>
      <c r="NDG153" s="22"/>
      <c r="NDH153" s="22"/>
      <c r="NDI153" s="22"/>
      <c r="NDJ153" s="22"/>
      <c r="NDK153" s="22"/>
      <c r="NDL153" s="22"/>
      <c r="NDM153" s="22"/>
      <c r="NDN153" s="22"/>
      <c r="NDO153" s="22"/>
      <c r="NDP153" s="22"/>
      <c r="NDQ153" s="22"/>
      <c r="NDR153" s="22"/>
      <c r="NDS153" s="22"/>
      <c r="NDT153" s="22"/>
      <c r="NDU153" s="22"/>
      <c r="NDV153" s="22"/>
      <c r="NDW153" s="22"/>
      <c r="NDX153" s="22"/>
      <c r="NDY153" s="22"/>
      <c r="NDZ153" s="22"/>
      <c r="NEA153" s="22"/>
      <c r="NEB153" s="22"/>
      <c r="NEC153" s="22"/>
      <c r="NED153" s="22"/>
      <c r="NEE153" s="22"/>
      <c r="NEF153" s="22"/>
      <c r="NEG153" s="22"/>
      <c r="NEH153" s="22"/>
      <c r="NEI153" s="22"/>
      <c r="NEJ153" s="22"/>
      <c r="NEK153" s="22"/>
      <c r="NEL153" s="22"/>
      <c r="NEM153" s="22"/>
      <c r="NEN153" s="22"/>
      <c r="NEO153" s="22"/>
      <c r="NEP153" s="22"/>
      <c r="NEQ153" s="22"/>
      <c r="NER153" s="22"/>
      <c r="NES153" s="22"/>
      <c r="NET153" s="22"/>
      <c r="NEU153" s="22"/>
      <c r="NEV153" s="22"/>
      <c r="NEW153" s="22"/>
      <c r="NEX153" s="22"/>
      <c r="NEY153" s="22"/>
      <c r="NEZ153" s="22"/>
      <c r="NFA153" s="22"/>
      <c r="NFB153" s="22"/>
      <c r="NFC153" s="22"/>
      <c r="NFD153" s="22"/>
      <c r="NFE153" s="22"/>
      <c r="NFF153" s="22"/>
      <c r="NFG153" s="22"/>
      <c r="NFH153" s="22"/>
      <c r="NFI153" s="22"/>
      <c r="NFJ153" s="22"/>
      <c r="NFK153" s="22"/>
      <c r="NFL153" s="22"/>
      <c r="NFM153" s="22"/>
      <c r="NFN153" s="22"/>
      <c r="NFO153" s="22"/>
      <c r="NFP153" s="22"/>
      <c r="NFQ153" s="22"/>
      <c r="NFR153" s="22"/>
      <c r="NFS153" s="22"/>
      <c r="NFT153" s="22"/>
      <c r="NFU153" s="22"/>
      <c r="NFV153" s="22"/>
      <c r="NFW153" s="22"/>
      <c r="NFX153" s="22"/>
      <c r="NFY153" s="22"/>
      <c r="NFZ153" s="22"/>
      <c r="NGA153" s="22"/>
      <c r="NGB153" s="22"/>
      <c r="NGC153" s="22"/>
      <c r="NGD153" s="22"/>
      <c r="NGE153" s="22"/>
      <c r="NGF153" s="22"/>
      <c r="NGG153" s="22"/>
      <c r="NGH153" s="22"/>
      <c r="NGI153" s="22"/>
      <c r="NGJ153" s="22"/>
      <c r="NGK153" s="22"/>
      <c r="NGL153" s="22"/>
      <c r="NGM153" s="22"/>
      <c r="NGN153" s="22"/>
      <c r="NGO153" s="22"/>
      <c r="NGP153" s="22"/>
      <c r="NGQ153" s="22"/>
      <c r="NGR153" s="22"/>
      <c r="NGS153" s="22"/>
      <c r="NGT153" s="22"/>
      <c r="NGU153" s="22"/>
      <c r="NGV153" s="22"/>
      <c r="NGW153" s="22"/>
      <c r="NGX153" s="22"/>
      <c r="NGY153" s="22"/>
      <c r="NGZ153" s="22"/>
      <c r="NHA153" s="22"/>
      <c r="NHB153" s="22"/>
      <c r="NHC153" s="22"/>
      <c r="NHD153" s="22"/>
      <c r="NHE153" s="22"/>
      <c r="NHF153" s="22"/>
      <c r="NHG153" s="22"/>
      <c r="NHH153" s="22"/>
      <c r="NHI153" s="22"/>
      <c r="NHJ153" s="22"/>
      <c r="NHK153" s="22"/>
      <c r="NHL153" s="22"/>
      <c r="NHM153" s="22"/>
      <c r="NHN153" s="22"/>
      <c r="NHO153" s="22"/>
      <c r="NHP153" s="22"/>
      <c r="NHQ153" s="22"/>
      <c r="NHR153" s="22"/>
      <c r="NHS153" s="22"/>
      <c r="NHT153" s="22"/>
      <c r="NHU153" s="22"/>
      <c r="NHV153" s="22"/>
      <c r="NHW153" s="22"/>
      <c r="NHX153" s="22"/>
      <c r="NHY153" s="22"/>
      <c r="NHZ153" s="22"/>
      <c r="NIA153" s="22"/>
      <c r="NIB153" s="22"/>
      <c r="NIC153" s="22"/>
      <c r="NID153" s="22"/>
      <c r="NIE153" s="22"/>
      <c r="NIF153" s="22"/>
      <c r="NIG153" s="22"/>
      <c r="NIH153" s="22"/>
      <c r="NII153" s="22"/>
      <c r="NIJ153" s="22"/>
      <c r="NIK153" s="22"/>
      <c r="NIL153" s="22"/>
      <c r="NIM153" s="22"/>
      <c r="NIN153" s="22"/>
      <c r="NIO153" s="22"/>
      <c r="NIP153" s="22"/>
      <c r="NIQ153" s="22"/>
      <c r="NIR153" s="22"/>
      <c r="NIS153" s="22"/>
      <c r="NIT153" s="22"/>
      <c r="NIU153" s="22"/>
      <c r="NIV153" s="22"/>
      <c r="NIW153" s="22"/>
      <c r="NIX153" s="22"/>
      <c r="NIY153" s="22"/>
      <c r="NIZ153" s="22"/>
      <c r="NJA153" s="22"/>
      <c r="NJB153" s="22"/>
      <c r="NJC153" s="22"/>
      <c r="NJD153" s="22"/>
      <c r="NJE153" s="22"/>
      <c r="NJF153" s="22"/>
      <c r="NJG153" s="22"/>
      <c r="NJH153" s="22"/>
      <c r="NJI153" s="22"/>
      <c r="NJJ153" s="22"/>
      <c r="NJK153" s="22"/>
      <c r="NJL153" s="22"/>
      <c r="NJM153" s="22"/>
      <c r="NJN153" s="22"/>
      <c r="NJO153" s="22"/>
      <c r="NJP153" s="22"/>
      <c r="NJQ153" s="22"/>
      <c r="NJR153" s="22"/>
      <c r="NJS153" s="22"/>
      <c r="NJT153" s="22"/>
      <c r="NJU153" s="22"/>
      <c r="NJV153" s="22"/>
      <c r="NJW153" s="22"/>
      <c r="NJX153" s="22"/>
      <c r="NJY153" s="22"/>
      <c r="NJZ153" s="22"/>
      <c r="NKA153" s="22"/>
      <c r="NKB153" s="22"/>
      <c r="NKC153" s="22"/>
      <c r="NKD153" s="22"/>
      <c r="NKE153" s="22"/>
      <c r="NKF153" s="22"/>
      <c r="NKG153" s="22"/>
      <c r="NKH153" s="22"/>
      <c r="NKI153" s="22"/>
      <c r="NKJ153" s="22"/>
      <c r="NKK153" s="22"/>
      <c r="NKL153" s="22"/>
      <c r="NKM153" s="22"/>
      <c r="NKN153" s="22"/>
      <c r="NKO153" s="22"/>
      <c r="NKP153" s="22"/>
      <c r="NKQ153" s="22"/>
      <c r="NKR153" s="22"/>
      <c r="NKS153" s="22"/>
      <c r="NKT153" s="22"/>
      <c r="NKU153" s="22"/>
      <c r="NKV153" s="22"/>
      <c r="NKW153" s="22"/>
      <c r="NKX153" s="22"/>
      <c r="NKY153" s="22"/>
      <c r="NKZ153" s="22"/>
      <c r="NLA153" s="22"/>
      <c r="NLB153" s="22"/>
      <c r="NLC153" s="22"/>
      <c r="NLD153" s="22"/>
      <c r="NLE153" s="22"/>
      <c r="NLF153" s="22"/>
      <c r="NLG153" s="22"/>
      <c r="NLH153" s="22"/>
      <c r="NLI153" s="22"/>
      <c r="NLJ153" s="22"/>
      <c r="NLK153" s="22"/>
      <c r="NLL153" s="22"/>
      <c r="NLM153" s="22"/>
      <c r="NLN153" s="22"/>
      <c r="NLO153" s="22"/>
      <c r="NLP153" s="22"/>
      <c r="NLQ153" s="22"/>
      <c r="NLR153" s="22"/>
      <c r="NLS153" s="22"/>
      <c r="NLT153" s="22"/>
      <c r="NLU153" s="22"/>
      <c r="NLV153" s="22"/>
      <c r="NLW153" s="22"/>
      <c r="NLX153" s="22"/>
      <c r="NLY153" s="22"/>
      <c r="NLZ153" s="22"/>
      <c r="NMA153" s="22"/>
      <c r="NMB153" s="22"/>
      <c r="NMC153" s="22"/>
      <c r="NMD153" s="22"/>
      <c r="NME153" s="22"/>
      <c r="NMF153" s="22"/>
      <c r="NMG153" s="22"/>
      <c r="NMH153" s="22"/>
      <c r="NMI153" s="22"/>
      <c r="NMJ153" s="22"/>
      <c r="NMK153" s="22"/>
      <c r="NML153" s="22"/>
      <c r="NMM153" s="22"/>
      <c r="NMN153" s="22"/>
      <c r="NMO153" s="22"/>
      <c r="NMP153" s="22"/>
      <c r="NMQ153" s="22"/>
      <c r="NMR153" s="22"/>
      <c r="NMS153" s="22"/>
      <c r="NMT153" s="22"/>
      <c r="NMU153" s="22"/>
      <c r="NMV153" s="22"/>
      <c r="NMW153" s="22"/>
      <c r="NMX153" s="22"/>
      <c r="NMY153" s="22"/>
      <c r="NMZ153" s="22"/>
      <c r="NNA153" s="22"/>
      <c r="NNB153" s="22"/>
      <c r="NNC153" s="22"/>
      <c r="NND153" s="22"/>
      <c r="NNE153" s="22"/>
      <c r="NNF153" s="22"/>
      <c r="NNG153" s="22"/>
      <c r="NNH153" s="22"/>
      <c r="NNI153" s="22"/>
      <c r="NNJ153" s="22"/>
      <c r="NNK153" s="22"/>
      <c r="NNL153" s="22"/>
      <c r="NNM153" s="22"/>
      <c r="NNN153" s="22"/>
      <c r="NNO153" s="22"/>
      <c r="NNP153" s="22"/>
      <c r="NNQ153" s="22"/>
      <c r="NNR153" s="22"/>
      <c r="NNS153" s="22"/>
      <c r="NNT153" s="22"/>
      <c r="NNU153" s="22"/>
      <c r="NNV153" s="22"/>
      <c r="NNW153" s="22"/>
      <c r="NNX153" s="22"/>
      <c r="NNY153" s="22"/>
      <c r="NNZ153" s="22"/>
      <c r="NOA153" s="22"/>
      <c r="NOB153" s="22"/>
      <c r="NOC153" s="22"/>
      <c r="NOD153" s="22"/>
      <c r="NOE153" s="22"/>
      <c r="NOF153" s="22"/>
      <c r="NOG153" s="22"/>
      <c r="NOH153" s="22"/>
      <c r="NOI153" s="22"/>
      <c r="NOJ153" s="22"/>
      <c r="NOK153" s="22"/>
      <c r="NOL153" s="22"/>
      <c r="NOM153" s="22"/>
      <c r="NON153" s="22"/>
      <c r="NOO153" s="22"/>
      <c r="NOP153" s="22"/>
      <c r="NOQ153" s="22"/>
      <c r="NOR153" s="22"/>
      <c r="NOS153" s="22"/>
      <c r="NOT153" s="22"/>
      <c r="NOU153" s="22"/>
      <c r="NOV153" s="22"/>
      <c r="NOW153" s="22"/>
      <c r="NOX153" s="22"/>
      <c r="NOY153" s="22"/>
      <c r="NOZ153" s="22"/>
      <c r="NPA153" s="22"/>
      <c r="NPB153" s="22"/>
      <c r="NPC153" s="22"/>
      <c r="NPD153" s="22"/>
      <c r="NPE153" s="22"/>
      <c r="NPF153" s="22"/>
      <c r="NPG153" s="22"/>
      <c r="NPH153" s="22"/>
      <c r="NPI153" s="22"/>
      <c r="NPJ153" s="22"/>
      <c r="NPK153" s="22"/>
      <c r="NPL153" s="22"/>
      <c r="NPM153" s="22"/>
      <c r="NPN153" s="22"/>
      <c r="NPO153" s="22"/>
      <c r="NPP153" s="22"/>
      <c r="NPQ153" s="22"/>
      <c r="NPR153" s="22"/>
      <c r="NPS153" s="22"/>
      <c r="NPT153" s="22"/>
      <c r="NPU153" s="22"/>
      <c r="NPV153" s="22"/>
      <c r="NPW153" s="22"/>
      <c r="NPX153" s="22"/>
      <c r="NPY153" s="22"/>
      <c r="NPZ153" s="22"/>
      <c r="NQA153" s="22"/>
      <c r="NQB153" s="22"/>
      <c r="NQC153" s="22"/>
      <c r="NQD153" s="22"/>
      <c r="NQE153" s="22"/>
      <c r="NQF153" s="22"/>
      <c r="NQG153" s="22"/>
      <c r="NQH153" s="22"/>
      <c r="NQI153" s="22"/>
      <c r="NQJ153" s="22"/>
      <c r="NQK153" s="22"/>
      <c r="NQL153" s="22"/>
      <c r="NQM153" s="22"/>
      <c r="NQN153" s="22"/>
      <c r="NQO153" s="22"/>
      <c r="NQP153" s="22"/>
      <c r="NQQ153" s="22"/>
      <c r="NQR153" s="22"/>
      <c r="NQS153" s="22"/>
      <c r="NQT153" s="22"/>
      <c r="NQU153" s="22"/>
      <c r="NQV153" s="22"/>
      <c r="NQW153" s="22"/>
      <c r="NQX153" s="22"/>
      <c r="NQY153" s="22"/>
      <c r="NQZ153" s="22"/>
      <c r="NRA153" s="22"/>
      <c r="NRB153" s="22"/>
      <c r="NRC153" s="22"/>
      <c r="NRD153" s="22"/>
      <c r="NRE153" s="22"/>
      <c r="NRF153" s="22"/>
      <c r="NRG153" s="22"/>
      <c r="NRH153" s="22"/>
      <c r="NRI153" s="22"/>
      <c r="NRJ153" s="22"/>
      <c r="NRK153" s="22"/>
      <c r="NRL153" s="22"/>
      <c r="NRM153" s="22"/>
      <c r="NRN153" s="22"/>
      <c r="NRO153" s="22"/>
      <c r="NRP153" s="22"/>
      <c r="NRQ153" s="22"/>
      <c r="NRR153" s="22"/>
      <c r="NRS153" s="22"/>
      <c r="NRT153" s="22"/>
      <c r="NRU153" s="22"/>
      <c r="NRV153" s="22"/>
      <c r="NRW153" s="22"/>
      <c r="NRX153" s="22"/>
      <c r="NRY153" s="22"/>
      <c r="NRZ153" s="22"/>
      <c r="NSA153" s="22"/>
      <c r="NSB153" s="22"/>
      <c r="NSC153" s="22"/>
      <c r="NSD153" s="22"/>
      <c r="NSE153" s="22"/>
      <c r="NSF153" s="22"/>
      <c r="NSG153" s="22"/>
      <c r="NSH153" s="22"/>
      <c r="NSI153" s="22"/>
      <c r="NSJ153" s="22"/>
      <c r="NSK153" s="22"/>
      <c r="NSL153" s="22"/>
      <c r="NSM153" s="22"/>
      <c r="NSN153" s="22"/>
      <c r="NSO153" s="22"/>
      <c r="NSP153" s="22"/>
      <c r="NSQ153" s="22"/>
      <c r="NSR153" s="22"/>
      <c r="NSS153" s="22"/>
      <c r="NST153" s="22"/>
      <c r="NSU153" s="22"/>
      <c r="NSV153" s="22"/>
      <c r="NSW153" s="22"/>
      <c r="NSX153" s="22"/>
      <c r="NSY153" s="22"/>
      <c r="NSZ153" s="22"/>
      <c r="NTA153" s="22"/>
      <c r="NTB153" s="22"/>
      <c r="NTC153" s="22"/>
      <c r="NTD153" s="22"/>
      <c r="NTE153" s="22"/>
      <c r="NTF153" s="22"/>
      <c r="NTG153" s="22"/>
      <c r="NTH153" s="22"/>
      <c r="NTI153" s="22"/>
      <c r="NTJ153" s="22"/>
      <c r="NTK153" s="22"/>
      <c r="NTL153" s="22"/>
      <c r="NTM153" s="22"/>
      <c r="NTN153" s="22"/>
      <c r="NTO153" s="22"/>
      <c r="NTP153" s="22"/>
      <c r="NTQ153" s="22"/>
      <c r="NTR153" s="22"/>
      <c r="NTS153" s="22"/>
      <c r="NTT153" s="22"/>
      <c r="NTU153" s="22"/>
      <c r="NTV153" s="22"/>
      <c r="NTW153" s="22"/>
      <c r="NTX153" s="22"/>
      <c r="NTY153" s="22"/>
      <c r="NTZ153" s="22"/>
      <c r="NUA153" s="22"/>
      <c r="NUB153" s="22"/>
      <c r="NUC153" s="22"/>
      <c r="NUD153" s="22"/>
      <c r="NUE153" s="22"/>
      <c r="NUF153" s="22"/>
      <c r="NUG153" s="22"/>
      <c r="NUH153" s="22"/>
      <c r="NUI153" s="22"/>
      <c r="NUJ153" s="22"/>
      <c r="NUK153" s="22"/>
      <c r="NUL153" s="22"/>
      <c r="NUM153" s="22"/>
      <c r="NUN153" s="22"/>
      <c r="NUO153" s="22"/>
      <c r="NUP153" s="22"/>
      <c r="NUQ153" s="22"/>
      <c r="NUR153" s="22"/>
      <c r="NUS153" s="22"/>
      <c r="NUT153" s="22"/>
      <c r="NUU153" s="22"/>
      <c r="NUV153" s="22"/>
      <c r="NUW153" s="22"/>
      <c r="NUX153" s="22"/>
      <c r="NUY153" s="22"/>
      <c r="NUZ153" s="22"/>
      <c r="NVA153" s="22"/>
      <c r="NVB153" s="22"/>
      <c r="NVC153" s="22"/>
      <c r="NVD153" s="22"/>
      <c r="NVE153" s="22"/>
      <c r="NVF153" s="22"/>
      <c r="NVG153" s="22"/>
      <c r="NVH153" s="22"/>
      <c r="NVI153" s="22"/>
      <c r="NVJ153" s="22"/>
      <c r="NVK153" s="22"/>
      <c r="NVL153" s="22"/>
      <c r="NVM153" s="22"/>
      <c r="NVN153" s="22"/>
      <c r="NVO153" s="22"/>
      <c r="NVP153" s="22"/>
      <c r="NVQ153" s="22"/>
      <c r="NVR153" s="22"/>
      <c r="NVS153" s="22"/>
      <c r="NVT153" s="22"/>
      <c r="NVU153" s="22"/>
      <c r="NVV153" s="22"/>
      <c r="NVW153" s="22"/>
      <c r="NVX153" s="22"/>
      <c r="NVY153" s="22"/>
      <c r="NVZ153" s="22"/>
      <c r="NWA153" s="22"/>
      <c r="NWB153" s="22"/>
      <c r="NWC153" s="22"/>
      <c r="NWD153" s="22"/>
      <c r="NWE153" s="22"/>
      <c r="NWF153" s="22"/>
      <c r="NWG153" s="22"/>
      <c r="NWH153" s="22"/>
      <c r="NWI153" s="22"/>
      <c r="NWJ153" s="22"/>
      <c r="NWK153" s="22"/>
      <c r="NWL153" s="22"/>
      <c r="NWM153" s="22"/>
      <c r="NWN153" s="22"/>
      <c r="NWO153" s="22"/>
      <c r="NWP153" s="22"/>
      <c r="NWQ153" s="22"/>
      <c r="NWR153" s="22"/>
      <c r="NWS153" s="22"/>
      <c r="NWT153" s="22"/>
      <c r="NWU153" s="22"/>
      <c r="NWV153" s="22"/>
      <c r="NWW153" s="22"/>
      <c r="NWX153" s="22"/>
      <c r="NWY153" s="22"/>
      <c r="NWZ153" s="22"/>
      <c r="NXA153" s="22"/>
      <c r="NXB153" s="22"/>
      <c r="NXC153" s="22"/>
      <c r="NXD153" s="22"/>
      <c r="NXE153" s="22"/>
      <c r="NXF153" s="22"/>
      <c r="NXG153" s="22"/>
      <c r="NXH153" s="22"/>
      <c r="NXI153" s="22"/>
      <c r="NXJ153" s="22"/>
      <c r="NXK153" s="22"/>
      <c r="NXL153" s="22"/>
      <c r="NXM153" s="22"/>
      <c r="NXN153" s="22"/>
      <c r="NXO153" s="22"/>
      <c r="NXP153" s="22"/>
      <c r="NXQ153" s="22"/>
      <c r="NXR153" s="22"/>
      <c r="NXS153" s="22"/>
      <c r="NXT153" s="22"/>
      <c r="NXU153" s="22"/>
      <c r="NXV153" s="22"/>
      <c r="NXW153" s="22"/>
      <c r="NXX153" s="22"/>
      <c r="NXY153" s="22"/>
      <c r="NXZ153" s="22"/>
      <c r="NYA153" s="22"/>
      <c r="NYB153" s="22"/>
      <c r="NYC153" s="22"/>
      <c r="NYD153" s="22"/>
      <c r="NYE153" s="22"/>
      <c r="NYF153" s="22"/>
      <c r="NYG153" s="22"/>
      <c r="NYH153" s="22"/>
      <c r="NYI153" s="22"/>
      <c r="NYJ153" s="22"/>
      <c r="NYK153" s="22"/>
      <c r="NYL153" s="22"/>
      <c r="NYM153" s="22"/>
      <c r="NYN153" s="22"/>
      <c r="NYO153" s="22"/>
      <c r="NYP153" s="22"/>
      <c r="NYQ153" s="22"/>
      <c r="NYR153" s="22"/>
      <c r="NYS153" s="22"/>
      <c r="NYT153" s="22"/>
      <c r="NYU153" s="22"/>
      <c r="NYV153" s="22"/>
      <c r="NYW153" s="22"/>
      <c r="NYX153" s="22"/>
      <c r="NYY153" s="22"/>
      <c r="NYZ153" s="22"/>
      <c r="NZA153" s="22"/>
      <c r="NZB153" s="22"/>
      <c r="NZC153" s="22"/>
      <c r="NZD153" s="22"/>
      <c r="NZE153" s="22"/>
      <c r="NZF153" s="22"/>
      <c r="NZG153" s="22"/>
      <c r="NZH153" s="22"/>
      <c r="NZI153" s="22"/>
      <c r="NZJ153" s="22"/>
      <c r="NZK153" s="22"/>
      <c r="NZL153" s="22"/>
      <c r="NZM153" s="22"/>
      <c r="NZN153" s="22"/>
      <c r="NZO153" s="22"/>
      <c r="NZP153" s="22"/>
      <c r="NZQ153" s="22"/>
      <c r="NZR153" s="22"/>
      <c r="NZS153" s="22"/>
      <c r="NZT153" s="22"/>
      <c r="NZU153" s="22"/>
      <c r="NZV153" s="22"/>
      <c r="NZW153" s="22"/>
      <c r="NZX153" s="22"/>
      <c r="NZY153" s="22"/>
      <c r="NZZ153" s="22"/>
      <c r="OAA153" s="22"/>
      <c r="OAB153" s="22"/>
      <c r="OAC153" s="22"/>
      <c r="OAD153" s="22"/>
      <c r="OAE153" s="22"/>
      <c r="OAF153" s="22"/>
      <c r="OAG153" s="22"/>
      <c r="OAH153" s="22"/>
      <c r="OAI153" s="22"/>
      <c r="OAJ153" s="22"/>
      <c r="OAK153" s="22"/>
      <c r="OAL153" s="22"/>
      <c r="OAM153" s="22"/>
      <c r="OAN153" s="22"/>
      <c r="OAO153" s="22"/>
      <c r="OAP153" s="22"/>
      <c r="OAQ153" s="22"/>
      <c r="OAR153" s="22"/>
      <c r="OAS153" s="22"/>
      <c r="OAT153" s="22"/>
      <c r="OAU153" s="22"/>
      <c r="OAV153" s="22"/>
      <c r="OAW153" s="22"/>
      <c r="OAX153" s="22"/>
      <c r="OAY153" s="22"/>
      <c r="OAZ153" s="22"/>
      <c r="OBA153" s="22"/>
      <c r="OBB153" s="22"/>
      <c r="OBC153" s="22"/>
      <c r="OBD153" s="22"/>
      <c r="OBE153" s="22"/>
      <c r="OBF153" s="22"/>
      <c r="OBG153" s="22"/>
      <c r="OBH153" s="22"/>
      <c r="OBI153" s="22"/>
      <c r="OBJ153" s="22"/>
      <c r="OBK153" s="22"/>
      <c r="OBL153" s="22"/>
      <c r="OBM153" s="22"/>
      <c r="OBN153" s="22"/>
      <c r="OBO153" s="22"/>
      <c r="OBP153" s="22"/>
      <c r="OBQ153" s="22"/>
      <c r="OBR153" s="22"/>
      <c r="OBS153" s="22"/>
      <c r="OBT153" s="22"/>
      <c r="OBU153" s="22"/>
      <c r="OBV153" s="22"/>
      <c r="OBW153" s="22"/>
      <c r="OBX153" s="22"/>
      <c r="OBY153" s="22"/>
      <c r="OBZ153" s="22"/>
      <c r="OCA153" s="22"/>
      <c r="OCB153" s="22"/>
      <c r="OCC153" s="22"/>
      <c r="OCD153" s="22"/>
      <c r="OCE153" s="22"/>
      <c r="OCF153" s="22"/>
      <c r="OCG153" s="22"/>
      <c r="OCH153" s="22"/>
      <c r="OCI153" s="22"/>
      <c r="OCJ153" s="22"/>
      <c r="OCK153" s="22"/>
      <c r="OCL153" s="22"/>
      <c r="OCM153" s="22"/>
      <c r="OCN153" s="22"/>
      <c r="OCO153" s="22"/>
      <c r="OCP153" s="22"/>
      <c r="OCQ153" s="22"/>
      <c r="OCR153" s="22"/>
      <c r="OCS153" s="22"/>
      <c r="OCT153" s="22"/>
      <c r="OCU153" s="22"/>
      <c r="OCV153" s="22"/>
      <c r="OCW153" s="22"/>
      <c r="OCX153" s="22"/>
      <c r="OCY153" s="22"/>
      <c r="OCZ153" s="22"/>
      <c r="ODA153" s="22"/>
      <c r="ODB153" s="22"/>
      <c r="ODC153" s="22"/>
      <c r="ODD153" s="22"/>
      <c r="ODE153" s="22"/>
      <c r="ODF153" s="22"/>
      <c r="ODG153" s="22"/>
      <c r="ODH153" s="22"/>
      <c r="ODI153" s="22"/>
      <c r="ODJ153" s="22"/>
      <c r="ODK153" s="22"/>
      <c r="ODL153" s="22"/>
      <c r="ODM153" s="22"/>
      <c r="ODN153" s="22"/>
      <c r="ODO153" s="22"/>
      <c r="ODP153" s="22"/>
      <c r="ODQ153" s="22"/>
      <c r="ODR153" s="22"/>
      <c r="ODS153" s="22"/>
      <c r="ODT153" s="22"/>
      <c r="ODU153" s="22"/>
      <c r="ODV153" s="22"/>
      <c r="ODW153" s="22"/>
      <c r="ODX153" s="22"/>
      <c r="ODY153" s="22"/>
      <c r="ODZ153" s="22"/>
      <c r="OEA153" s="22"/>
      <c r="OEB153" s="22"/>
      <c r="OEC153" s="22"/>
      <c r="OED153" s="22"/>
      <c r="OEE153" s="22"/>
      <c r="OEF153" s="22"/>
      <c r="OEG153" s="22"/>
      <c r="OEH153" s="22"/>
      <c r="OEI153" s="22"/>
      <c r="OEJ153" s="22"/>
      <c r="OEK153" s="22"/>
      <c r="OEL153" s="22"/>
      <c r="OEM153" s="22"/>
      <c r="OEN153" s="22"/>
      <c r="OEO153" s="22"/>
      <c r="OEP153" s="22"/>
      <c r="OEQ153" s="22"/>
      <c r="OER153" s="22"/>
      <c r="OES153" s="22"/>
      <c r="OET153" s="22"/>
      <c r="OEU153" s="22"/>
      <c r="OEV153" s="22"/>
      <c r="OEW153" s="22"/>
      <c r="OEX153" s="22"/>
      <c r="OEY153" s="22"/>
      <c r="OEZ153" s="22"/>
      <c r="OFA153" s="22"/>
      <c r="OFB153" s="22"/>
      <c r="OFC153" s="22"/>
      <c r="OFD153" s="22"/>
      <c r="OFE153" s="22"/>
      <c r="OFF153" s="22"/>
      <c r="OFG153" s="22"/>
      <c r="OFH153" s="22"/>
      <c r="OFI153" s="22"/>
      <c r="OFJ153" s="22"/>
      <c r="OFK153" s="22"/>
      <c r="OFL153" s="22"/>
      <c r="OFM153" s="22"/>
      <c r="OFN153" s="22"/>
      <c r="OFO153" s="22"/>
      <c r="OFP153" s="22"/>
      <c r="OFQ153" s="22"/>
      <c r="OFR153" s="22"/>
      <c r="OFS153" s="22"/>
      <c r="OFT153" s="22"/>
      <c r="OFU153" s="22"/>
      <c r="OFV153" s="22"/>
      <c r="OFW153" s="22"/>
      <c r="OFX153" s="22"/>
      <c r="OFY153" s="22"/>
      <c r="OFZ153" s="22"/>
      <c r="OGA153" s="22"/>
      <c r="OGB153" s="22"/>
      <c r="OGC153" s="22"/>
      <c r="OGD153" s="22"/>
      <c r="OGE153" s="22"/>
      <c r="OGF153" s="22"/>
      <c r="OGG153" s="22"/>
      <c r="OGH153" s="22"/>
      <c r="OGI153" s="22"/>
      <c r="OGJ153" s="22"/>
      <c r="OGK153" s="22"/>
      <c r="OGL153" s="22"/>
      <c r="OGM153" s="22"/>
      <c r="OGN153" s="22"/>
      <c r="OGO153" s="22"/>
      <c r="OGP153" s="22"/>
      <c r="OGQ153" s="22"/>
      <c r="OGR153" s="22"/>
      <c r="OGS153" s="22"/>
      <c r="OGT153" s="22"/>
      <c r="OGU153" s="22"/>
      <c r="OGV153" s="22"/>
      <c r="OGW153" s="22"/>
      <c r="OGX153" s="22"/>
      <c r="OGY153" s="22"/>
      <c r="OGZ153" s="22"/>
      <c r="OHA153" s="22"/>
      <c r="OHB153" s="22"/>
      <c r="OHC153" s="22"/>
      <c r="OHD153" s="22"/>
      <c r="OHE153" s="22"/>
      <c r="OHF153" s="22"/>
      <c r="OHG153" s="22"/>
      <c r="OHH153" s="22"/>
      <c r="OHI153" s="22"/>
      <c r="OHJ153" s="22"/>
      <c r="OHK153" s="22"/>
      <c r="OHL153" s="22"/>
      <c r="OHM153" s="22"/>
      <c r="OHN153" s="22"/>
      <c r="OHO153" s="22"/>
      <c r="OHP153" s="22"/>
      <c r="OHQ153" s="22"/>
      <c r="OHR153" s="22"/>
      <c r="OHS153" s="22"/>
      <c r="OHT153" s="22"/>
      <c r="OHU153" s="22"/>
      <c r="OHV153" s="22"/>
      <c r="OHW153" s="22"/>
      <c r="OHX153" s="22"/>
      <c r="OHY153" s="22"/>
      <c r="OHZ153" s="22"/>
      <c r="OIA153" s="22"/>
      <c r="OIB153" s="22"/>
      <c r="OIC153" s="22"/>
      <c r="OID153" s="22"/>
      <c r="OIE153" s="22"/>
      <c r="OIF153" s="22"/>
      <c r="OIG153" s="22"/>
      <c r="OIH153" s="22"/>
      <c r="OII153" s="22"/>
      <c r="OIJ153" s="22"/>
      <c r="OIK153" s="22"/>
      <c r="OIL153" s="22"/>
      <c r="OIM153" s="22"/>
      <c r="OIN153" s="22"/>
      <c r="OIO153" s="22"/>
      <c r="OIP153" s="22"/>
      <c r="OIQ153" s="22"/>
      <c r="OIR153" s="22"/>
      <c r="OIS153" s="22"/>
      <c r="OIT153" s="22"/>
      <c r="OIU153" s="22"/>
      <c r="OIV153" s="22"/>
      <c r="OIW153" s="22"/>
      <c r="OIX153" s="22"/>
      <c r="OIY153" s="22"/>
      <c r="OIZ153" s="22"/>
      <c r="OJA153" s="22"/>
      <c r="OJB153" s="22"/>
      <c r="OJC153" s="22"/>
      <c r="OJD153" s="22"/>
      <c r="OJE153" s="22"/>
      <c r="OJF153" s="22"/>
      <c r="OJG153" s="22"/>
      <c r="OJH153" s="22"/>
      <c r="OJI153" s="22"/>
      <c r="OJJ153" s="22"/>
      <c r="OJK153" s="22"/>
      <c r="OJL153" s="22"/>
      <c r="OJM153" s="22"/>
      <c r="OJN153" s="22"/>
      <c r="OJO153" s="22"/>
      <c r="OJP153" s="22"/>
      <c r="OJQ153" s="22"/>
      <c r="OJR153" s="22"/>
      <c r="OJS153" s="22"/>
      <c r="OJT153" s="22"/>
      <c r="OJU153" s="22"/>
      <c r="OJV153" s="22"/>
      <c r="OJW153" s="22"/>
      <c r="OJX153" s="22"/>
      <c r="OJY153" s="22"/>
      <c r="OJZ153" s="22"/>
      <c r="OKA153" s="22"/>
      <c r="OKB153" s="22"/>
      <c r="OKC153" s="22"/>
      <c r="OKD153" s="22"/>
      <c r="OKE153" s="22"/>
      <c r="OKF153" s="22"/>
      <c r="OKG153" s="22"/>
      <c r="OKH153" s="22"/>
      <c r="OKI153" s="22"/>
      <c r="OKJ153" s="22"/>
      <c r="OKK153" s="22"/>
      <c r="OKL153" s="22"/>
      <c r="OKM153" s="22"/>
      <c r="OKN153" s="22"/>
      <c r="OKO153" s="22"/>
      <c r="OKP153" s="22"/>
      <c r="OKQ153" s="22"/>
      <c r="OKR153" s="22"/>
      <c r="OKS153" s="22"/>
      <c r="OKT153" s="22"/>
      <c r="OKU153" s="22"/>
      <c r="OKV153" s="22"/>
      <c r="OKW153" s="22"/>
      <c r="OKX153" s="22"/>
      <c r="OKY153" s="22"/>
      <c r="OKZ153" s="22"/>
      <c r="OLA153" s="22"/>
      <c r="OLB153" s="22"/>
      <c r="OLC153" s="22"/>
      <c r="OLD153" s="22"/>
      <c r="OLE153" s="22"/>
      <c r="OLF153" s="22"/>
      <c r="OLG153" s="22"/>
      <c r="OLH153" s="22"/>
      <c r="OLI153" s="22"/>
      <c r="OLJ153" s="22"/>
      <c r="OLK153" s="22"/>
      <c r="OLL153" s="22"/>
      <c r="OLM153" s="22"/>
      <c r="OLN153" s="22"/>
      <c r="OLO153" s="22"/>
      <c r="OLP153" s="22"/>
      <c r="OLQ153" s="22"/>
      <c r="OLR153" s="22"/>
      <c r="OLS153" s="22"/>
      <c r="OLT153" s="22"/>
      <c r="OLU153" s="22"/>
      <c r="OLV153" s="22"/>
      <c r="OLW153" s="22"/>
      <c r="OLX153" s="22"/>
      <c r="OLY153" s="22"/>
      <c r="OLZ153" s="22"/>
      <c r="OMA153" s="22"/>
      <c r="OMB153" s="22"/>
      <c r="OMC153" s="22"/>
      <c r="OMD153" s="22"/>
      <c r="OME153" s="22"/>
      <c r="OMF153" s="22"/>
      <c r="OMG153" s="22"/>
      <c r="OMH153" s="22"/>
      <c r="OMI153" s="22"/>
      <c r="OMJ153" s="22"/>
      <c r="OMK153" s="22"/>
      <c r="OML153" s="22"/>
      <c r="OMM153" s="22"/>
      <c r="OMN153" s="22"/>
      <c r="OMO153" s="22"/>
      <c r="OMP153" s="22"/>
      <c r="OMQ153" s="22"/>
      <c r="OMR153" s="22"/>
      <c r="OMS153" s="22"/>
      <c r="OMT153" s="22"/>
      <c r="OMU153" s="22"/>
      <c r="OMV153" s="22"/>
      <c r="OMW153" s="22"/>
      <c r="OMX153" s="22"/>
      <c r="OMY153" s="22"/>
      <c r="OMZ153" s="22"/>
      <c r="ONA153" s="22"/>
      <c r="ONB153" s="22"/>
      <c r="ONC153" s="22"/>
      <c r="OND153" s="22"/>
      <c r="ONE153" s="22"/>
      <c r="ONF153" s="22"/>
      <c r="ONG153" s="22"/>
      <c r="ONH153" s="22"/>
      <c r="ONI153" s="22"/>
      <c r="ONJ153" s="22"/>
      <c r="ONK153" s="22"/>
      <c r="ONL153" s="22"/>
      <c r="ONM153" s="22"/>
      <c r="ONN153" s="22"/>
      <c r="ONO153" s="22"/>
      <c r="ONP153" s="22"/>
      <c r="ONQ153" s="22"/>
      <c r="ONR153" s="22"/>
      <c r="ONS153" s="22"/>
      <c r="ONT153" s="22"/>
      <c r="ONU153" s="22"/>
      <c r="ONV153" s="22"/>
      <c r="ONW153" s="22"/>
      <c r="ONX153" s="22"/>
      <c r="ONY153" s="22"/>
      <c r="ONZ153" s="22"/>
      <c r="OOA153" s="22"/>
      <c r="OOB153" s="22"/>
      <c r="OOC153" s="22"/>
      <c r="OOD153" s="22"/>
      <c r="OOE153" s="22"/>
      <c r="OOF153" s="22"/>
      <c r="OOG153" s="22"/>
      <c r="OOH153" s="22"/>
      <c r="OOI153" s="22"/>
      <c r="OOJ153" s="22"/>
      <c r="OOK153" s="22"/>
      <c r="OOL153" s="22"/>
      <c r="OOM153" s="22"/>
      <c r="OON153" s="22"/>
      <c r="OOO153" s="22"/>
      <c r="OOP153" s="22"/>
      <c r="OOQ153" s="22"/>
      <c r="OOR153" s="22"/>
      <c r="OOS153" s="22"/>
      <c r="OOT153" s="22"/>
      <c r="OOU153" s="22"/>
      <c r="OOV153" s="22"/>
      <c r="OOW153" s="22"/>
      <c r="OOX153" s="22"/>
      <c r="OOY153" s="22"/>
      <c r="OOZ153" s="22"/>
      <c r="OPA153" s="22"/>
      <c r="OPB153" s="22"/>
      <c r="OPC153" s="22"/>
      <c r="OPD153" s="22"/>
      <c r="OPE153" s="22"/>
      <c r="OPF153" s="22"/>
      <c r="OPG153" s="22"/>
      <c r="OPH153" s="22"/>
      <c r="OPI153" s="22"/>
      <c r="OPJ153" s="22"/>
      <c r="OPK153" s="22"/>
      <c r="OPL153" s="22"/>
      <c r="OPM153" s="22"/>
      <c r="OPN153" s="22"/>
      <c r="OPO153" s="22"/>
      <c r="OPP153" s="22"/>
      <c r="OPQ153" s="22"/>
      <c r="OPR153" s="22"/>
      <c r="OPS153" s="22"/>
      <c r="OPT153" s="22"/>
      <c r="OPU153" s="22"/>
      <c r="OPV153" s="22"/>
      <c r="OPW153" s="22"/>
      <c r="OPX153" s="22"/>
      <c r="OPY153" s="22"/>
      <c r="OPZ153" s="22"/>
      <c r="OQA153" s="22"/>
      <c r="OQB153" s="22"/>
      <c r="OQC153" s="22"/>
      <c r="OQD153" s="22"/>
      <c r="OQE153" s="22"/>
      <c r="OQF153" s="22"/>
      <c r="OQG153" s="22"/>
      <c r="OQH153" s="22"/>
      <c r="OQI153" s="22"/>
      <c r="OQJ153" s="22"/>
      <c r="OQK153" s="22"/>
      <c r="OQL153" s="22"/>
      <c r="OQM153" s="22"/>
      <c r="OQN153" s="22"/>
      <c r="OQO153" s="22"/>
      <c r="OQP153" s="22"/>
      <c r="OQQ153" s="22"/>
      <c r="OQR153" s="22"/>
      <c r="OQS153" s="22"/>
      <c r="OQT153" s="22"/>
      <c r="OQU153" s="22"/>
      <c r="OQV153" s="22"/>
      <c r="OQW153" s="22"/>
      <c r="OQX153" s="22"/>
      <c r="OQY153" s="22"/>
      <c r="OQZ153" s="22"/>
      <c r="ORA153" s="22"/>
      <c r="ORB153" s="22"/>
      <c r="ORC153" s="22"/>
      <c r="ORD153" s="22"/>
      <c r="ORE153" s="22"/>
      <c r="ORF153" s="22"/>
      <c r="ORG153" s="22"/>
      <c r="ORH153" s="22"/>
      <c r="ORI153" s="22"/>
      <c r="ORJ153" s="22"/>
      <c r="ORK153" s="22"/>
      <c r="ORL153" s="22"/>
      <c r="ORM153" s="22"/>
      <c r="ORN153" s="22"/>
      <c r="ORO153" s="22"/>
      <c r="ORP153" s="22"/>
      <c r="ORQ153" s="22"/>
      <c r="ORR153" s="22"/>
      <c r="ORS153" s="22"/>
      <c r="ORT153" s="22"/>
      <c r="ORU153" s="22"/>
      <c r="ORV153" s="22"/>
      <c r="ORW153" s="22"/>
      <c r="ORX153" s="22"/>
      <c r="ORY153" s="22"/>
      <c r="ORZ153" s="22"/>
      <c r="OSA153" s="22"/>
      <c r="OSB153" s="22"/>
      <c r="OSC153" s="22"/>
      <c r="OSD153" s="22"/>
      <c r="OSE153" s="22"/>
      <c r="OSF153" s="22"/>
      <c r="OSG153" s="22"/>
      <c r="OSH153" s="22"/>
      <c r="OSI153" s="22"/>
      <c r="OSJ153" s="22"/>
      <c r="OSK153" s="22"/>
      <c r="OSL153" s="22"/>
      <c r="OSM153" s="22"/>
      <c r="OSN153" s="22"/>
      <c r="OSO153" s="22"/>
      <c r="OSP153" s="22"/>
      <c r="OSQ153" s="22"/>
      <c r="OSR153" s="22"/>
      <c r="OSS153" s="22"/>
      <c r="OST153" s="22"/>
      <c r="OSU153" s="22"/>
      <c r="OSV153" s="22"/>
      <c r="OSW153" s="22"/>
      <c r="OSX153" s="22"/>
      <c r="OSY153" s="22"/>
      <c r="OSZ153" s="22"/>
      <c r="OTA153" s="22"/>
      <c r="OTB153" s="22"/>
      <c r="OTC153" s="22"/>
      <c r="OTD153" s="22"/>
      <c r="OTE153" s="22"/>
      <c r="OTF153" s="22"/>
      <c r="OTG153" s="22"/>
      <c r="OTH153" s="22"/>
      <c r="OTI153" s="22"/>
      <c r="OTJ153" s="22"/>
      <c r="OTK153" s="22"/>
      <c r="OTL153" s="22"/>
      <c r="OTM153" s="22"/>
      <c r="OTN153" s="22"/>
      <c r="OTO153" s="22"/>
      <c r="OTP153" s="22"/>
      <c r="OTQ153" s="22"/>
      <c r="OTR153" s="22"/>
      <c r="OTS153" s="22"/>
      <c r="OTT153" s="22"/>
      <c r="OTU153" s="22"/>
      <c r="OTV153" s="22"/>
      <c r="OTW153" s="22"/>
      <c r="OTX153" s="22"/>
      <c r="OTY153" s="22"/>
      <c r="OTZ153" s="22"/>
      <c r="OUA153" s="22"/>
      <c r="OUB153" s="22"/>
      <c r="OUC153" s="22"/>
      <c r="OUD153" s="22"/>
      <c r="OUE153" s="22"/>
      <c r="OUF153" s="22"/>
      <c r="OUG153" s="22"/>
      <c r="OUH153" s="22"/>
      <c r="OUI153" s="22"/>
      <c r="OUJ153" s="22"/>
      <c r="OUK153" s="22"/>
      <c r="OUL153" s="22"/>
      <c r="OUM153" s="22"/>
      <c r="OUN153" s="22"/>
      <c r="OUO153" s="22"/>
      <c r="OUP153" s="22"/>
      <c r="OUQ153" s="22"/>
      <c r="OUR153" s="22"/>
      <c r="OUS153" s="22"/>
      <c r="OUT153" s="22"/>
      <c r="OUU153" s="22"/>
      <c r="OUV153" s="22"/>
      <c r="OUW153" s="22"/>
      <c r="OUX153" s="22"/>
      <c r="OUY153" s="22"/>
      <c r="OUZ153" s="22"/>
      <c r="OVA153" s="22"/>
      <c r="OVB153" s="22"/>
      <c r="OVC153" s="22"/>
      <c r="OVD153" s="22"/>
      <c r="OVE153" s="22"/>
      <c r="OVF153" s="22"/>
      <c r="OVG153" s="22"/>
      <c r="OVH153" s="22"/>
      <c r="OVI153" s="22"/>
      <c r="OVJ153" s="22"/>
      <c r="OVK153" s="22"/>
      <c r="OVL153" s="22"/>
      <c r="OVM153" s="22"/>
      <c r="OVN153" s="22"/>
      <c r="OVO153" s="22"/>
      <c r="OVP153" s="22"/>
      <c r="OVQ153" s="22"/>
      <c r="OVR153" s="22"/>
      <c r="OVS153" s="22"/>
      <c r="OVT153" s="22"/>
      <c r="OVU153" s="22"/>
      <c r="OVV153" s="22"/>
      <c r="OVW153" s="22"/>
      <c r="OVX153" s="22"/>
      <c r="OVY153" s="22"/>
      <c r="OVZ153" s="22"/>
      <c r="OWA153" s="22"/>
      <c r="OWB153" s="22"/>
      <c r="OWC153" s="22"/>
      <c r="OWD153" s="22"/>
      <c r="OWE153" s="22"/>
      <c r="OWF153" s="22"/>
      <c r="OWG153" s="22"/>
      <c r="OWH153" s="22"/>
      <c r="OWI153" s="22"/>
      <c r="OWJ153" s="22"/>
      <c r="OWK153" s="22"/>
      <c r="OWL153" s="22"/>
      <c r="OWM153" s="22"/>
      <c r="OWN153" s="22"/>
      <c r="OWO153" s="22"/>
      <c r="OWP153" s="22"/>
      <c r="OWQ153" s="22"/>
      <c r="OWR153" s="22"/>
      <c r="OWS153" s="22"/>
      <c r="OWT153" s="22"/>
      <c r="OWU153" s="22"/>
      <c r="OWV153" s="22"/>
      <c r="OWW153" s="22"/>
      <c r="OWX153" s="22"/>
      <c r="OWY153" s="22"/>
      <c r="OWZ153" s="22"/>
      <c r="OXA153" s="22"/>
      <c r="OXB153" s="22"/>
      <c r="OXC153" s="22"/>
      <c r="OXD153" s="22"/>
      <c r="OXE153" s="22"/>
      <c r="OXF153" s="22"/>
      <c r="OXG153" s="22"/>
      <c r="OXH153" s="22"/>
      <c r="OXI153" s="22"/>
      <c r="OXJ153" s="22"/>
      <c r="OXK153" s="22"/>
      <c r="OXL153" s="22"/>
      <c r="OXM153" s="22"/>
      <c r="OXN153" s="22"/>
      <c r="OXO153" s="22"/>
      <c r="OXP153" s="22"/>
      <c r="OXQ153" s="22"/>
      <c r="OXR153" s="22"/>
      <c r="OXS153" s="22"/>
      <c r="OXT153" s="22"/>
      <c r="OXU153" s="22"/>
      <c r="OXV153" s="22"/>
      <c r="OXW153" s="22"/>
      <c r="OXX153" s="22"/>
      <c r="OXY153" s="22"/>
      <c r="OXZ153" s="22"/>
      <c r="OYA153" s="22"/>
      <c r="OYB153" s="22"/>
      <c r="OYC153" s="22"/>
      <c r="OYD153" s="22"/>
      <c r="OYE153" s="22"/>
      <c r="OYF153" s="22"/>
      <c r="OYG153" s="22"/>
      <c r="OYH153" s="22"/>
      <c r="OYI153" s="22"/>
      <c r="OYJ153" s="22"/>
      <c r="OYK153" s="22"/>
      <c r="OYL153" s="22"/>
      <c r="OYM153" s="22"/>
      <c r="OYN153" s="22"/>
      <c r="OYO153" s="22"/>
      <c r="OYP153" s="22"/>
      <c r="OYQ153" s="22"/>
      <c r="OYR153" s="22"/>
      <c r="OYS153" s="22"/>
      <c r="OYT153" s="22"/>
      <c r="OYU153" s="22"/>
      <c r="OYV153" s="22"/>
      <c r="OYW153" s="22"/>
      <c r="OYX153" s="22"/>
      <c r="OYY153" s="22"/>
      <c r="OYZ153" s="22"/>
      <c r="OZA153" s="22"/>
      <c r="OZB153" s="22"/>
      <c r="OZC153" s="22"/>
      <c r="OZD153" s="22"/>
      <c r="OZE153" s="22"/>
      <c r="OZF153" s="22"/>
      <c r="OZG153" s="22"/>
      <c r="OZH153" s="22"/>
      <c r="OZI153" s="22"/>
      <c r="OZJ153" s="22"/>
      <c r="OZK153" s="22"/>
      <c r="OZL153" s="22"/>
      <c r="OZM153" s="22"/>
      <c r="OZN153" s="22"/>
      <c r="OZO153" s="22"/>
      <c r="OZP153" s="22"/>
      <c r="OZQ153" s="22"/>
      <c r="OZR153" s="22"/>
      <c r="OZS153" s="22"/>
      <c r="OZT153" s="22"/>
      <c r="OZU153" s="22"/>
      <c r="OZV153" s="22"/>
      <c r="OZW153" s="22"/>
      <c r="OZX153" s="22"/>
      <c r="OZY153" s="22"/>
      <c r="OZZ153" s="22"/>
      <c r="PAA153" s="22"/>
      <c r="PAB153" s="22"/>
      <c r="PAC153" s="22"/>
      <c r="PAD153" s="22"/>
      <c r="PAE153" s="22"/>
      <c r="PAF153" s="22"/>
      <c r="PAG153" s="22"/>
      <c r="PAH153" s="22"/>
      <c r="PAI153" s="22"/>
      <c r="PAJ153" s="22"/>
      <c r="PAK153" s="22"/>
      <c r="PAL153" s="22"/>
      <c r="PAM153" s="22"/>
      <c r="PAN153" s="22"/>
      <c r="PAO153" s="22"/>
      <c r="PAP153" s="22"/>
      <c r="PAQ153" s="22"/>
      <c r="PAR153" s="22"/>
      <c r="PAS153" s="22"/>
      <c r="PAT153" s="22"/>
      <c r="PAU153" s="22"/>
      <c r="PAV153" s="22"/>
      <c r="PAW153" s="22"/>
      <c r="PAX153" s="22"/>
      <c r="PAY153" s="22"/>
      <c r="PAZ153" s="22"/>
      <c r="PBA153" s="22"/>
      <c r="PBB153" s="22"/>
      <c r="PBC153" s="22"/>
      <c r="PBD153" s="22"/>
      <c r="PBE153" s="22"/>
      <c r="PBF153" s="22"/>
      <c r="PBG153" s="22"/>
      <c r="PBH153" s="22"/>
      <c r="PBI153" s="22"/>
      <c r="PBJ153" s="22"/>
      <c r="PBK153" s="22"/>
      <c r="PBL153" s="22"/>
      <c r="PBM153" s="22"/>
      <c r="PBN153" s="22"/>
      <c r="PBO153" s="22"/>
      <c r="PBP153" s="22"/>
      <c r="PBQ153" s="22"/>
      <c r="PBR153" s="22"/>
      <c r="PBS153" s="22"/>
      <c r="PBT153" s="22"/>
      <c r="PBU153" s="22"/>
      <c r="PBV153" s="22"/>
      <c r="PBW153" s="22"/>
      <c r="PBX153" s="22"/>
      <c r="PBY153" s="22"/>
      <c r="PBZ153" s="22"/>
      <c r="PCA153" s="22"/>
      <c r="PCB153" s="22"/>
      <c r="PCC153" s="22"/>
      <c r="PCD153" s="22"/>
      <c r="PCE153" s="22"/>
      <c r="PCF153" s="22"/>
      <c r="PCG153" s="22"/>
      <c r="PCH153" s="22"/>
      <c r="PCI153" s="22"/>
      <c r="PCJ153" s="22"/>
      <c r="PCK153" s="22"/>
      <c r="PCL153" s="22"/>
      <c r="PCM153" s="22"/>
      <c r="PCN153" s="22"/>
      <c r="PCO153" s="22"/>
      <c r="PCP153" s="22"/>
      <c r="PCQ153" s="22"/>
      <c r="PCR153" s="22"/>
      <c r="PCS153" s="22"/>
      <c r="PCT153" s="22"/>
      <c r="PCU153" s="22"/>
      <c r="PCV153" s="22"/>
      <c r="PCW153" s="22"/>
      <c r="PCX153" s="22"/>
      <c r="PCY153" s="22"/>
      <c r="PCZ153" s="22"/>
      <c r="PDA153" s="22"/>
      <c r="PDB153" s="22"/>
      <c r="PDC153" s="22"/>
      <c r="PDD153" s="22"/>
      <c r="PDE153" s="22"/>
      <c r="PDF153" s="22"/>
      <c r="PDG153" s="22"/>
      <c r="PDH153" s="22"/>
      <c r="PDI153" s="22"/>
      <c r="PDJ153" s="22"/>
      <c r="PDK153" s="22"/>
      <c r="PDL153" s="22"/>
      <c r="PDM153" s="22"/>
      <c r="PDN153" s="22"/>
      <c r="PDO153" s="22"/>
      <c r="PDP153" s="22"/>
      <c r="PDQ153" s="22"/>
      <c r="PDR153" s="22"/>
      <c r="PDS153" s="22"/>
      <c r="PDT153" s="22"/>
      <c r="PDU153" s="22"/>
      <c r="PDV153" s="22"/>
      <c r="PDW153" s="22"/>
      <c r="PDX153" s="22"/>
      <c r="PDY153" s="22"/>
      <c r="PDZ153" s="22"/>
      <c r="PEA153" s="22"/>
      <c r="PEB153" s="22"/>
      <c r="PEC153" s="22"/>
      <c r="PED153" s="22"/>
      <c r="PEE153" s="22"/>
      <c r="PEF153" s="22"/>
      <c r="PEG153" s="22"/>
      <c r="PEH153" s="22"/>
      <c r="PEI153" s="22"/>
      <c r="PEJ153" s="22"/>
      <c r="PEK153" s="22"/>
      <c r="PEL153" s="22"/>
      <c r="PEM153" s="22"/>
      <c r="PEN153" s="22"/>
      <c r="PEO153" s="22"/>
      <c r="PEP153" s="22"/>
      <c r="PEQ153" s="22"/>
      <c r="PER153" s="22"/>
      <c r="PES153" s="22"/>
      <c r="PET153" s="22"/>
      <c r="PEU153" s="22"/>
      <c r="PEV153" s="22"/>
      <c r="PEW153" s="22"/>
      <c r="PEX153" s="22"/>
      <c r="PEY153" s="22"/>
      <c r="PEZ153" s="22"/>
      <c r="PFA153" s="22"/>
      <c r="PFB153" s="22"/>
      <c r="PFC153" s="22"/>
      <c r="PFD153" s="22"/>
      <c r="PFE153" s="22"/>
      <c r="PFF153" s="22"/>
      <c r="PFG153" s="22"/>
      <c r="PFH153" s="22"/>
      <c r="PFI153" s="22"/>
      <c r="PFJ153" s="22"/>
      <c r="PFK153" s="22"/>
      <c r="PFL153" s="22"/>
      <c r="PFM153" s="22"/>
      <c r="PFN153" s="22"/>
      <c r="PFO153" s="22"/>
      <c r="PFP153" s="22"/>
      <c r="PFQ153" s="22"/>
      <c r="PFR153" s="22"/>
      <c r="PFS153" s="22"/>
      <c r="PFT153" s="22"/>
      <c r="PFU153" s="22"/>
      <c r="PFV153" s="22"/>
      <c r="PFW153" s="22"/>
      <c r="PFX153" s="22"/>
      <c r="PFY153" s="22"/>
      <c r="PFZ153" s="22"/>
      <c r="PGA153" s="22"/>
      <c r="PGB153" s="22"/>
      <c r="PGC153" s="22"/>
      <c r="PGD153" s="22"/>
      <c r="PGE153" s="22"/>
      <c r="PGF153" s="22"/>
      <c r="PGG153" s="22"/>
      <c r="PGH153" s="22"/>
      <c r="PGI153" s="22"/>
      <c r="PGJ153" s="22"/>
      <c r="PGK153" s="22"/>
      <c r="PGL153" s="22"/>
      <c r="PGM153" s="22"/>
      <c r="PGN153" s="22"/>
      <c r="PGO153" s="22"/>
      <c r="PGP153" s="22"/>
      <c r="PGQ153" s="22"/>
      <c r="PGR153" s="22"/>
      <c r="PGS153" s="22"/>
      <c r="PGT153" s="22"/>
      <c r="PGU153" s="22"/>
      <c r="PGV153" s="22"/>
      <c r="PGW153" s="22"/>
      <c r="PGX153" s="22"/>
      <c r="PGY153" s="22"/>
      <c r="PGZ153" s="22"/>
      <c r="PHA153" s="22"/>
      <c r="PHB153" s="22"/>
      <c r="PHC153" s="22"/>
      <c r="PHD153" s="22"/>
      <c r="PHE153" s="22"/>
      <c r="PHF153" s="22"/>
      <c r="PHG153" s="22"/>
      <c r="PHH153" s="22"/>
      <c r="PHI153" s="22"/>
      <c r="PHJ153" s="22"/>
      <c r="PHK153" s="22"/>
      <c r="PHL153" s="22"/>
      <c r="PHM153" s="22"/>
      <c r="PHN153" s="22"/>
      <c r="PHO153" s="22"/>
      <c r="PHP153" s="22"/>
      <c r="PHQ153" s="22"/>
      <c r="PHR153" s="22"/>
      <c r="PHS153" s="22"/>
      <c r="PHT153" s="22"/>
      <c r="PHU153" s="22"/>
      <c r="PHV153" s="22"/>
      <c r="PHW153" s="22"/>
      <c r="PHX153" s="22"/>
      <c r="PHY153" s="22"/>
      <c r="PHZ153" s="22"/>
      <c r="PIA153" s="22"/>
      <c r="PIB153" s="22"/>
      <c r="PIC153" s="22"/>
      <c r="PID153" s="22"/>
      <c r="PIE153" s="22"/>
      <c r="PIF153" s="22"/>
      <c r="PIG153" s="22"/>
      <c r="PIH153" s="22"/>
      <c r="PII153" s="22"/>
      <c r="PIJ153" s="22"/>
      <c r="PIK153" s="22"/>
      <c r="PIL153" s="22"/>
      <c r="PIM153" s="22"/>
      <c r="PIN153" s="22"/>
      <c r="PIO153" s="22"/>
      <c r="PIP153" s="22"/>
      <c r="PIQ153" s="22"/>
      <c r="PIR153" s="22"/>
      <c r="PIS153" s="22"/>
      <c r="PIT153" s="22"/>
      <c r="PIU153" s="22"/>
      <c r="PIV153" s="22"/>
      <c r="PIW153" s="22"/>
      <c r="PIX153" s="22"/>
      <c r="PIY153" s="22"/>
      <c r="PIZ153" s="22"/>
      <c r="PJA153" s="22"/>
      <c r="PJB153" s="22"/>
      <c r="PJC153" s="22"/>
      <c r="PJD153" s="22"/>
      <c r="PJE153" s="22"/>
      <c r="PJF153" s="22"/>
      <c r="PJG153" s="22"/>
      <c r="PJH153" s="22"/>
      <c r="PJI153" s="22"/>
      <c r="PJJ153" s="22"/>
      <c r="PJK153" s="22"/>
      <c r="PJL153" s="22"/>
      <c r="PJM153" s="22"/>
      <c r="PJN153" s="22"/>
      <c r="PJO153" s="22"/>
      <c r="PJP153" s="22"/>
      <c r="PJQ153" s="22"/>
      <c r="PJR153" s="22"/>
      <c r="PJS153" s="22"/>
      <c r="PJT153" s="22"/>
      <c r="PJU153" s="22"/>
      <c r="PJV153" s="22"/>
      <c r="PJW153" s="22"/>
      <c r="PJX153" s="22"/>
      <c r="PJY153" s="22"/>
      <c r="PJZ153" s="22"/>
      <c r="PKA153" s="22"/>
      <c r="PKB153" s="22"/>
      <c r="PKC153" s="22"/>
      <c r="PKD153" s="22"/>
      <c r="PKE153" s="22"/>
      <c r="PKF153" s="22"/>
      <c r="PKG153" s="22"/>
      <c r="PKH153" s="22"/>
      <c r="PKI153" s="22"/>
      <c r="PKJ153" s="22"/>
      <c r="PKK153" s="22"/>
      <c r="PKL153" s="22"/>
      <c r="PKM153" s="22"/>
      <c r="PKN153" s="22"/>
      <c r="PKO153" s="22"/>
      <c r="PKP153" s="22"/>
      <c r="PKQ153" s="22"/>
      <c r="PKR153" s="22"/>
      <c r="PKS153" s="22"/>
      <c r="PKT153" s="22"/>
      <c r="PKU153" s="22"/>
      <c r="PKV153" s="22"/>
      <c r="PKW153" s="22"/>
      <c r="PKX153" s="22"/>
      <c r="PKY153" s="22"/>
      <c r="PKZ153" s="22"/>
      <c r="PLA153" s="22"/>
      <c r="PLB153" s="22"/>
      <c r="PLC153" s="22"/>
      <c r="PLD153" s="22"/>
      <c r="PLE153" s="22"/>
      <c r="PLF153" s="22"/>
      <c r="PLG153" s="22"/>
      <c r="PLH153" s="22"/>
      <c r="PLI153" s="22"/>
      <c r="PLJ153" s="22"/>
      <c r="PLK153" s="22"/>
      <c r="PLL153" s="22"/>
      <c r="PLM153" s="22"/>
      <c r="PLN153" s="22"/>
      <c r="PLO153" s="22"/>
      <c r="PLP153" s="22"/>
      <c r="PLQ153" s="22"/>
      <c r="PLR153" s="22"/>
      <c r="PLS153" s="22"/>
      <c r="PLT153" s="22"/>
      <c r="PLU153" s="22"/>
      <c r="PLV153" s="22"/>
      <c r="PLW153" s="22"/>
      <c r="PLX153" s="22"/>
      <c r="PLY153" s="22"/>
      <c r="PLZ153" s="22"/>
      <c r="PMA153" s="22"/>
      <c r="PMB153" s="22"/>
      <c r="PMC153" s="22"/>
      <c r="PMD153" s="22"/>
      <c r="PME153" s="22"/>
      <c r="PMF153" s="22"/>
      <c r="PMG153" s="22"/>
      <c r="PMH153" s="22"/>
      <c r="PMI153" s="22"/>
      <c r="PMJ153" s="22"/>
      <c r="PMK153" s="22"/>
      <c r="PML153" s="22"/>
      <c r="PMM153" s="22"/>
      <c r="PMN153" s="22"/>
      <c r="PMO153" s="22"/>
      <c r="PMP153" s="22"/>
      <c r="PMQ153" s="22"/>
      <c r="PMR153" s="22"/>
      <c r="PMS153" s="22"/>
      <c r="PMT153" s="22"/>
      <c r="PMU153" s="22"/>
      <c r="PMV153" s="22"/>
      <c r="PMW153" s="22"/>
      <c r="PMX153" s="22"/>
      <c r="PMY153" s="22"/>
      <c r="PMZ153" s="22"/>
      <c r="PNA153" s="22"/>
      <c r="PNB153" s="22"/>
      <c r="PNC153" s="22"/>
      <c r="PND153" s="22"/>
      <c r="PNE153" s="22"/>
      <c r="PNF153" s="22"/>
      <c r="PNG153" s="22"/>
      <c r="PNH153" s="22"/>
      <c r="PNI153" s="22"/>
      <c r="PNJ153" s="22"/>
      <c r="PNK153" s="22"/>
      <c r="PNL153" s="22"/>
      <c r="PNM153" s="22"/>
      <c r="PNN153" s="22"/>
      <c r="PNO153" s="22"/>
      <c r="PNP153" s="22"/>
      <c r="PNQ153" s="22"/>
      <c r="PNR153" s="22"/>
      <c r="PNS153" s="22"/>
      <c r="PNT153" s="22"/>
      <c r="PNU153" s="22"/>
      <c r="PNV153" s="22"/>
      <c r="PNW153" s="22"/>
      <c r="PNX153" s="22"/>
      <c r="PNY153" s="22"/>
      <c r="PNZ153" s="22"/>
      <c r="POA153" s="22"/>
      <c r="POB153" s="22"/>
      <c r="POC153" s="22"/>
      <c r="POD153" s="22"/>
      <c r="POE153" s="22"/>
      <c r="POF153" s="22"/>
      <c r="POG153" s="22"/>
      <c r="POH153" s="22"/>
      <c r="POI153" s="22"/>
      <c r="POJ153" s="22"/>
      <c r="POK153" s="22"/>
      <c r="POL153" s="22"/>
      <c r="POM153" s="22"/>
      <c r="PON153" s="22"/>
      <c r="POO153" s="22"/>
      <c r="POP153" s="22"/>
      <c r="POQ153" s="22"/>
      <c r="POR153" s="22"/>
      <c r="POS153" s="22"/>
      <c r="POT153" s="22"/>
      <c r="POU153" s="22"/>
      <c r="POV153" s="22"/>
      <c r="POW153" s="22"/>
      <c r="POX153" s="22"/>
      <c r="POY153" s="22"/>
      <c r="POZ153" s="22"/>
      <c r="PPA153" s="22"/>
      <c r="PPB153" s="22"/>
      <c r="PPC153" s="22"/>
      <c r="PPD153" s="22"/>
      <c r="PPE153" s="22"/>
      <c r="PPF153" s="22"/>
      <c r="PPG153" s="22"/>
      <c r="PPH153" s="22"/>
      <c r="PPI153" s="22"/>
      <c r="PPJ153" s="22"/>
      <c r="PPK153" s="22"/>
      <c r="PPL153" s="22"/>
      <c r="PPM153" s="22"/>
      <c r="PPN153" s="22"/>
      <c r="PPO153" s="22"/>
      <c r="PPP153" s="22"/>
      <c r="PPQ153" s="22"/>
      <c r="PPR153" s="22"/>
      <c r="PPS153" s="22"/>
      <c r="PPT153" s="22"/>
      <c r="PPU153" s="22"/>
      <c r="PPV153" s="22"/>
      <c r="PPW153" s="22"/>
      <c r="PPX153" s="22"/>
      <c r="PPY153" s="22"/>
      <c r="PPZ153" s="22"/>
      <c r="PQA153" s="22"/>
      <c r="PQB153" s="22"/>
      <c r="PQC153" s="22"/>
      <c r="PQD153" s="22"/>
      <c r="PQE153" s="22"/>
      <c r="PQF153" s="22"/>
      <c r="PQG153" s="22"/>
      <c r="PQH153" s="22"/>
      <c r="PQI153" s="22"/>
      <c r="PQJ153" s="22"/>
      <c r="PQK153" s="22"/>
      <c r="PQL153" s="22"/>
      <c r="PQM153" s="22"/>
      <c r="PQN153" s="22"/>
      <c r="PQO153" s="22"/>
      <c r="PQP153" s="22"/>
      <c r="PQQ153" s="22"/>
      <c r="PQR153" s="22"/>
      <c r="PQS153" s="22"/>
      <c r="PQT153" s="22"/>
      <c r="PQU153" s="22"/>
      <c r="PQV153" s="22"/>
      <c r="PQW153" s="22"/>
      <c r="PQX153" s="22"/>
      <c r="PQY153" s="22"/>
      <c r="PQZ153" s="22"/>
      <c r="PRA153" s="22"/>
      <c r="PRB153" s="22"/>
      <c r="PRC153" s="22"/>
      <c r="PRD153" s="22"/>
      <c r="PRE153" s="22"/>
      <c r="PRF153" s="22"/>
      <c r="PRG153" s="22"/>
      <c r="PRH153" s="22"/>
      <c r="PRI153" s="22"/>
      <c r="PRJ153" s="22"/>
      <c r="PRK153" s="22"/>
      <c r="PRL153" s="22"/>
      <c r="PRM153" s="22"/>
      <c r="PRN153" s="22"/>
      <c r="PRO153" s="22"/>
      <c r="PRP153" s="22"/>
      <c r="PRQ153" s="22"/>
      <c r="PRR153" s="22"/>
      <c r="PRS153" s="22"/>
      <c r="PRT153" s="22"/>
      <c r="PRU153" s="22"/>
      <c r="PRV153" s="22"/>
      <c r="PRW153" s="22"/>
      <c r="PRX153" s="22"/>
      <c r="PRY153" s="22"/>
      <c r="PRZ153" s="22"/>
      <c r="PSA153" s="22"/>
      <c r="PSB153" s="22"/>
      <c r="PSC153" s="22"/>
      <c r="PSD153" s="22"/>
      <c r="PSE153" s="22"/>
      <c r="PSF153" s="22"/>
      <c r="PSG153" s="22"/>
      <c r="PSH153" s="22"/>
      <c r="PSI153" s="22"/>
      <c r="PSJ153" s="22"/>
      <c r="PSK153" s="22"/>
      <c r="PSL153" s="22"/>
      <c r="PSM153" s="22"/>
      <c r="PSN153" s="22"/>
      <c r="PSO153" s="22"/>
      <c r="PSP153" s="22"/>
      <c r="PSQ153" s="22"/>
      <c r="PSR153" s="22"/>
      <c r="PSS153" s="22"/>
      <c r="PST153" s="22"/>
      <c r="PSU153" s="22"/>
      <c r="PSV153" s="22"/>
      <c r="PSW153" s="22"/>
      <c r="PSX153" s="22"/>
      <c r="PSY153" s="22"/>
      <c r="PSZ153" s="22"/>
      <c r="PTA153" s="22"/>
      <c r="PTB153" s="22"/>
      <c r="PTC153" s="22"/>
      <c r="PTD153" s="22"/>
      <c r="PTE153" s="22"/>
      <c r="PTF153" s="22"/>
      <c r="PTG153" s="22"/>
      <c r="PTH153" s="22"/>
      <c r="PTI153" s="22"/>
      <c r="PTJ153" s="22"/>
      <c r="PTK153" s="22"/>
      <c r="PTL153" s="22"/>
      <c r="PTM153" s="22"/>
      <c r="PTN153" s="22"/>
      <c r="PTO153" s="22"/>
      <c r="PTP153" s="22"/>
      <c r="PTQ153" s="22"/>
      <c r="PTR153" s="22"/>
      <c r="PTS153" s="22"/>
      <c r="PTT153" s="22"/>
      <c r="PTU153" s="22"/>
      <c r="PTV153" s="22"/>
      <c r="PTW153" s="22"/>
      <c r="PTX153" s="22"/>
      <c r="PTY153" s="22"/>
      <c r="PTZ153" s="22"/>
      <c r="PUA153" s="22"/>
      <c r="PUB153" s="22"/>
      <c r="PUC153" s="22"/>
      <c r="PUD153" s="22"/>
      <c r="PUE153" s="22"/>
      <c r="PUF153" s="22"/>
      <c r="PUG153" s="22"/>
      <c r="PUH153" s="22"/>
      <c r="PUI153" s="22"/>
      <c r="PUJ153" s="22"/>
      <c r="PUK153" s="22"/>
      <c r="PUL153" s="22"/>
      <c r="PUM153" s="22"/>
      <c r="PUN153" s="22"/>
      <c r="PUO153" s="22"/>
      <c r="PUP153" s="22"/>
      <c r="PUQ153" s="22"/>
      <c r="PUR153" s="22"/>
      <c r="PUS153" s="22"/>
      <c r="PUT153" s="22"/>
      <c r="PUU153" s="22"/>
      <c r="PUV153" s="22"/>
      <c r="PUW153" s="22"/>
      <c r="PUX153" s="22"/>
      <c r="PUY153" s="22"/>
      <c r="PUZ153" s="22"/>
      <c r="PVA153" s="22"/>
      <c r="PVB153" s="22"/>
      <c r="PVC153" s="22"/>
      <c r="PVD153" s="22"/>
      <c r="PVE153" s="22"/>
      <c r="PVF153" s="22"/>
      <c r="PVG153" s="22"/>
      <c r="PVH153" s="22"/>
      <c r="PVI153" s="22"/>
      <c r="PVJ153" s="22"/>
      <c r="PVK153" s="22"/>
      <c r="PVL153" s="22"/>
      <c r="PVM153" s="22"/>
      <c r="PVN153" s="22"/>
      <c r="PVO153" s="22"/>
      <c r="PVP153" s="22"/>
      <c r="PVQ153" s="22"/>
      <c r="PVR153" s="22"/>
      <c r="PVS153" s="22"/>
      <c r="PVT153" s="22"/>
      <c r="PVU153" s="22"/>
      <c r="PVV153" s="22"/>
      <c r="PVW153" s="22"/>
      <c r="PVX153" s="22"/>
      <c r="PVY153" s="22"/>
      <c r="PVZ153" s="22"/>
      <c r="PWA153" s="22"/>
      <c r="PWB153" s="22"/>
      <c r="PWC153" s="22"/>
      <c r="PWD153" s="22"/>
      <c r="PWE153" s="22"/>
      <c r="PWF153" s="22"/>
      <c r="PWG153" s="22"/>
      <c r="PWH153" s="22"/>
      <c r="PWI153" s="22"/>
      <c r="PWJ153" s="22"/>
      <c r="PWK153" s="22"/>
      <c r="PWL153" s="22"/>
      <c r="PWM153" s="22"/>
      <c r="PWN153" s="22"/>
      <c r="PWO153" s="22"/>
      <c r="PWP153" s="22"/>
      <c r="PWQ153" s="22"/>
      <c r="PWR153" s="22"/>
      <c r="PWS153" s="22"/>
      <c r="PWT153" s="22"/>
      <c r="PWU153" s="22"/>
      <c r="PWV153" s="22"/>
      <c r="PWW153" s="22"/>
      <c r="PWX153" s="22"/>
      <c r="PWY153" s="22"/>
      <c r="PWZ153" s="22"/>
      <c r="PXA153" s="22"/>
      <c r="PXB153" s="22"/>
      <c r="PXC153" s="22"/>
      <c r="PXD153" s="22"/>
      <c r="PXE153" s="22"/>
      <c r="PXF153" s="22"/>
      <c r="PXG153" s="22"/>
      <c r="PXH153" s="22"/>
      <c r="PXI153" s="22"/>
      <c r="PXJ153" s="22"/>
      <c r="PXK153" s="22"/>
      <c r="PXL153" s="22"/>
      <c r="PXM153" s="22"/>
      <c r="PXN153" s="22"/>
      <c r="PXO153" s="22"/>
      <c r="PXP153" s="22"/>
      <c r="PXQ153" s="22"/>
      <c r="PXR153" s="22"/>
      <c r="PXS153" s="22"/>
      <c r="PXT153" s="22"/>
      <c r="PXU153" s="22"/>
      <c r="PXV153" s="22"/>
      <c r="PXW153" s="22"/>
      <c r="PXX153" s="22"/>
      <c r="PXY153" s="22"/>
      <c r="PXZ153" s="22"/>
      <c r="PYA153" s="22"/>
      <c r="PYB153" s="22"/>
      <c r="PYC153" s="22"/>
      <c r="PYD153" s="22"/>
      <c r="PYE153" s="22"/>
      <c r="PYF153" s="22"/>
      <c r="PYG153" s="22"/>
      <c r="PYH153" s="22"/>
      <c r="PYI153" s="22"/>
      <c r="PYJ153" s="22"/>
      <c r="PYK153" s="22"/>
      <c r="PYL153" s="22"/>
      <c r="PYM153" s="22"/>
      <c r="PYN153" s="22"/>
      <c r="PYO153" s="22"/>
      <c r="PYP153" s="22"/>
      <c r="PYQ153" s="22"/>
      <c r="PYR153" s="22"/>
      <c r="PYS153" s="22"/>
      <c r="PYT153" s="22"/>
      <c r="PYU153" s="22"/>
      <c r="PYV153" s="22"/>
      <c r="PYW153" s="22"/>
      <c r="PYX153" s="22"/>
      <c r="PYY153" s="22"/>
      <c r="PYZ153" s="22"/>
      <c r="PZA153" s="22"/>
      <c r="PZB153" s="22"/>
      <c r="PZC153" s="22"/>
      <c r="PZD153" s="22"/>
      <c r="PZE153" s="22"/>
      <c r="PZF153" s="22"/>
      <c r="PZG153" s="22"/>
      <c r="PZH153" s="22"/>
      <c r="PZI153" s="22"/>
      <c r="PZJ153" s="22"/>
      <c r="PZK153" s="22"/>
      <c r="PZL153" s="22"/>
      <c r="PZM153" s="22"/>
      <c r="PZN153" s="22"/>
      <c r="PZO153" s="22"/>
      <c r="PZP153" s="22"/>
      <c r="PZQ153" s="22"/>
      <c r="PZR153" s="22"/>
      <c r="PZS153" s="22"/>
      <c r="PZT153" s="22"/>
      <c r="PZU153" s="22"/>
      <c r="PZV153" s="22"/>
      <c r="PZW153" s="22"/>
      <c r="PZX153" s="22"/>
      <c r="PZY153" s="22"/>
      <c r="PZZ153" s="22"/>
      <c r="QAA153" s="22"/>
      <c r="QAB153" s="22"/>
      <c r="QAC153" s="22"/>
      <c r="QAD153" s="22"/>
      <c r="QAE153" s="22"/>
      <c r="QAF153" s="22"/>
      <c r="QAG153" s="22"/>
      <c r="QAH153" s="22"/>
      <c r="QAI153" s="22"/>
      <c r="QAJ153" s="22"/>
      <c r="QAK153" s="22"/>
      <c r="QAL153" s="22"/>
      <c r="QAM153" s="22"/>
      <c r="QAN153" s="22"/>
      <c r="QAO153" s="22"/>
      <c r="QAP153" s="22"/>
      <c r="QAQ153" s="22"/>
      <c r="QAR153" s="22"/>
      <c r="QAS153" s="22"/>
      <c r="QAT153" s="22"/>
      <c r="QAU153" s="22"/>
      <c r="QAV153" s="22"/>
      <c r="QAW153" s="22"/>
      <c r="QAX153" s="22"/>
      <c r="QAY153" s="22"/>
      <c r="QAZ153" s="22"/>
      <c r="QBA153" s="22"/>
      <c r="QBB153" s="22"/>
      <c r="QBC153" s="22"/>
      <c r="QBD153" s="22"/>
      <c r="QBE153" s="22"/>
      <c r="QBF153" s="22"/>
      <c r="QBG153" s="22"/>
      <c r="QBH153" s="22"/>
      <c r="QBI153" s="22"/>
      <c r="QBJ153" s="22"/>
      <c r="QBK153" s="22"/>
      <c r="QBL153" s="22"/>
      <c r="QBM153" s="22"/>
      <c r="QBN153" s="22"/>
      <c r="QBO153" s="22"/>
      <c r="QBP153" s="22"/>
      <c r="QBQ153" s="22"/>
      <c r="QBR153" s="22"/>
      <c r="QBS153" s="22"/>
      <c r="QBT153" s="22"/>
      <c r="QBU153" s="22"/>
      <c r="QBV153" s="22"/>
      <c r="QBW153" s="22"/>
      <c r="QBX153" s="22"/>
      <c r="QBY153" s="22"/>
      <c r="QBZ153" s="22"/>
      <c r="QCA153" s="22"/>
      <c r="QCB153" s="22"/>
      <c r="QCC153" s="22"/>
      <c r="QCD153" s="22"/>
      <c r="QCE153" s="22"/>
      <c r="QCF153" s="22"/>
      <c r="QCG153" s="22"/>
      <c r="QCH153" s="22"/>
      <c r="QCI153" s="22"/>
      <c r="QCJ153" s="22"/>
      <c r="QCK153" s="22"/>
      <c r="QCL153" s="22"/>
      <c r="QCM153" s="22"/>
      <c r="QCN153" s="22"/>
      <c r="QCO153" s="22"/>
      <c r="QCP153" s="22"/>
      <c r="QCQ153" s="22"/>
      <c r="QCR153" s="22"/>
      <c r="QCS153" s="22"/>
      <c r="QCT153" s="22"/>
      <c r="QCU153" s="22"/>
      <c r="QCV153" s="22"/>
      <c r="QCW153" s="22"/>
      <c r="QCX153" s="22"/>
      <c r="QCY153" s="22"/>
      <c r="QCZ153" s="22"/>
      <c r="QDA153" s="22"/>
      <c r="QDB153" s="22"/>
      <c r="QDC153" s="22"/>
      <c r="QDD153" s="22"/>
      <c r="QDE153" s="22"/>
      <c r="QDF153" s="22"/>
      <c r="QDG153" s="22"/>
      <c r="QDH153" s="22"/>
      <c r="QDI153" s="22"/>
      <c r="QDJ153" s="22"/>
      <c r="QDK153" s="22"/>
      <c r="QDL153" s="22"/>
      <c r="QDM153" s="22"/>
      <c r="QDN153" s="22"/>
      <c r="QDO153" s="22"/>
      <c r="QDP153" s="22"/>
      <c r="QDQ153" s="22"/>
      <c r="QDR153" s="22"/>
      <c r="QDS153" s="22"/>
      <c r="QDT153" s="22"/>
      <c r="QDU153" s="22"/>
      <c r="QDV153" s="22"/>
      <c r="QDW153" s="22"/>
      <c r="QDX153" s="22"/>
      <c r="QDY153" s="22"/>
      <c r="QDZ153" s="22"/>
      <c r="QEA153" s="22"/>
      <c r="QEB153" s="22"/>
      <c r="QEC153" s="22"/>
      <c r="QED153" s="22"/>
      <c r="QEE153" s="22"/>
      <c r="QEF153" s="22"/>
      <c r="QEG153" s="22"/>
      <c r="QEH153" s="22"/>
      <c r="QEI153" s="22"/>
      <c r="QEJ153" s="22"/>
      <c r="QEK153" s="22"/>
      <c r="QEL153" s="22"/>
      <c r="QEM153" s="22"/>
      <c r="QEN153" s="22"/>
      <c r="QEO153" s="22"/>
      <c r="QEP153" s="22"/>
      <c r="QEQ153" s="22"/>
      <c r="QER153" s="22"/>
      <c r="QES153" s="22"/>
      <c r="QET153" s="22"/>
      <c r="QEU153" s="22"/>
      <c r="QEV153" s="22"/>
      <c r="QEW153" s="22"/>
      <c r="QEX153" s="22"/>
      <c r="QEY153" s="22"/>
      <c r="QEZ153" s="22"/>
      <c r="QFA153" s="22"/>
      <c r="QFB153" s="22"/>
      <c r="QFC153" s="22"/>
      <c r="QFD153" s="22"/>
      <c r="QFE153" s="22"/>
      <c r="QFF153" s="22"/>
      <c r="QFG153" s="22"/>
      <c r="QFH153" s="22"/>
      <c r="QFI153" s="22"/>
      <c r="QFJ153" s="22"/>
      <c r="QFK153" s="22"/>
      <c r="QFL153" s="22"/>
      <c r="QFM153" s="22"/>
      <c r="QFN153" s="22"/>
      <c r="QFO153" s="22"/>
      <c r="QFP153" s="22"/>
      <c r="QFQ153" s="22"/>
      <c r="QFR153" s="22"/>
      <c r="QFS153" s="22"/>
      <c r="QFT153" s="22"/>
      <c r="QFU153" s="22"/>
      <c r="QFV153" s="22"/>
      <c r="QFW153" s="22"/>
      <c r="QFX153" s="22"/>
      <c r="QFY153" s="22"/>
      <c r="QFZ153" s="22"/>
      <c r="QGA153" s="22"/>
      <c r="QGB153" s="22"/>
      <c r="QGC153" s="22"/>
      <c r="QGD153" s="22"/>
      <c r="QGE153" s="22"/>
      <c r="QGF153" s="22"/>
      <c r="QGG153" s="22"/>
      <c r="QGH153" s="22"/>
      <c r="QGI153" s="22"/>
      <c r="QGJ153" s="22"/>
      <c r="QGK153" s="22"/>
      <c r="QGL153" s="22"/>
      <c r="QGM153" s="22"/>
      <c r="QGN153" s="22"/>
      <c r="QGO153" s="22"/>
      <c r="QGP153" s="22"/>
      <c r="QGQ153" s="22"/>
      <c r="QGR153" s="22"/>
      <c r="QGS153" s="22"/>
      <c r="QGT153" s="22"/>
      <c r="QGU153" s="22"/>
      <c r="QGV153" s="22"/>
      <c r="QGW153" s="22"/>
      <c r="QGX153" s="22"/>
      <c r="QGY153" s="22"/>
      <c r="QGZ153" s="22"/>
      <c r="QHA153" s="22"/>
      <c r="QHB153" s="22"/>
      <c r="QHC153" s="22"/>
      <c r="QHD153" s="22"/>
      <c r="QHE153" s="22"/>
      <c r="QHF153" s="22"/>
      <c r="QHG153" s="22"/>
      <c r="QHH153" s="22"/>
      <c r="QHI153" s="22"/>
      <c r="QHJ153" s="22"/>
      <c r="QHK153" s="22"/>
      <c r="QHL153" s="22"/>
      <c r="QHM153" s="22"/>
      <c r="QHN153" s="22"/>
      <c r="QHO153" s="22"/>
      <c r="QHP153" s="22"/>
      <c r="QHQ153" s="22"/>
      <c r="QHR153" s="22"/>
      <c r="QHS153" s="22"/>
      <c r="QHT153" s="22"/>
      <c r="QHU153" s="22"/>
      <c r="QHV153" s="22"/>
      <c r="QHW153" s="22"/>
      <c r="QHX153" s="22"/>
      <c r="QHY153" s="22"/>
      <c r="QHZ153" s="22"/>
      <c r="QIA153" s="22"/>
      <c r="QIB153" s="22"/>
      <c r="QIC153" s="22"/>
      <c r="QID153" s="22"/>
      <c r="QIE153" s="22"/>
      <c r="QIF153" s="22"/>
      <c r="QIG153" s="22"/>
      <c r="QIH153" s="22"/>
      <c r="QII153" s="22"/>
      <c r="QIJ153" s="22"/>
      <c r="QIK153" s="22"/>
      <c r="QIL153" s="22"/>
      <c r="QIM153" s="22"/>
      <c r="QIN153" s="22"/>
      <c r="QIO153" s="22"/>
      <c r="QIP153" s="22"/>
      <c r="QIQ153" s="22"/>
      <c r="QIR153" s="22"/>
      <c r="QIS153" s="22"/>
      <c r="QIT153" s="22"/>
      <c r="QIU153" s="22"/>
      <c r="QIV153" s="22"/>
      <c r="QIW153" s="22"/>
      <c r="QIX153" s="22"/>
      <c r="QIY153" s="22"/>
      <c r="QIZ153" s="22"/>
      <c r="QJA153" s="22"/>
      <c r="QJB153" s="22"/>
      <c r="QJC153" s="22"/>
      <c r="QJD153" s="22"/>
      <c r="QJE153" s="22"/>
      <c r="QJF153" s="22"/>
      <c r="QJG153" s="22"/>
      <c r="QJH153" s="22"/>
      <c r="QJI153" s="22"/>
      <c r="QJJ153" s="22"/>
      <c r="QJK153" s="22"/>
      <c r="QJL153" s="22"/>
      <c r="QJM153" s="22"/>
      <c r="QJN153" s="22"/>
      <c r="QJO153" s="22"/>
      <c r="QJP153" s="22"/>
      <c r="QJQ153" s="22"/>
      <c r="QJR153" s="22"/>
      <c r="QJS153" s="22"/>
      <c r="QJT153" s="22"/>
      <c r="QJU153" s="22"/>
      <c r="QJV153" s="22"/>
      <c r="QJW153" s="22"/>
      <c r="QJX153" s="22"/>
      <c r="QJY153" s="22"/>
      <c r="QJZ153" s="22"/>
      <c r="QKA153" s="22"/>
      <c r="QKB153" s="22"/>
      <c r="QKC153" s="22"/>
      <c r="QKD153" s="22"/>
      <c r="QKE153" s="22"/>
      <c r="QKF153" s="22"/>
      <c r="QKG153" s="22"/>
      <c r="QKH153" s="22"/>
      <c r="QKI153" s="22"/>
      <c r="QKJ153" s="22"/>
      <c r="QKK153" s="22"/>
      <c r="QKL153" s="22"/>
      <c r="QKM153" s="22"/>
      <c r="QKN153" s="22"/>
      <c r="QKO153" s="22"/>
      <c r="QKP153" s="22"/>
      <c r="QKQ153" s="22"/>
      <c r="QKR153" s="22"/>
      <c r="QKS153" s="22"/>
      <c r="QKT153" s="22"/>
      <c r="QKU153" s="22"/>
      <c r="QKV153" s="22"/>
      <c r="QKW153" s="22"/>
      <c r="QKX153" s="22"/>
      <c r="QKY153" s="22"/>
      <c r="QKZ153" s="22"/>
      <c r="QLA153" s="22"/>
      <c r="QLB153" s="22"/>
      <c r="QLC153" s="22"/>
      <c r="QLD153" s="22"/>
      <c r="QLE153" s="22"/>
      <c r="QLF153" s="22"/>
      <c r="QLG153" s="22"/>
      <c r="QLH153" s="22"/>
      <c r="QLI153" s="22"/>
      <c r="QLJ153" s="22"/>
      <c r="QLK153" s="22"/>
      <c r="QLL153" s="22"/>
      <c r="QLM153" s="22"/>
      <c r="QLN153" s="22"/>
      <c r="QLO153" s="22"/>
      <c r="QLP153" s="22"/>
      <c r="QLQ153" s="22"/>
      <c r="QLR153" s="22"/>
      <c r="QLS153" s="22"/>
      <c r="QLT153" s="22"/>
      <c r="QLU153" s="22"/>
      <c r="QLV153" s="22"/>
      <c r="QLW153" s="22"/>
      <c r="QLX153" s="22"/>
      <c r="QLY153" s="22"/>
      <c r="QLZ153" s="22"/>
      <c r="QMA153" s="22"/>
      <c r="QMB153" s="22"/>
      <c r="QMC153" s="22"/>
      <c r="QMD153" s="22"/>
      <c r="QME153" s="22"/>
      <c r="QMF153" s="22"/>
      <c r="QMG153" s="22"/>
      <c r="QMH153" s="22"/>
      <c r="QMI153" s="22"/>
      <c r="QMJ153" s="22"/>
      <c r="QMK153" s="22"/>
      <c r="QML153" s="22"/>
      <c r="QMM153" s="22"/>
      <c r="QMN153" s="22"/>
      <c r="QMO153" s="22"/>
      <c r="QMP153" s="22"/>
      <c r="QMQ153" s="22"/>
      <c r="QMR153" s="22"/>
      <c r="QMS153" s="22"/>
      <c r="QMT153" s="22"/>
      <c r="QMU153" s="22"/>
      <c r="QMV153" s="22"/>
      <c r="QMW153" s="22"/>
      <c r="QMX153" s="22"/>
      <c r="QMY153" s="22"/>
      <c r="QMZ153" s="22"/>
      <c r="QNA153" s="22"/>
      <c r="QNB153" s="22"/>
      <c r="QNC153" s="22"/>
      <c r="QND153" s="22"/>
      <c r="QNE153" s="22"/>
      <c r="QNF153" s="22"/>
      <c r="QNG153" s="22"/>
      <c r="QNH153" s="22"/>
      <c r="QNI153" s="22"/>
      <c r="QNJ153" s="22"/>
      <c r="QNK153" s="22"/>
      <c r="QNL153" s="22"/>
      <c r="QNM153" s="22"/>
      <c r="QNN153" s="22"/>
      <c r="QNO153" s="22"/>
      <c r="QNP153" s="22"/>
      <c r="QNQ153" s="22"/>
      <c r="QNR153" s="22"/>
      <c r="QNS153" s="22"/>
      <c r="QNT153" s="22"/>
      <c r="QNU153" s="22"/>
      <c r="QNV153" s="22"/>
      <c r="QNW153" s="22"/>
      <c r="QNX153" s="22"/>
      <c r="QNY153" s="22"/>
      <c r="QNZ153" s="22"/>
      <c r="QOA153" s="22"/>
      <c r="QOB153" s="22"/>
      <c r="QOC153" s="22"/>
      <c r="QOD153" s="22"/>
      <c r="QOE153" s="22"/>
      <c r="QOF153" s="22"/>
      <c r="QOG153" s="22"/>
      <c r="QOH153" s="22"/>
      <c r="QOI153" s="22"/>
      <c r="QOJ153" s="22"/>
      <c r="QOK153" s="22"/>
      <c r="QOL153" s="22"/>
      <c r="QOM153" s="22"/>
      <c r="QON153" s="22"/>
      <c r="QOO153" s="22"/>
      <c r="QOP153" s="22"/>
      <c r="QOQ153" s="22"/>
      <c r="QOR153" s="22"/>
      <c r="QOS153" s="22"/>
      <c r="QOT153" s="22"/>
      <c r="QOU153" s="22"/>
      <c r="QOV153" s="22"/>
      <c r="QOW153" s="22"/>
      <c r="QOX153" s="22"/>
      <c r="QOY153" s="22"/>
      <c r="QOZ153" s="22"/>
      <c r="QPA153" s="22"/>
      <c r="QPB153" s="22"/>
      <c r="QPC153" s="22"/>
      <c r="QPD153" s="22"/>
      <c r="QPE153" s="22"/>
      <c r="QPF153" s="22"/>
      <c r="QPG153" s="22"/>
      <c r="QPH153" s="22"/>
      <c r="QPI153" s="22"/>
      <c r="QPJ153" s="22"/>
      <c r="QPK153" s="22"/>
      <c r="QPL153" s="22"/>
      <c r="QPM153" s="22"/>
      <c r="QPN153" s="22"/>
      <c r="QPO153" s="22"/>
      <c r="QPP153" s="22"/>
      <c r="QPQ153" s="22"/>
      <c r="QPR153" s="22"/>
      <c r="QPS153" s="22"/>
      <c r="QPT153" s="22"/>
      <c r="QPU153" s="22"/>
      <c r="QPV153" s="22"/>
      <c r="QPW153" s="22"/>
      <c r="QPX153" s="22"/>
      <c r="QPY153" s="22"/>
      <c r="QPZ153" s="22"/>
      <c r="QQA153" s="22"/>
      <c r="QQB153" s="22"/>
      <c r="QQC153" s="22"/>
      <c r="QQD153" s="22"/>
      <c r="QQE153" s="22"/>
      <c r="QQF153" s="22"/>
      <c r="QQG153" s="22"/>
      <c r="QQH153" s="22"/>
      <c r="QQI153" s="22"/>
      <c r="QQJ153" s="22"/>
      <c r="QQK153" s="22"/>
      <c r="QQL153" s="22"/>
      <c r="QQM153" s="22"/>
      <c r="QQN153" s="22"/>
      <c r="QQO153" s="22"/>
      <c r="QQP153" s="22"/>
      <c r="QQQ153" s="22"/>
      <c r="QQR153" s="22"/>
      <c r="QQS153" s="22"/>
      <c r="QQT153" s="22"/>
      <c r="QQU153" s="22"/>
      <c r="QQV153" s="22"/>
      <c r="QQW153" s="22"/>
      <c r="QQX153" s="22"/>
      <c r="QQY153" s="22"/>
      <c r="QQZ153" s="22"/>
      <c r="QRA153" s="22"/>
      <c r="QRB153" s="22"/>
      <c r="QRC153" s="22"/>
      <c r="QRD153" s="22"/>
      <c r="QRE153" s="22"/>
      <c r="QRF153" s="22"/>
      <c r="QRG153" s="22"/>
      <c r="QRH153" s="22"/>
      <c r="QRI153" s="22"/>
      <c r="QRJ153" s="22"/>
      <c r="QRK153" s="22"/>
      <c r="QRL153" s="22"/>
      <c r="QRM153" s="22"/>
      <c r="QRN153" s="22"/>
      <c r="QRO153" s="22"/>
      <c r="QRP153" s="22"/>
      <c r="QRQ153" s="22"/>
      <c r="QRR153" s="22"/>
      <c r="QRS153" s="22"/>
      <c r="QRT153" s="22"/>
      <c r="QRU153" s="22"/>
      <c r="QRV153" s="22"/>
      <c r="QRW153" s="22"/>
      <c r="QRX153" s="22"/>
      <c r="QRY153" s="22"/>
      <c r="QRZ153" s="22"/>
      <c r="QSA153" s="22"/>
      <c r="QSB153" s="22"/>
      <c r="QSC153" s="22"/>
      <c r="QSD153" s="22"/>
      <c r="QSE153" s="22"/>
      <c r="QSF153" s="22"/>
      <c r="QSG153" s="22"/>
      <c r="QSH153" s="22"/>
      <c r="QSI153" s="22"/>
      <c r="QSJ153" s="22"/>
      <c r="QSK153" s="22"/>
      <c r="QSL153" s="22"/>
      <c r="QSM153" s="22"/>
      <c r="QSN153" s="22"/>
      <c r="QSO153" s="22"/>
      <c r="QSP153" s="22"/>
      <c r="QSQ153" s="22"/>
      <c r="QSR153" s="22"/>
      <c r="QSS153" s="22"/>
      <c r="QST153" s="22"/>
      <c r="QSU153" s="22"/>
      <c r="QSV153" s="22"/>
      <c r="QSW153" s="22"/>
      <c r="QSX153" s="22"/>
      <c r="QSY153" s="22"/>
      <c r="QSZ153" s="22"/>
      <c r="QTA153" s="22"/>
      <c r="QTB153" s="22"/>
      <c r="QTC153" s="22"/>
      <c r="QTD153" s="22"/>
      <c r="QTE153" s="22"/>
      <c r="QTF153" s="22"/>
      <c r="QTG153" s="22"/>
      <c r="QTH153" s="22"/>
      <c r="QTI153" s="22"/>
      <c r="QTJ153" s="22"/>
      <c r="QTK153" s="22"/>
      <c r="QTL153" s="22"/>
      <c r="QTM153" s="22"/>
      <c r="QTN153" s="22"/>
      <c r="QTO153" s="22"/>
      <c r="QTP153" s="22"/>
      <c r="QTQ153" s="22"/>
      <c r="QTR153" s="22"/>
      <c r="QTS153" s="22"/>
      <c r="QTT153" s="22"/>
      <c r="QTU153" s="22"/>
      <c r="QTV153" s="22"/>
      <c r="QTW153" s="22"/>
      <c r="QTX153" s="22"/>
      <c r="QTY153" s="22"/>
      <c r="QTZ153" s="22"/>
      <c r="QUA153" s="22"/>
      <c r="QUB153" s="22"/>
      <c r="QUC153" s="22"/>
      <c r="QUD153" s="22"/>
      <c r="QUE153" s="22"/>
      <c r="QUF153" s="22"/>
      <c r="QUG153" s="22"/>
      <c r="QUH153" s="22"/>
      <c r="QUI153" s="22"/>
      <c r="QUJ153" s="22"/>
      <c r="QUK153" s="22"/>
      <c r="QUL153" s="22"/>
      <c r="QUM153" s="22"/>
      <c r="QUN153" s="22"/>
      <c r="QUO153" s="22"/>
      <c r="QUP153" s="22"/>
      <c r="QUQ153" s="22"/>
      <c r="QUR153" s="22"/>
      <c r="QUS153" s="22"/>
      <c r="QUT153" s="22"/>
      <c r="QUU153" s="22"/>
      <c r="QUV153" s="22"/>
      <c r="QUW153" s="22"/>
      <c r="QUX153" s="22"/>
      <c r="QUY153" s="22"/>
      <c r="QUZ153" s="22"/>
      <c r="QVA153" s="22"/>
      <c r="QVB153" s="22"/>
      <c r="QVC153" s="22"/>
      <c r="QVD153" s="22"/>
      <c r="QVE153" s="22"/>
      <c r="QVF153" s="22"/>
      <c r="QVG153" s="22"/>
      <c r="QVH153" s="22"/>
      <c r="QVI153" s="22"/>
      <c r="QVJ153" s="22"/>
      <c r="QVK153" s="22"/>
      <c r="QVL153" s="22"/>
      <c r="QVM153" s="22"/>
      <c r="QVN153" s="22"/>
      <c r="QVO153" s="22"/>
      <c r="QVP153" s="22"/>
      <c r="QVQ153" s="22"/>
      <c r="QVR153" s="22"/>
      <c r="QVS153" s="22"/>
      <c r="QVT153" s="22"/>
      <c r="QVU153" s="22"/>
      <c r="QVV153" s="22"/>
      <c r="QVW153" s="22"/>
      <c r="QVX153" s="22"/>
      <c r="QVY153" s="22"/>
      <c r="QVZ153" s="22"/>
      <c r="QWA153" s="22"/>
      <c r="QWB153" s="22"/>
      <c r="QWC153" s="22"/>
      <c r="QWD153" s="22"/>
      <c r="QWE153" s="22"/>
      <c r="QWF153" s="22"/>
      <c r="QWG153" s="22"/>
      <c r="QWH153" s="22"/>
      <c r="QWI153" s="22"/>
      <c r="QWJ153" s="22"/>
      <c r="QWK153" s="22"/>
      <c r="QWL153" s="22"/>
      <c r="QWM153" s="22"/>
      <c r="QWN153" s="22"/>
      <c r="QWO153" s="22"/>
      <c r="QWP153" s="22"/>
      <c r="QWQ153" s="22"/>
      <c r="QWR153" s="22"/>
      <c r="QWS153" s="22"/>
      <c r="QWT153" s="22"/>
      <c r="QWU153" s="22"/>
      <c r="QWV153" s="22"/>
      <c r="QWW153" s="22"/>
      <c r="QWX153" s="22"/>
      <c r="QWY153" s="22"/>
      <c r="QWZ153" s="22"/>
      <c r="QXA153" s="22"/>
      <c r="QXB153" s="22"/>
      <c r="QXC153" s="22"/>
      <c r="QXD153" s="22"/>
      <c r="QXE153" s="22"/>
      <c r="QXF153" s="22"/>
      <c r="QXG153" s="22"/>
      <c r="QXH153" s="22"/>
      <c r="QXI153" s="22"/>
      <c r="QXJ153" s="22"/>
      <c r="QXK153" s="22"/>
      <c r="QXL153" s="22"/>
      <c r="QXM153" s="22"/>
      <c r="QXN153" s="22"/>
      <c r="QXO153" s="22"/>
      <c r="QXP153" s="22"/>
      <c r="QXQ153" s="22"/>
      <c r="QXR153" s="22"/>
      <c r="QXS153" s="22"/>
      <c r="QXT153" s="22"/>
      <c r="QXU153" s="22"/>
      <c r="QXV153" s="22"/>
      <c r="QXW153" s="22"/>
      <c r="QXX153" s="22"/>
      <c r="QXY153" s="22"/>
      <c r="QXZ153" s="22"/>
      <c r="QYA153" s="22"/>
      <c r="QYB153" s="22"/>
      <c r="QYC153" s="22"/>
      <c r="QYD153" s="22"/>
      <c r="QYE153" s="22"/>
      <c r="QYF153" s="22"/>
      <c r="QYG153" s="22"/>
      <c r="QYH153" s="22"/>
      <c r="QYI153" s="22"/>
      <c r="QYJ153" s="22"/>
      <c r="QYK153" s="22"/>
      <c r="QYL153" s="22"/>
      <c r="QYM153" s="22"/>
      <c r="QYN153" s="22"/>
      <c r="QYO153" s="22"/>
      <c r="QYP153" s="22"/>
      <c r="QYQ153" s="22"/>
      <c r="QYR153" s="22"/>
      <c r="QYS153" s="22"/>
      <c r="QYT153" s="22"/>
      <c r="QYU153" s="22"/>
      <c r="QYV153" s="22"/>
      <c r="QYW153" s="22"/>
      <c r="QYX153" s="22"/>
      <c r="QYY153" s="22"/>
      <c r="QYZ153" s="22"/>
      <c r="QZA153" s="22"/>
      <c r="QZB153" s="22"/>
      <c r="QZC153" s="22"/>
      <c r="QZD153" s="22"/>
      <c r="QZE153" s="22"/>
      <c r="QZF153" s="22"/>
      <c r="QZG153" s="22"/>
      <c r="QZH153" s="22"/>
      <c r="QZI153" s="22"/>
      <c r="QZJ153" s="22"/>
      <c r="QZK153" s="22"/>
      <c r="QZL153" s="22"/>
      <c r="QZM153" s="22"/>
      <c r="QZN153" s="22"/>
      <c r="QZO153" s="22"/>
      <c r="QZP153" s="22"/>
      <c r="QZQ153" s="22"/>
      <c r="QZR153" s="22"/>
      <c r="QZS153" s="22"/>
      <c r="QZT153" s="22"/>
      <c r="QZU153" s="22"/>
      <c r="QZV153" s="22"/>
      <c r="QZW153" s="22"/>
      <c r="QZX153" s="22"/>
      <c r="QZY153" s="22"/>
      <c r="QZZ153" s="22"/>
      <c r="RAA153" s="22"/>
      <c r="RAB153" s="22"/>
      <c r="RAC153" s="22"/>
      <c r="RAD153" s="22"/>
      <c r="RAE153" s="22"/>
      <c r="RAF153" s="22"/>
      <c r="RAG153" s="22"/>
      <c r="RAH153" s="22"/>
      <c r="RAI153" s="22"/>
      <c r="RAJ153" s="22"/>
      <c r="RAK153" s="22"/>
      <c r="RAL153" s="22"/>
      <c r="RAM153" s="22"/>
      <c r="RAN153" s="22"/>
      <c r="RAO153" s="22"/>
      <c r="RAP153" s="22"/>
      <c r="RAQ153" s="22"/>
      <c r="RAR153" s="22"/>
      <c r="RAS153" s="22"/>
      <c r="RAT153" s="22"/>
      <c r="RAU153" s="22"/>
      <c r="RAV153" s="22"/>
      <c r="RAW153" s="22"/>
      <c r="RAX153" s="22"/>
      <c r="RAY153" s="22"/>
      <c r="RAZ153" s="22"/>
      <c r="RBA153" s="22"/>
      <c r="RBB153" s="22"/>
      <c r="RBC153" s="22"/>
      <c r="RBD153" s="22"/>
      <c r="RBE153" s="22"/>
      <c r="RBF153" s="22"/>
      <c r="RBG153" s="22"/>
      <c r="RBH153" s="22"/>
      <c r="RBI153" s="22"/>
      <c r="RBJ153" s="22"/>
      <c r="RBK153" s="22"/>
      <c r="RBL153" s="22"/>
      <c r="RBM153" s="22"/>
      <c r="RBN153" s="22"/>
      <c r="RBO153" s="22"/>
      <c r="RBP153" s="22"/>
      <c r="RBQ153" s="22"/>
      <c r="RBR153" s="22"/>
      <c r="RBS153" s="22"/>
      <c r="RBT153" s="22"/>
      <c r="RBU153" s="22"/>
      <c r="RBV153" s="22"/>
      <c r="RBW153" s="22"/>
      <c r="RBX153" s="22"/>
      <c r="RBY153" s="22"/>
      <c r="RBZ153" s="22"/>
      <c r="RCA153" s="22"/>
      <c r="RCB153" s="22"/>
      <c r="RCC153" s="22"/>
      <c r="RCD153" s="22"/>
      <c r="RCE153" s="22"/>
      <c r="RCF153" s="22"/>
      <c r="RCG153" s="22"/>
      <c r="RCH153" s="22"/>
      <c r="RCI153" s="22"/>
      <c r="RCJ153" s="22"/>
      <c r="RCK153" s="22"/>
      <c r="RCL153" s="22"/>
      <c r="RCM153" s="22"/>
      <c r="RCN153" s="22"/>
      <c r="RCO153" s="22"/>
      <c r="RCP153" s="22"/>
      <c r="RCQ153" s="22"/>
      <c r="RCR153" s="22"/>
      <c r="RCS153" s="22"/>
      <c r="RCT153" s="22"/>
      <c r="RCU153" s="22"/>
      <c r="RCV153" s="22"/>
      <c r="RCW153" s="22"/>
      <c r="RCX153" s="22"/>
      <c r="RCY153" s="22"/>
      <c r="RCZ153" s="22"/>
      <c r="RDA153" s="22"/>
      <c r="RDB153" s="22"/>
      <c r="RDC153" s="22"/>
      <c r="RDD153" s="22"/>
      <c r="RDE153" s="22"/>
      <c r="RDF153" s="22"/>
      <c r="RDG153" s="22"/>
      <c r="RDH153" s="22"/>
      <c r="RDI153" s="22"/>
      <c r="RDJ153" s="22"/>
      <c r="RDK153" s="22"/>
      <c r="RDL153" s="22"/>
      <c r="RDM153" s="22"/>
      <c r="RDN153" s="22"/>
      <c r="RDO153" s="22"/>
      <c r="RDP153" s="22"/>
      <c r="RDQ153" s="22"/>
      <c r="RDR153" s="22"/>
      <c r="RDS153" s="22"/>
      <c r="RDT153" s="22"/>
      <c r="RDU153" s="22"/>
      <c r="RDV153" s="22"/>
      <c r="RDW153" s="22"/>
      <c r="RDX153" s="22"/>
      <c r="RDY153" s="22"/>
      <c r="RDZ153" s="22"/>
      <c r="REA153" s="22"/>
      <c r="REB153" s="22"/>
      <c r="REC153" s="22"/>
      <c r="RED153" s="22"/>
      <c r="REE153" s="22"/>
      <c r="REF153" s="22"/>
      <c r="REG153" s="22"/>
      <c r="REH153" s="22"/>
      <c r="REI153" s="22"/>
      <c r="REJ153" s="22"/>
      <c r="REK153" s="22"/>
      <c r="REL153" s="22"/>
      <c r="REM153" s="22"/>
      <c r="REN153" s="22"/>
      <c r="REO153" s="22"/>
      <c r="REP153" s="22"/>
      <c r="REQ153" s="22"/>
      <c r="RER153" s="22"/>
      <c r="RES153" s="22"/>
      <c r="RET153" s="22"/>
      <c r="REU153" s="22"/>
      <c r="REV153" s="22"/>
      <c r="REW153" s="22"/>
      <c r="REX153" s="22"/>
      <c r="REY153" s="22"/>
      <c r="REZ153" s="22"/>
      <c r="RFA153" s="22"/>
      <c r="RFB153" s="22"/>
      <c r="RFC153" s="22"/>
      <c r="RFD153" s="22"/>
      <c r="RFE153" s="22"/>
      <c r="RFF153" s="22"/>
      <c r="RFG153" s="22"/>
      <c r="RFH153" s="22"/>
      <c r="RFI153" s="22"/>
      <c r="RFJ153" s="22"/>
      <c r="RFK153" s="22"/>
      <c r="RFL153" s="22"/>
      <c r="RFM153" s="22"/>
      <c r="RFN153" s="22"/>
      <c r="RFO153" s="22"/>
      <c r="RFP153" s="22"/>
      <c r="RFQ153" s="22"/>
      <c r="RFR153" s="22"/>
      <c r="RFS153" s="22"/>
      <c r="RFT153" s="22"/>
      <c r="RFU153" s="22"/>
      <c r="RFV153" s="22"/>
      <c r="RFW153" s="22"/>
      <c r="RFX153" s="22"/>
      <c r="RFY153" s="22"/>
      <c r="RFZ153" s="22"/>
      <c r="RGA153" s="22"/>
      <c r="RGB153" s="22"/>
      <c r="RGC153" s="22"/>
      <c r="RGD153" s="22"/>
      <c r="RGE153" s="22"/>
      <c r="RGF153" s="22"/>
      <c r="RGG153" s="22"/>
      <c r="RGH153" s="22"/>
      <c r="RGI153" s="22"/>
      <c r="RGJ153" s="22"/>
      <c r="RGK153" s="22"/>
      <c r="RGL153" s="22"/>
      <c r="RGM153" s="22"/>
      <c r="RGN153" s="22"/>
      <c r="RGO153" s="22"/>
      <c r="RGP153" s="22"/>
      <c r="RGQ153" s="22"/>
      <c r="RGR153" s="22"/>
      <c r="RGS153" s="22"/>
      <c r="RGT153" s="22"/>
      <c r="RGU153" s="22"/>
      <c r="RGV153" s="22"/>
      <c r="RGW153" s="22"/>
      <c r="RGX153" s="22"/>
      <c r="RGY153" s="22"/>
      <c r="RGZ153" s="22"/>
      <c r="RHA153" s="22"/>
      <c r="RHB153" s="22"/>
      <c r="RHC153" s="22"/>
      <c r="RHD153" s="22"/>
      <c r="RHE153" s="22"/>
      <c r="RHF153" s="22"/>
      <c r="RHG153" s="22"/>
      <c r="RHH153" s="22"/>
      <c r="RHI153" s="22"/>
      <c r="RHJ153" s="22"/>
      <c r="RHK153" s="22"/>
      <c r="RHL153" s="22"/>
      <c r="RHM153" s="22"/>
      <c r="RHN153" s="22"/>
      <c r="RHO153" s="22"/>
      <c r="RHP153" s="22"/>
      <c r="RHQ153" s="22"/>
      <c r="RHR153" s="22"/>
      <c r="RHS153" s="22"/>
      <c r="RHT153" s="22"/>
      <c r="RHU153" s="22"/>
      <c r="RHV153" s="22"/>
      <c r="RHW153" s="22"/>
      <c r="RHX153" s="22"/>
      <c r="RHY153" s="22"/>
      <c r="RHZ153" s="22"/>
      <c r="RIA153" s="22"/>
      <c r="RIB153" s="22"/>
      <c r="RIC153" s="22"/>
      <c r="RID153" s="22"/>
      <c r="RIE153" s="22"/>
      <c r="RIF153" s="22"/>
      <c r="RIG153" s="22"/>
      <c r="RIH153" s="22"/>
      <c r="RII153" s="22"/>
      <c r="RIJ153" s="22"/>
      <c r="RIK153" s="22"/>
      <c r="RIL153" s="22"/>
      <c r="RIM153" s="22"/>
      <c r="RIN153" s="22"/>
      <c r="RIO153" s="22"/>
      <c r="RIP153" s="22"/>
      <c r="RIQ153" s="22"/>
      <c r="RIR153" s="22"/>
      <c r="RIS153" s="22"/>
      <c r="RIT153" s="22"/>
      <c r="RIU153" s="22"/>
      <c r="RIV153" s="22"/>
      <c r="RIW153" s="22"/>
      <c r="RIX153" s="22"/>
      <c r="RIY153" s="22"/>
      <c r="RIZ153" s="22"/>
      <c r="RJA153" s="22"/>
      <c r="RJB153" s="22"/>
      <c r="RJC153" s="22"/>
      <c r="RJD153" s="22"/>
      <c r="RJE153" s="22"/>
      <c r="RJF153" s="22"/>
      <c r="RJG153" s="22"/>
      <c r="RJH153" s="22"/>
      <c r="RJI153" s="22"/>
      <c r="RJJ153" s="22"/>
      <c r="RJK153" s="22"/>
      <c r="RJL153" s="22"/>
      <c r="RJM153" s="22"/>
      <c r="RJN153" s="22"/>
      <c r="RJO153" s="22"/>
      <c r="RJP153" s="22"/>
      <c r="RJQ153" s="22"/>
      <c r="RJR153" s="22"/>
      <c r="RJS153" s="22"/>
      <c r="RJT153" s="22"/>
      <c r="RJU153" s="22"/>
      <c r="RJV153" s="22"/>
      <c r="RJW153" s="22"/>
      <c r="RJX153" s="22"/>
      <c r="RJY153" s="22"/>
      <c r="RJZ153" s="22"/>
      <c r="RKA153" s="22"/>
      <c r="RKB153" s="22"/>
      <c r="RKC153" s="22"/>
      <c r="RKD153" s="22"/>
      <c r="RKE153" s="22"/>
      <c r="RKF153" s="22"/>
      <c r="RKG153" s="22"/>
      <c r="RKH153" s="22"/>
      <c r="RKI153" s="22"/>
      <c r="RKJ153" s="22"/>
      <c r="RKK153" s="22"/>
      <c r="RKL153" s="22"/>
      <c r="RKM153" s="22"/>
      <c r="RKN153" s="22"/>
      <c r="RKO153" s="22"/>
      <c r="RKP153" s="22"/>
      <c r="RKQ153" s="22"/>
      <c r="RKR153" s="22"/>
      <c r="RKS153" s="22"/>
      <c r="RKT153" s="22"/>
      <c r="RKU153" s="22"/>
      <c r="RKV153" s="22"/>
      <c r="RKW153" s="22"/>
      <c r="RKX153" s="22"/>
      <c r="RKY153" s="22"/>
      <c r="RKZ153" s="22"/>
      <c r="RLA153" s="22"/>
      <c r="RLB153" s="22"/>
      <c r="RLC153" s="22"/>
      <c r="RLD153" s="22"/>
      <c r="RLE153" s="22"/>
      <c r="RLF153" s="22"/>
      <c r="RLG153" s="22"/>
      <c r="RLH153" s="22"/>
      <c r="RLI153" s="22"/>
      <c r="RLJ153" s="22"/>
      <c r="RLK153" s="22"/>
      <c r="RLL153" s="22"/>
      <c r="RLM153" s="22"/>
      <c r="RLN153" s="22"/>
      <c r="RLO153" s="22"/>
      <c r="RLP153" s="22"/>
      <c r="RLQ153" s="22"/>
      <c r="RLR153" s="22"/>
      <c r="RLS153" s="22"/>
      <c r="RLT153" s="22"/>
      <c r="RLU153" s="22"/>
      <c r="RLV153" s="22"/>
      <c r="RLW153" s="22"/>
      <c r="RLX153" s="22"/>
      <c r="RLY153" s="22"/>
      <c r="RLZ153" s="22"/>
      <c r="RMA153" s="22"/>
      <c r="RMB153" s="22"/>
      <c r="RMC153" s="22"/>
      <c r="RMD153" s="22"/>
      <c r="RME153" s="22"/>
      <c r="RMF153" s="22"/>
      <c r="RMG153" s="22"/>
      <c r="RMH153" s="22"/>
      <c r="RMI153" s="22"/>
      <c r="RMJ153" s="22"/>
      <c r="RMK153" s="22"/>
      <c r="RML153" s="22"/>
      <c r="RMM153" s="22"/>
      <c r="RMN153" s="22"/>
      <c r="RMO153" s="22"/>
      <c r="RMP153" s="22"/>
      <c r="RMQ153" s="22"/>
      <c r="RMR153" s="22"/>
      <c r="RMS153" s="22"/>
      <c r="RMT153" s="22"/>
      <c r="RMU153" s="22"/>
      <c r="RMV153" s="22"/>
      <c r="RMW153" s="22"/>
      <c r="RMX153" s="22"/>
      <c r="RMY153" s="22"/>
      <c r="RMZ153" s="22"/>
      <c r="RNA153" s="22"/>
      <c r="RNB153" s="22"/>
      <c r="RNC153" s="22"/>
      <c r="RND153" s="22"/>
      <c r="RNE153" s="22"/>
      <c r="RNF153" s="22"/>
      <c r="RNG153" s="22"/>
      <c r="RNH153" s="22"/>
      <c r="RNI153" s="22"/>
      <c r="RNJ153" s="22"/>
      <c r="RNK153" s="22"/>
      <c r="RNL153" s="22"/>
      <c r="RNM153" s="22"/>
      <c r="RNN153" s="22"/>
      <c r="RNO153" s="22"/>
      <c r="RNP153" s="22"/>
      <c r="RNQ153" s="22"/>
      <c r="RNR153" s="22"/>
      <c r="RNS153" s="22"/>
      <c r="RNT153" s="22"/>
      <c r="RNU153" s="22"/>
      <c r="RNV153" s="22"/>
      <c r="RNW153" s="22"/>
      <c r="RNX153" s="22"/>
      <c r="RNY153" s="22"/>
      <c r="RNZ153" s="22"/>
      <c r="ROA153" s="22"/>
      <c r="ROB153" s="22"/>
      <c r="ROC153" s="22"/>
      <c r="ROD153" s="22"/>
      <c r="ROE153" s="22"/>
      <c r="ROF153" s="22"/>
      <c r="ROG153" s="22"/>
      <c r="ROH153" s="22"/>
      <c r="ROI153" s="22"/>
      <c r="ROJ153" s="22"/>
      <c r="ROK153" s="22"/>
      <c r="ROL153" s="22"/>
      <c r="ROM153" s="22"/>
      <c r="RON153" s="22"/>
      <c r="ROO153" s="22"/>
      <c r="ROP153" s="22"/>
      <c r="ROQ153" s="22"/>
      <c r="ROR153" s="22"/>
      <c r="ROS153" s="22"/>
      <c r="ROT153" s="22"/>
      <c r="ROU153" s="22"/>
      <c r="ROV153" s="22"/>
      <c r="ROW153" s="22"/>
      <c r="ROX153" s="22"/>
      <c r="ROY153" s="22"/>
      <c r="ROZ153" s="22"/>
      <c r="RPA153" s="22"/>
      <c r="RPB153" s="22"/>
      <c r="RPC153" s="22"/>
      <c r="RPD153" s="22"/>
      <c r="RPE153" s="22"/>
      <c r="RPF153" s="22"/>
      <c r="RPG153" s="22"/>
      <c r="RPH153" s="22"/>
      <c r="RPI153" s="22"/>
      <c r="RPJ153" s="22"/>
      <c r="RPK153" s="22"/>
      <c r="RPL153" s="22"/>
      <c r="RPM153" s="22"/>
      <c r="RPN153" s="22"/>
      <c r="RPO153" s="22"/>
      <c r="RPP153" s="22"/>
      <c r="RPQ153" s="22"/>
      <c r="RPR153" s="22"/>
      <c r="RPS153" s="22"/>
      <c r="RPT153" s="22"/>
      <c r="RPU153" s="22"/>
      <c r="RPV153" s="22"/>
      <c r="RPW153" s="22"/>
      <c r="RPX153" s="22"/>
      <c r="RPY153" s="22"/>
      <c r="RPZ153" s="22"/>
      <c r="RQA153" s="22"/>
      <c r="RQB153" s="22"/>
      <c r="RQC153" s="22"/>
      <c r="RQD153" s="22"/>
      <c r="RQE153" s="22"/>
      <c r="RQF153" s="22"/>
      <c r="RQG153" s="22"/>
      <c r="RQH153" s="22"/>
      <c r="RQI153" s="22"/>
      <c r="RQJ153" s="22"/>
      <c r="RQK153" s="22"/>
      <c r="RQL153" s="22"/>
      <c r="RQM153" s="22"/>
      <c r="RQN153" s="22"/>
      <c r="RQO153" s="22"/>
      <c r="RQP153" s="22"/>
      <c r="RQQ153" s="22"/>
      <c r="RQR153" s="22"/>
      <c r="RQS153" s="22"/>
      <c r="RQT153" s="22"/>
      <c r="RQU153" s="22"/>
      <c r="RQV153" s="22"/>
      <c r="RQW153" s="22"/>
      <c r="RQX153" s="22"/>
      <c r="RQY153" s="22"/>
      <c r="RQZ153" s="22"/>
      <c r="RRA153" s="22"/>
      <c r="RRB153" s="22"/>
      <c r="RRC153" s="22"/>
      <c r="RRD153" s="22"/>
      <c r="RRE153" s="22"/>
      <c r="RRF153" s="22"/>
      <c r="RRG153" s="22"/>
      <c r="RRH153" s="22"/>
      <c r="RRI153" s="22"/>
      <c r="RRJ153" s="22"/>
      <c r="RRK153" s="22"/>
      <c r="RRL153" s="22"/>
      <c r="RRM153" s="22"/>
      <c r="RRN153" s="22"/>
      <c r="RRO153" s="22"/>
      <c r="RRP153" s="22"/>
      <c r="RRQ153" s="22"/>
      <c r="RRR153" s="22"/>
      <c r="RRS153" s="22"/>
      <c r="RRT153" s="22"/>
      <c r="RRU153" s="22"/>
      <c r="RRV153" s="22"/>
      <c r="RRW153" s="22"/>
      <c r="RRX153" s="22"/>
      <c r="RRY153" s="22"/>
      <c r="RRZ153" s="22"/>
      <c r="RSA153" s="22"/>
      <c r="RSB153" s="22"/>
      <c r="RSC153" s="22"/>
      <c r="RSD153" s="22"/>
      <c r="RSE153" s="22"/>
      <c r="RSF153" s="22"/>
      <c r="RSG153" s="22"/>
      <c r="RSH153" s="22"/>
      <c r="RSI153" s="22"/>
      <c r="RSJ153" s="22"/>
      <c r="RSK153" s="22"/>
      <c r="RSL153" s="22"/>
      <c r="RSM153" s="22"/>
      <c r="RSN153" s="22"/>
      <c r="RSO153" s="22"/>
      <c r="RSP153" s="22"/>
      <c r="RSQ153" s="22"/>
      <c r="RSR153" s="22"/>
      <c r="RSS153" s="22"/>
      <c r="RST153" s="22"/>
      <c r="RSU153" s="22"/>
      <c r="RSV153" s="22"/>
      <c r="RSW153" s="22"/>
      <c r="RSX153" s="22"/>
      <c r="RSY153" s="22"/>
      <c r="RSZ153" s="22"/>
      <c r="RTA153" s="22"/>
      <c r="RTB153" s="22"/>
      <c r="RTC153" s="22"/>
      <c r="RTD153" s="22"/>
      <c r="RTE153" s="22"/>
      <c r="RTF153" s="22"/>
      <c r="RTG153" s="22"/>
      <c r="RTH153" s="22"/>
      <c r="RTI153" s="22"/>
      <c r="RTJ153" s="22"/>
      <c r="RTK153" s="22"/>
      <c r="RTL153" s="22"/>
      <c r="RTM153" s="22"/>
      <c r="RTN153" s="22"/>
      <c r="RTO153" s="22"/>
      <c r="RTP153" s="22"/>
      <c r="RTQ153" s="22"/>
      <c r="RTR153" s="22"/>
      <c r="RTS153" s="22"/>
      <c r="RTT153" s="22"/>
      <c r="RTU153" s="22"/>
      <c r="RTV153" s="22"/>
      <c r="RTW153" s="22"/>
      <c r="RTX153" s="22"/>
      <c r="RTY153" s="22"/>
      <c r="RTZ153" s="22"/>
      <c r="RUA153" s="22"/>
      <c r="RUB153" s="22"/>
      <c r="RUC153" s="22"/>
      <c r="RUD153" s="22"/>
      <c r="RUE153" s="22"/>
      <c r="RUF153" s="22"/>
      <c r="RUG153" s="22"/>
      <c r="RUH153" s="22"/>
      <c r="RUI153" s="22"/>
      <c r="RUJ153" s="22"/>
      <c r="RUK153" s="22"/>
      <c r="RUL153" s="22"/>
      <c r="RUM153" s="22"/>
      <c r="RUN153" s="22"/>
      <c r="RUO153" s="22"/>
      <c r="RUP153" s="22"/>
      <c r="RUQ153" s="22"/>
      <c r="RUR153" s="22"/>
      <c r="RUS153" s="22"/>
      <c r="RUT153" s="22"/>
      <c r="RUU153" s="22"/>
      <c r="RUV153" s="22"/>
      <c r="RUW153" s="22"/>
      <c r="RUX153" s="22"/>
      <c r="RUY153" s="22"/>
      <c r="RUZ153" s="22"/>
      <c r="RVA153" s="22"/>
      <c r="RVB153" s="22"/>
      <c r="RVC153" s="22"/>
      <c r="RVD153" s="22"/>
      <c r="RVE153" s="22"/>
      <c r="RVF153" s="22"/>
      <c r="RVG153" s="22"/>
      <c r="RVH153" s="22"/>
      <c r="RVI153" s="22"/>
      <c r="RVJ153" s="22"/>
      <c r="RVK153" s="22"/>
      <c r="RVL153" s="22"/>
      <c r="RVM153" s="22"/>
      <c r="RVN153" s="22"/>
      <c r="RVO153" s="22"/>
      <c r="RVP153" s="22"/>
      <c r="RVQ153" s="22"/>
      <c r="RVR153" s="22"/>
      <c r="RVS153" s="22"/>
      <c r="RVT153" s="22"/>
      <c r="RVU153" s="22"/>
      <c r="RVV153" s="22"/>
      <c r="RVW153" s="22"/>
      <c r="RVX153" s="22"/>
      <c r="RVY153" s="22"/>
      <c r="RVZ153" s="22"/>
      <c r="RWA153" s="22"/>
      <c r="RWB153" s="22"/>
      <c r="RWC153" s="22"/>
      <c r="RWD153" s="22"/>
      <c r="RWE153" s="22"/>
      <c r="RWF153" s="22"/>
      <c r="RWG153" s="22"/>
      <c r="RWH153" s="22"/>
      <c r="RWI153" s="22"/>
      <c r="RWJ153" s="22"/>
      <c r="RWK153" s="22"/>
      <c r="RWL153" s="22"/>
      <c r="RWM153" s="22"/>
      <c r="RWN153" s="22"/>
      <c r="RWO153" s="22"/>
      <c r="RWP153" s="22"/>
      <c r="RWQ153" s="22"/>
      <c r="RWR153" s="22"/>
      <c r="RWS153" s="22"/>
      <c r="RWT153" s="22"/>
      <c r="RWU153" s="22"/>
      <c r="RWV153" s="22"/>
      <c r="RWW153" s="22"/>
      <c r="RWX153" s="22"/>
      <c r="RWY153" s="22"/>
      <c r="RWZ153" s="22"/>
      <c r="RXA153" s="22"/>
      <c r="RXB153" s="22"/>
      <c r="RXC153" s="22"/>
      <c r="RXD153" s="22"/>
      <c r="RXE153" s="22"/>
      <c r="RXF153" s="22"/>
      <c r="RXG153" s="22"/>
      <c r="RXH153" s="22"/>
      <c r="RXI153" s="22"/>
      <c r="RXJ153" s="22"/>
      <c r="RXK153" s="22"/>
      <c r="RXL153" s="22"/>
      <c r="RXM153" s="22"/>
      <c r="RXN153" s="22"/>
      <c r="RXO153" s="22"/>
      <c r="RXP153" s="22"/>
      <c r="RXQ153" s="22"/>
      <c r="RXR153" s="22"/>
      <c r="RXS153" s="22"/>
      <c r="RXT153" s="22"/>
      <c r="RXU153" s="22"/>
      <c r="RXV153" s="22"/>
      <c r="RXW153" s="22"/>
      <c r="RXX153" s="22"/>
      <c r="RXY153" s="22"/>
      <c r="RXZ153" s="22"/>
      <c r="RYA153" s="22"/>
      <c r="RYB153" s="22"/>
      <c r="RYC153" s="22"/>
      <c r="RYD153" s="22"/>
      <c r="RYE153" s="22"/>
      <c r="RYF153" s="22"/>
      <c r="RYG153" s="22"/>
      <c r="RYH153" s="22"/>
      <c r="RYI153" s="22"/>
      <c r="RYJ153" s="22"/>
      <c r="RYK153" s="22"/>
      <c r="RYL153" s="22"/>
      <c r="RYM153" s="22"/>
      <c r="RYN153" s="22"/>
      <c r="RYO153" s="22"/>
      <c r="RYP153" s="22"/>
      <c r="RYQ153" s="22"/>
      <c r="RYR153" s="22"/>
      <c r="RYS153" s="22"/>
      <c r="RYT153" s="22"/>
      <c r="RYU153" s="22"/>
      <c r="RYV153" s="22"/>
      <c r="RYW153" s="22"/>
      <c r="RYX153" s="22"/>
      <c r="RYY153" s="22"/>
      <c r="RYZ153" s="22"/>
      <c r="RZA153" s="22"/>
      <c r="RZB153" s="22"/>
      <c r="RZC153" s="22"/>
      <c r="RZD153" s="22"/>
      <c r="RZE153" s="22"/>
      <c r="RZF153" s="22"/>
      <c r="RZG153" s="22"/>
      <c r="RZH153" s="22"/>
      <c r="RZI153" s="22"/>
      <c r="RZJ153" s="22"/>
      <c r="RZK153" s="22"/>
      <c r="RZL153" s="22"/>
      <c r="RZM153" s="22"/>
      <c r="RZN153" s="22"/>
      <c r="RZO153" s="22"/>
      <c r="RZP153" s="22"/>
      <c r="RZQ153" s="22"/>
      <c r="RZR153" s="22"/>
      <c r="RZS153" s="22"/>
      <c r="RZT153" s="22"/>
      <c r="RZU153" s="22"/>
      <c r="RZV153" s="22"/>
      <c r="RZW153" s="22"/>
      <c r="RZX153" s="22"/>
      <c r="RZY153" s="22"/>
      <c r="RZZ153" s="22"/>
      <c r="SAA153" s="22"/>
      <c r="SAB153" s="22"/>
      <c r="SAC153" s="22"/>
      <c r="SAD153" s="22"/>
      <c r="SAE153" s="22"/>
      <c r="SAF153" s="22"/>
      <c r="SAG153" s="22"/>
      <c r="SAH153" s="22"/>
      <c r="SAI153" s="22"/>
      <c r="SAJ153" s="22"/>
      <c r="SAK153" s="22"/>
      <c r="SAL153" s="22"/>
      <c r="SAM153" s="22"/>
      <c r="SAN153" s="22"/>
      <c r="SAO153" s="22"/>
      <c r="SAP153" s="22"/>
      <c r="SAQ153" s="22"/>
      <c r="SAR153" s="22"/>
      <c r="SAS153" s="22"/>
      <c r="SAT153" s="22"/>
      <c r="SAU153" s="22"/>
      <c r="SAV153" s="22"/>
      <c r="SAW153" s="22"/>
      <c r="SAX153" s="22"/>
      <c r="SAY153" s="22"/>
      <c r="SAZ153" s="22"/>
      <c r="SBA153" s="22"/>
      <c r="SBB153" s="22"/>
      <c r="SBC153" s="22"/>
      <c r="SBD153" s="22"/>
      <c r="SBE153" s="22"/>
      <c r="SBF153" s="22"/>
      <c r="SBG153" s="22"/>
      <c r="SBH153" s="22"/>
      <c r="SBI153" s="22"/>
      <c r="SBJ153" s="22"/>
      <c r="SBK153" s="22"/>
      <c r="SBL153" s="22"/>
      <c r="SBM153" s="22"/>
      <c r="SBN153" s="22"/>
      <c r="SBO153" s="22"/>
      <c r="SBP153" s="22"/>
      <c r="SBQ153" s="22"/>
      <c r="SBR153" s="22"/>
      <c r="SBS153" s="22"/>
      <c r="SBT153" s="22"/>
      <c r="SBU153" s="22"/>
      <c r="SBV153" s="22"/>
      <c r="SBW153" s="22"/>
      <c r="SBX153" s="22"/>
      <c r="SBY153" s="22"/>
      <c r="SBZ153" s="22"/>
      <c r="SCA153" s="22"/>
      <c r="SCB153" s="22"/>
      <c r="SCC153" s="22"/>
      <c r="SCD153" s="22"/>
      <c r="SCE153" s="22"/>
      <c r="SCF153" s="22"/>
      <c r="SCG153" s="22"/>
      <c r="SCH153" s="22"/>
      <c r="SCI153" s="22"/>
      <c r="SCJ153" s="22"/>
      <c r="SCK153" s="22"/>
      <c r="SCL153" s="22"/>
      <c r="SCM153" s="22"/>
      <c r="SCN153" s="22"/>
      <c r="SCO153" s="22"/>
      <c r="SCP153" s="22"/>
      <c r="SCQ153" s="22"/>
      <c r="SCR153" s="22"/>
      <c r="SCS153" s="22"/>
      <c r="SCT153" s="22"/>
      <c r="SCU153" s="22"/>
      <c r="SCV153" s="22"/>
      <c r="SCW153" s="22"/>
      <c r="SCX153" s="22"/>
      <c r="SCY153" s="22"/>
      <c r="SCZ153" s="22"/>
      <c r="SDA153" s="22"/>
      <c r="SDB153" s="22"/>
      <c r="SDC153" s="22"/>
      <c r="SDD153" s="22"/>
      <c r="SDE153" s="22"/>
      <c r="SDF153" s="22"/>
      <c r="SDG153" s="22"/>
      <c r="SDH153" s="22"/>
      <c r="SDI153" s="22"/>
      <c r="SDJ153" s="22"/>
      <c r="SDK153" s="22"/>
      <c r="SDL153" s="22"/>
      <c r="SDM153" s="22"/>
      <c r="SDN153" s="22"/>
      <c r="SDO153" s="22"/>
      <c r="SDP153" s="22"/>
      <c r="SDQ153" s="22"/>
      <c r="SDR153" s="22"/>
      <c r="SDS153" s="22"/>
      <c r="SDT153" s="22"/>
      <c r="SDU153" s="22"/>
      <c r="SDV153" s="22"/>
      <c r="SDW153" s="22"/>
      <c r="SDX153" s="22"/>
      <c r="SDY153" s="22"/>
      <c r="SDZ153" s="22"/>
      <c r="SEA153" s="22"/>
      <c r="SEB153" s="22"/>
      <c r="SEC153" s="22"/>
      <c r="SED153" s="22"/>
      <c r="SEE153" s="22"/>
      <c r="SEF153" s="22"/>
      <c r="SEG153" s="22"/>
      <c r="SEH153" s="22"/>
      <c r="SEI153" s="22"/>
      <c r="SEJ153" s="22"/>
      <c r="SEK153" s="22"/>
      <c r="SEL153" s="22"/>
      <c r="SEM153" s="22"/>
      <c r="SEN153" s="22"/>
      <c r="SEO153" s="22"/>
      <c r="SEP153" s="22"/>
      <c r="SEQ153" s="22"/>
      <c r="SER153" s="22"/>
      <c r="SES153" s="22"/>
      <c r="SET153" s="22"/>
      <c r="SEU153" s="22"/>
      <c r="SEV153" s="22"/>
      <c r="SEW153" s="22"/>
      <c r="SEX153" s="22"/>
      <c r="SEY153" s="22"/>
      <c r="SEZ153" s="22"/>
      <c r="SFA153" s="22"/>
      <c r="SFB153" s="22"/>
      <c r="SFC153" s="22"/>
      <c r="SFD153" s="22"/>
      <c r="SFE153" s="22"/>
      <c r="SFF153" s="22"/>
      <c r="SFG153" s="22"/>
      <c r="SFH153" s="22"/>
      <c r="SFI153" s="22"/>
      <c r="SFJ153" s="22"/>
      <c r="SFK153" s="22"/>
      <c r="SFL153" s="22"/>
      <c r="SFM153" s="22"/>
      <c r="SFN153" s="22"/>
      <c r="SFO153" s="22"/>
      <c r="SFP153" s="22"/>
      <c r="SFQ153" s="22"/>
      <c r="SFR153" s="22"/>
      <c r="SFS153" s="22"/>
      <c r="SFT153" s="22"/>
      <c r="SFU153" s="22"/>
      <c r="SFV153" s="22"/>
      <c r="SFW153" s="22"/>
      <c r="SFX153" s="22"/>
      <c r="SFY153" s="22"/>
      <c r="SFZ153" s="22"/>
      <c r="SGA153" s="22"/>
      <c r="SGB153" s="22"/>
      <c r="SGC153" s="22"/>
      <c r="SGD153" s="22"/>
      <c r="SGE153" s="22"/>
      <c r="SGF153" s="22"/>
      <c r="SGG153" s="22"/>
      <c r="SGH153" s="22"/>
      <c r="SGI153" s="22"/>
      <c r="SGJ153" s="22"/>
      <c r="SGK153" s="22"/>
      <c r="SGL153" s="22"/>
      <c r="SGM153" s="22"/>
      <c r="SGN153" s="22"/>
      <c r="SGO153" s="22"/>
      <c r="SGP153" s="22"/>
      <c r="SGQ153" s="22"/>
      <c r="SGR153" s="22"/>
      <c r="SGS153" s="22"/>
      <c r="SGT153" s="22"/>
      <c r="SGU153" s="22"/>
      <c r="SGV153" s="22"/>
      <c r="SGW153" s="22"/>
      <c r="SGX153" s="22"/>
      <c r="SGY153" s="22"/>
      <c r="SGZ153" s="22"/>
      <c r="SHA153" s="22"/>
      <c r="SHB153" s="22"/>
      <c r="SHC153" s="22"/>
      <c r="SHD153" s="22"/>
      <c r="SHE153" s="22"/>
      <c r="SHF153" s="22"/>
      <c r="SHG153" s="22"/>
      <c r="SHH153" s="22"/>
      <c r="SHI153" s="22"/>
      <c r="SHJ153" s="22"/>
      <c r="SHK153" s="22"/>
      <c r="SHL153" s="22"/>
      <c r="SHM153" s="22"/>
      <c r="SHN153" s="22"/>
      <c r="SHO153" s="22"/>
      <c r="SHP153" s="22"/>
      <c r="SHQ153" s="22"/>
      <c r="SHR153" s="22"/>
      <c r="SHS153" s="22"/>
      <c r="SHT153" s="22"/>
      <c r="SHU153" s="22"/>
      <c r="SHV153" s="22"/>
      <c r="SHW153" s="22"/>
      <c r="SHX153" s="22"/>
      <c r="SHY153" s="22"/>
      <c r="SHZ153" s="22"/>
      <c r="SIA153" s="22"/>
      <c r="SIB153" s="22"/>
      <c r="SIC153" s="22"/>
      <c r="SID153" s="22"/>
      <c r="SIE153" s="22"/>
      <c r="SIF153" s="22"/>
      <c r="SIG153" s="22"/>
      <c r="SIH153" s="22"/>
      <c r="SII153" s="22"/>
      <c r="SIJ153" s="22"/>
      <c r="SIK153" s="22"/>
      <c r="SIL153" s="22"/>
      <c r="SIM153" s="22"/>
      <c r="SIN153" s="22"/>
      <c r="SIO153" s="22"/>
      <c r="SIP153" s="22"/>
      <c r="SIQ153" s="22"/>
      <c r="SIR153" s="22"/>
      <c r="SIS153" s="22"/>
      <c r="SIT153" s="22"/>
      <c r="SIU153" s="22"/>
      <c r="SIV153" s="22"/>
      <c r="SIW153" s="22"/>
      <c r="SIX153" s="22"/>
      <c r="SIY153" s="22"/>
      <c r="SIZ153" s="22"/>
      <c r="SJA153" s="22"/>
      <c r="SJB153" s="22"/>
      <c r="SJC153" s="22"/>
      <c r="SJD153" s="22"/>
      <c r="SJE153" s="22"/>
      <c r="SJF153" s="22"/>
      <c r="SJG153" s="22"/>
      <c r="SJH153" s="22"/>
      <c r="SJI153" s="22"/>
      <c r="SJJ153" s="22"/>
      <c r="SJK153" s="22"/>
      <c r="SJL153" s="22"/>
      <c r="SJM153" s="22"/>
      <c r="SJN153" s="22"/>
      <c r="SJO153" s="22"/>
      <c r="SJP153" s="22"/>
      <c r="SJQ153" s="22"/>
      <c r="SJR153" s="22"/>
      <c r="SJS153" s="22"/>
      <c r="SJT153" s="22"/>
      <c r="SJU153" s="22"/>
      <c r="SJV153" s="22"/>
      <c r="SJW153" s="22"/>
      <c r="SJX153" s="22"/>
      <c r="SJY153" s="22"/>
      <c r="SJZ153" s="22"/>
      <c r="SKA153" s="22"/>
      <c r="SKB153" s="22"/>
      <c r="SKC153" s="22"/>
      <c r="SKD153" s="22"/>
      <c r="SKE153" s="22"/>
      <c r="SKF153" s="22"/>
      <c r="SKG153" s="22"/>
      <c r="SKH153" s="22"/>
      <c r="SKI153" s="22"/>
      <c r="SKJ153" s="22"/>
      <c r="SKK153" s="22"/>
      <c r="SKL153" s="22"/>
      <c r="SKM153" s="22"/>
      <c r="SKN153" s="22"/>
      <c r="SKO153" s="22"/>
      <c r="SKP153" s="22"/>
      <c r="SKQ153" s="22"/>
      <c r="SKR153" s="22"/>
      <c r="SKS153" s="22"/>
      <c r="SKT153" s="22"/>
      <c r="SKU153" s="22"/>
      <c r="SKV153" s="22"/>
      <c r="SKW153" s="22"/>
      <c r="SKX153" s="22"/>
      <c r="SKY153" s="22"/>
      <c r="SKZ153" s="22"/>
      <c r="SLA153" s="22"/>
      <c r="SLB153" s="22"/>
      <c r="SLC153" s="22"/>
      <c r="SLD153" s="22"/>
      <c r="SLE153" s="22"/>
      <c r="SLF153" s="22"/>
      <c r="SLG153" s="22"/>
      <c r="SLH153" s="22"/>
      <c r="SLI153" s="22"/>
      <c r="SLJ153" s="22"/>
      <c r="SLK153" s="22"/>
      <c r="SLL153" s="22"/>
      <c r="SLM153" s="22"/>
      <c r="SLN153" s="22"/>
      <c r="SLO153" s="22"/>
      <c r="SLP153" s="22"/>
      <c r="SLQ153" s="22"/>
      <c r="SLR153" s="22"/>
      <c r="SLS153" s="22"/>
      <c r="SLT153" s="22"/>
      <c r="SLU153" s="22"/>
      <c r="SLV153" s="22"/>
      <c r="SLW153" s="22"/>
      <c r="SLX153" s="22"/>
      <c r="SLY153" s="22"/>
      <c r="SLZ153" s="22"/>
      <c r="SMA153" s="22"/>
      <c r="SMB153" s="22"/>
      <c r="SMC153" s="22"/>
      <c r="SMD153" s="22"/>
      <c r="SME153" s="22"/>
      <c r="SMF153" s="22"/>
      <c r="SMG153" s="22"/>
      <c r="SMH153" s="22"/>
      <c r="SMI153" s="22"/>
      <c r="SMJ153" s="22"/>
      <c r="SMK153" s="22"/>
      <c r="SML153" s="22"/>
      <c r="SMM153" s="22"/>
      <c r="SMN153" s="22"/>
      <c r="SMO153" s="22"/>
      <c r="SMP153" s="22"/>
      <c r="SMQ153" s="22"/>
      <c r="SMR153" s="22"/>
      <c r="SMS153" s="22"/>
      <c r="SMT153" s="22"/>
      <c r="SMU153" s="22"/>
      <c r="SMV153" s="22"/>
      <c r="SMW153" s="22"/>
      <c r="SMX153" s="22"/>
      <c r="SMY153" s="22"/>
      <c r="SMZ153" s="22"/>
      <c r="SNA153" s="22"/>
      <c r="SNB153" s="22"/>
      <c r="SNC153" s="22"/>
      <c r="SND153" s="22"/>
      <c r="SNE153" s="22"/>
      <c r="SNF153" s="22"/>
      <c r="SNG153" s="22"/>
      <c r="SNH153" s="22"/>
      <c r="SNI153" s="22"/>
      <c r="SNJ153" s="22"/>
      <c r="SNK153" s="22"/>
      <c r="SNL153" s="22"/>
      <c r="SNM153" s="22"/>
      <c r="SNN153" s="22"/>
      <c r="SNO153" s="22"/>
      <c r="SNP153" s="22"/>
      <c r="SNQ153" s="22"/>
      <c r="SNR153" s="22"/>
      <c r="SNS153" s="22"/>
      <c r="SNT153" s="22"/>
      <c r="SNU153" s="22"/>
      <c r="SNV153" s="22"/>
      <c r="SNW153" s="22"/>
      <c r="SNX153" s="22"/>
      <c r="SNY153" s="22"/>
      <c r="SNZ153" s="22"/>
      <c r="SOA153" s="22"/>
      <c r="SOB153" s="22"/>
      <c r="SOC153" s="22"/>
      <c r="SOD153" s="22"/>
      <c r="SOE153" s="22"/>
      <c r="SOF153" s="22"/>
      <c r="SOG153" s="22"/>
      <c r="SOH153" s="22"/>
      <c r="SOI153" s="22"/>
      <c r="SOJ153" s="22"/>
      <c r="SOK153" s="22"/>
      <c r="SOL153" s="22"/>
      <c r="SOM153" s="22"/>
      <c r="SON153" s="22"/>
      <c r="SOO153" s="22"/>
      <c r="SOP153" s="22"/>
      <c r="SOQ153" s="22"/>
      <c r="SOR153" s="22"/>
      <c r="SOS153" s="22"/>
      <c r="SOT153" s="22"/>
      <c r="SOU153" s="22"/>
      <c r="SOV153" s="22"/>
      <c r="SOW153" s="22"/>
      <c r="SOX153" s="22"/>
      <c r="SOY153" s="22"/>
      <c r="SOZ153" s="22"/>
      <c r="SPA153" s="22"/>
      <c r="SPB153" s="22"/>
      <c r="SPC153" s="22"/>
      <c r="SPD153" s="22"/>
      <c r="SPE153" s="22"/>
      <c r="SPF153" s="22"/>
      <c r="SPG153" s="22"/>
      <c r="SPH153" s="22"/>
      <c r="SPI153" s="22"/>
      <c r="SPJ153" s="22"/>
      <c r="SPK153" s="22"/>
      <c r="SPL153" s="22"/>
      <c r="SPM153" s="22"/>
      <c r="SPN153" s="22"/>
      <c r="SPO153" s="22"/>
      <c r="SPP153" s="22"/>
      <c r="SPQ153" s="22"/>
      <c r="SPR153" s="22"/>
      <c r="SPS153" s="22"/>
      <c r="SPT153" s="22"/>
      <c r="SPU153" s="22"/>
      <c r="SPV153" s="22"/>
      <c r="SPW153" s="22"/>
      <c r="SPX153" s="22"/>
      <c r="SPY153" s="22"/>
      <c r="SPZ153" s="22"/>
      <c r="SQA153" s="22"/>
      <c r="SQB153" s="22"/>
      <c r="SQC153" s="22"/>
      <c r="SQD153" s="22"/>
      <c r="SQE153" s="22"/>
      <c r="SQF153" s="22"/>
      <c r="SQG153" s="22"/>
      <c r="SQH153" s="22"/>
      <c r="SQI153" s="22"/>
      <c r="SQJ153" s="22"/>
      <c r="SQK153" s="22"/>
      <c r="SQL153" s="22"/>
      <c r="SQM153" s="22"/>
      <c r="SQN153" s="22"/>
      <c r="SQO153" s="22"/>
      <c r="SQP153" s="22"/>
      <c r="SQQ153" s="22"/>
      <c r="SQR153" s="22"/>
      <c r="SQS153" s="22"/>
      <c r="SQT153" s="22"/>
      <c r="SQU153" s="22"/>
      <c r="SQV153" s="22"/>
      <c r="SQW153" s="22"/>
      <c r="SQX153" s="22"/>
      <c r="SQY153" s="22"/>
      <c r="SQZ153" s="22"/>
      <c r="SRA153" s="22"/>
      <c r="SRB153" s="22"/>
      <c r="SRC153" s="22"/>
      <c r="SRD153" s="22"/>
      <c r="SRE153" s="22"/>
      <c r="SRF153" s="22"/>
      <c r="SRG153" s="22"/>
      <c r="SRH153" s="22"/>
      <c r="SRI153" s="22"/>
      <c r="SRJ153" s="22"/>
      <c r="SRK153" s="22"/>
      <c r="SRL153" s="22"/>
      <c r="SRM153" s="22"/>
      <c r="SRN153" s="22"/>
      <c r="SRO153" s="22"/>
      <c r="SRP153" s="22"/>
      <c r="SRQ153" s="22"/>
      <c r="SRR153" s="22"/>
      <c r="SRS153" s="22"/>
      <c r="SRT153" s="22"/>
      <c r="SRU153" s="22"/>
      <c r="SRV153" s="22"/>
      <c r="SRW153" s="22"/>
      <c r="SRX153" s="22"/>
      <c r="SRY153" s="22"/>
      <c r="SRZ153" s="22"/>
      <c r="SSA153" s="22"/>
      <c r="SSB153" s="22"/>
      <c r="SSC153" s="22"/>
      <c r="SSD153" s="22"/>
      <c r="SSE153" s="22"/>
      <c r="SSF153" s="22"/>
      <c r="SSG153" s="22"/>
      <c r="SSH153" s="22"/>
      <c r="SSI153" s="22"/>
      <c r="SSJ153" s="22"/>
      <c r="SSK153" s="22"/>
      <c r="SSL153" s="22"/>
      <c r="SSM153" s="22"/>
      <c r="SSN153" s="22"/>
      <c r="SSO153" s="22"/>
      <c r="SSP153" s="22"/>
      <c r="SSQ153" s="22"/>
      <c r="SSR153" s="22"/>
      <c r="SSS153" s="22"/>
      <c r="SST153" s="22"/>
      <c r="SSU153" s="22"/>
      <c r="SSV153" s="22"/>
      <c r="SSW153" s="22"/>
      <c r="SSX153" s="22"/>
      <c r="SSY153" s="22"/>
      <c r="SSZ153" s="22"/>
      <c r="STA153" s="22"/>
      <c r="STB153" s="22"/>
      <c r="STC153" s="22"/>
      <c r="STD153" s="22"/>
      <c r="STE153" s="22"/>
      <c r="STF153" s="22"/>
      <c r="STG153" s="22"/>
      <c r="STH153" s="22"/>
      <c r="STI153" s="22"/>
      <c r="STJ153" s="22"/>
      <c r="STK153" s="22"/>
      <c r="STL153" s="22"/>
      <c r="STM153" s="22"/>
      <c r="STN153" s="22"/>
      <c r="STO153" s="22"/>
      <c r="STP153" s="22"/>
      <c r="STQ153" s="22"/>
      <c r="STR153" s="22"/>
      <c r="STS153" s="22"/>
      <c r="STT153" s="22"/>
      <c r="STU153" s="22"/>
      <c r="STV153" s="22"/>
      <c r="STW153" s="22"/>
      <c r="STX153" s="22"/>
      <c r="STY153" s="22"/>
      <c r="STZ153" s="22"/>
      <c r="SUA153" s="22"/>
      <c r="SUB153" s="22"/>
      <c r="SUC153" s="22"/>
      <c r="SUD153" s="22"/>
      <c r="SUE153" s="22"/>
      <c r="SUF153" s="22"/>
      <c r="SUG153" s="22"/>
      <c r="SUH153" s="22"/>
      <c r="SUI153" s="22"/>
      <c r="SUJ153" s="22"/>
      <c r="SUK153" s="22"/>
      <c r="SUL153" s="22"/>
      <c r="SUM153" s="22"/>
      <c r="SUN153" s="22"/>
      <c r="SUO153" s="22"/>
      <c r="SUP153" s="22"/>
      <c r="SUQ153" s="22"/>
      <c r="SUR153" s="22"/>
      <c r="SUS153" s="22"/>
      <c r="SUT153" s="22"/>
      <c r="SUU153" s="22"/>
      <c r="SUV153" s="22"/>
      <c r="SUW153" s="22"/>
      <c r="SUX153" s="22"/>
      <c r="SUY153" s="22"/>
      <c r="SUZ153" s="22"/>
      <c r="SVA153" s="22"/>
      <c r="SVB153" s="22"/>
      <c r="SVC153" s="22"/>
      <c r="SVD153" s="22"/>
      <c r="SVE153" s="22"/>
      <c r="SVF153" s="22"/>
      <c r="SVG153" s="22"/>
      <c r="SVH153" s="22"/>
      <c r="SVI153" s="22"/>
      <c r="SVJ153" s="22"/>
      <c r="SVK153" s="22"/>
      <c r="SVL153" s="22"/>
      <c r="SVM153" s="22"/>
      <c r="SVN153" s="22"/>
      <c r="SVO153" s="22"/>
      <c r="SVP153" s="22"/>
      <c r="SVQ153" s="22"/>
      <c r="SVR153" s="22"/>
      <c r="SVS153" s="22"/>
      <c r="SVT153" s="22"/>
      <c r="SVU153" s="22"/>
      <c r="SVV153" s="22"/>
      <c r="SVW153" s="22"/>
      <c r="SVX153" s="22"/>
      <c r="SVY153" s="22"/>
      <c r="SVZ153" s="22"/>
      <c r="SWA153" s="22"/>
      <c r="SWB153" s="22"/>
      <c r="SWC153" s="22"/>
      <c r="SWD153" s="22"/>
      <c r="SWE153" s="22"/>
      <c r="SWF153" s="22"/>
      <c r="SWG153" s="22"/>
      <c r="SWH153" s="22"/>
      <c r="SWI153" s="22"/>
      <c r="SWJ153" s="22"/>
      <c r="SWK153" s="22"/>
      <c r="SWL153" s="22"/>
      <c r="SWM153" s="22"/>
      <c r="SWN153" s="22"/>
      <c r="SWO153" s="22"/>
      <c r="SWP153" s="22"/>
      <c r="SWQ153" s="22"/>
      <c r="SWR153" s="22"/>
      <c r="SWS153" s="22"/>
      <c r="SWT153" s="22"/>
      <c r="SWU153" s="22"/>
      <c r="SWV153" s="22"/>
      <c r="SWW153" s="22"/>
      <c r="SWX153" s="22"/>
      <c r="SWY153" s="22"/>
      <c r="SWZ153" s="22"/>
      <c r="SXA153" s="22"/>
      <c r="SXB153" s="22"/>
      <c r="SXC153" s="22"/>
      <c r="SXD153" s="22"/>
      <c r="SXE153" s="22"/>
      <c r="SXF153" s="22"/>
      <c r="SXG153" s="22"/>
      <c r="SXH153" s="22"/>
      <c r="SXI153" s="22"/>
      <c r="SXJ153" s="22"/>
      <c r="SXK153" s="22"/>
      <c r="SXL153" s="22"/>
      <c r="SXM153" s="22"/>
      <c r="SXN153" s="22"/>
      <c r="SXO153" s="22"/>
      <c r="SXP153" s="22"/>
      <c r="SXQ153" s="22"/>
      <c r="SXR153" s="22"/>
      <c r="SXS153" s="22"/>
      <c r="SXT153" s="22"/>
      <c r="SXU153" s="22"/>
      <c r="SXV153" s="22"/>
      <c r="SXW153" s="22"/>
      <c r="SXX153" s="22"/>
      <c r="SXY153" s="22"/>
      <c r="SXZ153" s="22"/>
      <c r="SYA153" s="22"/>
      <c r="SYB153" s="22"/>
      <c r="SYC153" s="22"/>
      <c r="SYD153" s="22"/>
      <c r="SYE153" s="22"/>
      <c r="SYF153" s="22"/>
      <c r="SYG153" s="22"/>
      <c r="SYH153" s="22"/>
      <c r="SYI153" s="22"/>
      <c r="SYJ153" s="22"/>
      <c r="SYK153" s="22"/>
      <c r="SYL153" s="22"/>
      <c r="SYM153" s="22"/>
      <c r="SYN153" s="22"/>
      <c r="SYO153" s="22"/>
      <c r="SYP153" s="22"/>
      <c r="SYQ153" s="22"/>
      <c r="SYR153" s="22"/>
      <c r="SYS153" s="22"/>
      <c r="SYT153" s="22"/>
      <c r="SYU153" s="22"/>
      <c r="SYV153" s="22"/>
      <c r="SYW153" s="22"/>
      <c r="SYX153" s="22"/>
      <c r="SYY153" s="22"/>
      <c r="SYZ153" s="22"/>
      <c r="SZA153" s="22"/>
      <c r="SZB153" s="22"/>
      <c r="SZC153" s="22"/>
      <c r="SZD153" s="22"/>
      <c r="SZE153" s="22"/>
      <c r="SZF153" s="22"/>
      <c r="SZG153" s="22"/>
      <c r="SZH153" s="22"/>
      <c r="SZI153" s="22"/>
      <c r="SZJ153" s="22"/>
      <c r="SZK153" s="22"/>
      <c r="SZL153" s="22"/>
      <c r="SZM153" s="22"/>
      <c r="SZN153" s="22"/>
      <c r="SZO153" s="22"/>
      <c r="SZP153" s="22"/>
      <c r="SZQ153" s="22"/>
      <c r="SZR153" s="22"/>
      <c r="SZS153" s="22"/>
      <c r="SZT153" s="22"/>
      <c r="SZU153" s="22"/>
      <c r="SZV153" s="22"/>
      <c r="SZW153" s="22"/>
      <c r="SZX153" s="22"/>
      <c r="SZY153" s="22"/>
      <c r="SZZ153" s="22"/>
      <c r="TAA153" s="22"/>
      <c r="TAB153" s="22"/>
      <c r="TAC153" s="22"/>
      <c r="TAD153" s="22"/>
      <c r="TAE153" s="22"/>
      <c r="TAF153" s="22"/>
      <c r="TAG153" s="22"/>
      <c r="TAH153" s="22"/>
      <c r="TAI153" s="22"/>
      <c r="TAJ153" s="22"/>
      <c r="TAK153" s="22"/>
      <c r="TAL153" s="22"/>
      <c r="TAM153" s="22"/>
      <c r="TAN153" s="22"/>
      <c r="TAO153" s="22"/>
      <c r="TAP153" s="22"/>
      <c r="TAQ153" s="22"/>
      <c r="TAR153" s="22"/>
      <c r="TAS153" s="22"/>
      <c r="TAT153" s="22"/>
      <c r="TAU153" s="22"/>
      <c r="TAV153" s="22"/>
      <c r="TAW153" s="22"/>
      <c r="TAX153" s="22"/>
      <c r="TAY153" s="22"/>
      <c r="TAZ153" s="22"/>
      <c r="TBA153" s="22"/>
      <c r="TBB153" s="22"/>
      <c r="TBC153" s="22"/>
      <c r="TBD153" s="22"/>
      <c r="TBE153" s="22"/>
      <c r="TBF153" s="22"/>
      <c r="TBG153" s="22"/>
      <c r="TBH153" s="22"/>
      <c r="TBI153" s="22"/>
      <c r="TBJ153" s="22"/>
      <c r="TBK153" s="22"/>
      <c r="TBL153" s="22"/>
      <c r="TBM153" s="22"/>
      <c r="TBN153" s="22"/>
      <c r="TBO153" s="22"/>
      <c r="TBP153" s="22"/>
      <c r="TBQ153" s="22"/>
      <c r="TBR153" s="22"/>
      <c r="TBS153" s="22"/>
      <c r="TBT153" s="22"/>
      <c r="TBU153" s="22"/>
      <c r="TBV153" s="22"/>
      <c r="TBW153" s="22"/>
      <c r="TBX153" s="22"/>
      <c r="TBY153" s="22"/>
      <c r="TBZ153" s="22"/>
      <c r="TCA153" s="22"/>
      <c r="TCB153" s="22"/>
      <c r="TCC153" s="22"/>
      <c r="TCD153" s="22"/>
      <c r="TCE153" s="22"/>
      <c r="TCF153" s="22"/>
      <c r="TCG153" s="22"/>
      <c r="TCH153" s="22"/>
      <c r="TCI153" s="22"/>
      <c r="TCJ153" s="22"/>
      <c r="TCK153" s="22"/>
      <c r="TCL153" s="22"/>
      <c r="TCM153" s="22"/>
      <c r="TCN153" s="22"/>
      <c r="TCO153" s="22"/>
      <c r="TCP153" s="22"/>
      <c r="TCQ153" s="22"/>
      <c r="TCR153" s="22"/>
      <c r="TCS153" s="22"/>
      <c r="TCT153" s="22"/>
      <c r="TCU153" s="22"/>
      <c r="TCV153" s="22"/>
      <c r="TCW153" s="22"/>
      <c r="TCX153" s="22"/>
      <c r="TCY153" s="22"/>
      <c r="TCZ153" s="22"/>
      <c r="TDA153" s="22"/>
      <c r="TDB153" s="22"/>
      <c r="TDC153" s="22"/>
      <c r="TDD153" s="22"/>
      <c r="TDE153" s="22"/>
      <c r="TDF153" s="22"/>
      <c r="TDG153" s="22"/>
      <c r="TDH153" s="22"/>
      <c r="TDI153" s="22"/>
      <c r="TDJ153" s="22"/>
      <c r="TDK153" s="22"/>
      <c r="TDL153" s="22"/>
      <c r="TDM153" s="22"/>
      <c r="TDN153" s="22"/>
      <c r="TDO153" s="22"/>
      <c r="TDP153" s="22"/>
      <c r="TDQ153" s="22"/>
      <c r="TDR153" s="22"/>
      <c r="TDS153" s="22"/>
      <c r="TDT153" s="22"/>
      <c r="TDU153" s="22"/>
      <c r="TDV153" s="22"/>
      <c r="TDW153" s="22"/>
      <c r="TDX153" s="22"/>
      <c r="TDY153" s="22"/>
      <c r="TDZ153" s="22"/>
      <c r="TEA153" s="22"/>
      <c r="TEB153" s="22"/>
      <c r="TEC153" s="22"/>
      <c r="TED153" s="22"/>
      <c r="TEE153" s="22"/>
      <c r="TEF153" s="22"/>
      <c r="TEG153" s="22"/>
      <c r="TEH153" s="22"/>
      <c r="TEI153" s="22"/>
      <c r="TEJ153" s="22"/>
      <c r="TEK153" s="22"/>
      <c r="TEL153" s="22"/>
      <c r="TEM153" s="22"/>
      <c r="TEN153" s="22"/>
      <c r="TEO153" s="22"/>
      <c r="TEP153" s="22"/>
      <c r="TEQ153" s="22"/>
      <c r="TER153" s="22"/>
      <c r="TES153" s="22"/>
      <c r="TET153" s="22"/>
      <c r="TEU153" s="22"/>
      <c r="TEV153" s="22"/>
      <c r="TEW153" s="22"/>
      <c r="TEX153" s="22"/>
      <c r="TEY153" s="22"/>
      <c r="TEZ153" s="22"/>
      <c r="TFA153" s="22"/>
      <c r="TFB153" s="22"/>
      <c r="TFC153" s="22"/>
      <c r="TFD153" s="22"/>
      <c r="TFE153" s="22"/>
      <c r="TFF153" s="22"/>
      <c r="TFG153" s="22"/>
      <c r="TFH153" s="22"/>
      <c r="TFI153" s="22"/>
      <c r="TFJ153" s="22"/>
      <c r="TFK153" s="22"/>
      <c r="TFL153" s="22"/>
      <c r="TFM153" s="22"/>
      <c r="TFN153" s="22"/>
      <c r="TFO153" s="22"/>
      <c r="TFP153" s="22"/>
      <c r="TFQ153" s="22"/>
      <c r="TFR153" s="22"/>
      <c r="TFS153" s="22"/>
      <c r="TFT153" s="22"/>
      <c r="TFU153" s="22"/>
      <c r="TFV153" s="22"/>
      <c r="TFW153" s="22"/>
      <c r="TFX153" s="22"/>
      <c r="TFY153" s="22"/>
      <c r="TFZ153" s="22"/>
      <c r="TGA153" s="22"/>
      <c r="TGB153" s="22"/>
      <c r="TGC153" s="22"/>
      <c r="TGD153" s="22"/>
      <c r="TGE153" s="22"/>
      <c r="TGF153" s="22"/>
      <c r="TGG153" s="22"/>
      <c r="TGH153" s="22"/>
      <c r="TGI153" s="22"/>
      <c r="TGJ153" s="22"/>
      <c r="TGK153" s="22"/>
      <c r="TGL153" s="22"/>
      <c r="TGM153" s="22"/>
      <c r="TGN153" s="22"/>
      <c r="TGO153" s="22"/>
      <c r="TGP153" s="22"/>
      <c r="TGQ153" s="22"/>
      <c r="TGR153" s="22"/>
      <c r="TGS153" s="22"/>
      <c r="TGT153" s="22"/>
      <c r="TGU153" s="22"/>
      <c r="TGV153" s="22"/>
      <c r="TGW153" s="22"/>
      <c r="TGX153" s="22"/>
      <c r="TGY153" s="22"/>
      <c r="TGZ153" s="22"/>
      <c r="THA153" s="22"/>
      <c r="THB153" s="22"/>
      <c r="THC153" s="22"/>
      <c r="THD153" s="22"/>
      <c r="THE153" s="22"/>
      <c r="THF153" s="22"/>
      <c r="THG153" s="22"/>
      <c r="THH153" s="22"/>
      <c r="THI153" s="22"/>
      <c r="THJ153" s="22"/>
      <c r="THK153" s="22"/>
      <c r="THL153" s="22"/>
      <c r="THM153" s="22"/>
      <c r="THN153" s="22"/>
      <c r="THO153" s="22"/>
      <c r="THP153" s="22"/>
      <c r="THQ153" s="22"/>
      <c r="THR153" s="22"/>
      <c r="THS153" s="22"/>
      <c r="THT153" s="22"/>
      <c r="THU153" s="22"/>
      <c r="THV153" s="22"/>
      <c r="THW153" s="22"/>
      <c r="THX153" s="22"/>
      <c r="THY153" s="22"/>
      <c r="THZ153" s="22"/>
      <c r="TIA153" s="22"/>
      <c r="TIB153" s="22"/>
      <c r="TIC153" s="22"/>
      <c r="TID153" s="22"/>
      <c r="TIE153" s="22"/>
      <c r="TIF153" s="22"/>
      <c r="TIG153" s="22"/>
      <c r="TIH153" s="22"/>
      <c r="TII153" s="22"/>
      <c r="TIJ153" s="22"/>
      <c r="TIK153" s="22"/>
      <c r="TIL153" s="22"/>
      <c r="TIM153" s="22"/>
      <c r="TIN153" s="22"/>
      <c r="TIO153" s="22"/>
      <c r="TIP153" s="22"/>
      <c r="TIQ153" s="22"/>
      <c r="TIR153" s="22"/>
      <c r="TIS153" s="22"/>
      <c r="TIT153" s="22"/>
      <c r="TIU153" s="22"/>
      <c r="TIV153" s="22"/>
      <c r="TIW153" s="22"/>
      <c r="TIX153" s="22"/>
      <c r="TIY153" s="22"/>
      <c r="TIZ153" s="22"/>
      <c r="TJA153" s="22"/>
      <c r="TJB153" s="22"/>
      <c r="TJC153" s="22"/>
      <c r="TJD153" s="22"/>
      <c r="TJE153" s="22"/>
      <c r="TJF153" s="22"/>
      <c r="TJG153" s="22"/>
      <c r="TJH153" s="22"/>
      <c r="TJI153" s="22"/>
      <c r="TJJ153" s="22"/>
      <c r="TJK153" s="22"/>
      <c r="TJL153" s="22"/>
      <c r="TJM153" s="22"/>
      <c r="TJN153" s="22"/>
      <c r="TJO153" s="22"/>
      <c r="TJP153" s="22"/>
      <c r="TJQ153" s="22"/>
      <c r="TJR153" s="22"/>
      <c r="TJS153" s="22"/>
      <c r="TJT153" s="22"/>
      <c r="TJU153" s="22"/>
      <c r="TJV153" s="22"/>
      <c r="TJW153" s="22"/>
      <c r="TJX153" s="22"/>
      <c r="TJY153" s="22"/>
      <c r="TJZ153" s="22"/>
      <c r="TKA153" s="22"/>
      <c r="TKB153" s="22"/>
      <c r="TKC153" s="22"/>
      <c r="TKD153" s="22"/>
      <c r="TKE153" s="22"/>
      <c r="TKF153" s="22"/>
      <c r="TKG153" s="22"/>
      <c r="TKH153" s="22"/>
      <c r="TKI153" s="22"/>
      <c r="TKJ153" s="22"/>
      <c r="TKK153" s="22"/>
      <c r="TKL153" s="22"/>
      <c r="TKM153" s="22"/>
      <c r="TKN153" s="22"/>
      <c r="TKO153" s="22"/>
      <c r="TKP153" s="22"/>
      <c r="TKQ153" s="22"/>
      <c r="TKR153" s="22"/>
      <c r="TKS153" s="22"/>
      <c r="TKT153" s="22"/>
      <c r="TKU153" s="22"/>
      <c r="TKV153" s="22"/>
      <c r="TKW153" s="22"/>
      <c r="TKX153" s="22"/>
      <c r="TKY153" s="22"/>
      <c r="TKZ153" s="22"/>
      <c r="TLA153" s="22"/>
      <c r="TLB153" s="22"/>
      <c r="TLC153" s="22"/>
      <c r="TLD153" s="22"/>
      <c r="TLE153" s="22"/>
      <c r="TLF153" s="22"/>
      <c r="TLG153" s="22"/>
      <c r="TLH153" s="22"/>
      <c r="TLI153" s="22"/>
      <c r="TLJ153" s="22"/>
      <c r="TLK153" s="22"/>
      <c r="TLL153" s="22"/>
      <c r="TLM153" s="22"/>
      <c r="TLN153" s="22"/>
      <c r="TLO153" s="22"/>
      <c r="TLP153" s="22"/>
      <c r="TLQ153" s="22"/>
      <c r="TLR153" s="22"/>
      <c r="TLS153" s="22"/>
      <c r="TLT153" s="22"/>
      <c r="TLU153" s="22"/>
      <c r="TLV153" s="22"/>
      <c r="TLW153" s="22"/>
      <c r="TLX153" s="22"/>
      <c r="TLY153" s="22"/>
      <c r="TLZ153" s="22"/>
      <c r="TMA153" s="22"/>
      <c r="TMB153" s="22"/>
      <c r="TMC153" s="22"/>
      <c r="TMD153" s="22"/>
      <c r="TME153" s="22"/>
      <c r="TMF153" s="22"/>
      <c r="TMG153" s="22"/>
      <c r="TMH153" s="22"/>
      <c r="TMI153" s="22"/>
      <c r="TMJ153" s="22"/>
      <c r="TMK153" s="22"/>
      <c r="TML153" s="22"/>
      <c r="TMM153" s="22"/>
      <c r="TMN153" s="22"/>
      <c r="TMO153" s="22"/>
      <c r="TMP153" s="22"/>
      <c r="TMQ153" s="22"/>
      <c r="TMR153" s="22"/>
      <c r="TMS153" s="22"/>
      <c r="TMT153" s="22"/>
      <c r="TMU153" s="22"/>
      <c r="TMV153" s="22"/>
      <c r="TMW153" s="22"/>
      <c r="TMX153" s="22"/>
      <c r="TMY153" s="22"/>
      <c r="TMZ153" s="22"/>
      <c r="TNA153" s="22"/>
      <c r="TNB153" s="22"/>
      <c r="TNC153" s="22"/>
      <c r="TND153" s="22"/>
      <c r="TNE153" s="22"/>
      <c r="TNF153" s="22"/>
      <c r="TNG153" s="22"/>
      <c r="TNH153" s="22"/>
      <c r="TNI153" s="22"/>
      <c r="TNJ153" s="22"/>
      <c r="TNK153" s="22"/>
      <c r="TNL153" s="22"/>
      <c r="TNM153" s="22"/>
      <c r="TNN153" s="22"/>
      <c r="TNO153" s="22"/>
      <c r="TNP153" s="22"/>
      <c r="TNQ153" s="22"/>
      <c r="TNR153" s="22"/>
      <c r="TNS153" s="22"/>
      <c r="TNT153" s="22"/>
      <c r="TNU153" s="22"/>
      <c r="TNV153" s="22"/>
      <c r="TNW153" s="22"/>
      <c r="TNX153" s="22"/>
      <c r="TNY153" s="22"/>
      <c r="TNZ153" s="22"/>
      <c r="TOA153" s="22"/>
      <c r="TOB153" s="22"/>
      <c r="TOC153" s="22"/>
      <c r="TOD153" s="22"/>
      <c r="TOE153" s="22"/>
      <c r="TOF153" s="22"/>
      <c r="TOG153" s="22"/>
      <c r="TOH153" s="22"/>
      <c r="TOI153" s="22"/>
      <c r="TOJ153" s="22"/>
      <c r="TOK153" s="22"/>
      <c r="TOL153" s="22"/>
      <c r="TOM153" s="22"/>
      <c r="TON153" s="22"/>
      <c r="TOO153" s="22"/>
      <c r="TOP153" s="22"/>
      <c r="TOQ153" s="22"/>
      <c r="TOR153" s="22"/>
      <c r="TOS153" s="22"/>
      <c r="TOT153" s="22"/>
      <c r="TOU153" s="22"/>
      <c r="TOV153" s="22"/>
      <c r="TOW153" s="22"/>
      <c r="TOX153" s="22"/>
      <c r="TOY153" s="22"/>
      <c r="TOZ153" s="22"/>
      <c r="TPA153" s="22"/>
      <c r="TPB153" s="22"/>
      <c r="TPC153" s="22"/>
      <c r="TPD153" s="22"/>
      <c r="TPE153" s="22"/>
      <c r="TPF153" s="22"/>
      <c r="TPG153" s="22"/>
      <c r="TPH153" s="22"/>
      <c r="TPI153" s="22"/>
      <c r="TPJ153" s="22"/>
      <c r="TPK153" s="22"/>
      <c r="TPL153" s="22"/>
      <c r="TPM153" s="22"/>
      <c r="TPN153" s="22"/>
      <c r="TPO153" s="22"/>
      <c r="TPP153" s="22"/>
      <c r="TPQ153" s="22"/>
      <c r="TPR153" s="22"/>
      <c r="TPS153" s="22"/>
      <c r="TPT153" s="22"/>
      <c r="TPU153" s="22"/>
      <c r="TPV153" s="22"/>
      <c r="TPW153" s="22"/>
      <c r="TPX153" s="22"/>
      <c r="TPY153" s="22"/>
      <c r="TPZ153" s="22"/>
      <c r="TQA153" s="22"/>
      <c r="TQB153" s="22"/>
      <c r="TQC153" s="22"/>
      <c r="TQD153" s="22"/>
      <c r="TQE153" s="22"/>
      <c r="TQF153" s="22"/>
      <c r="TQG153" s="22"/>
      <c r="TQH153" s="22"/>
      <c r="TQI153" s="22"/>
      <c r="TQJ153" s="22"/>
      <c r="TQK153" s="22"/>
      <c r="TQL153" s="22"/>
      <c r="TQM153" s="22"/>
      <c r="TQN153" s="22"/>
      <c r="TQO153" s="22"/>
      <c r="TQP153" s="22"/>
      <c r="TQQ153" s="22"/>
      <c r="TQR153" s="22"/>
      <c r="TQS153" s="22"/>
      <c r="TQT153" s="22"/>
      <c r="TQU153" s="22"/>
      <c r="TQV153" s="22"/>
      <c r="TQW153" s="22"/>
      <c r="TQX153" s="22"/>
      <c r="TQY153" s="22"/>
      <c r="TQZ153" s="22"/>
      <c r="TRA153" s="22"/>
      <c r="TRB153" s="22"/>
      <c r="TRC153" s="22"/>
      <c r="TRD153" s="22"/>
      <c r="TRE153" s="22"/>
      <c r="TRF153" s="22"/>
      <c r="TRG153" s="22"/>
      <c r="TRH153" s="22"/>
      <c r="TRI153" s="22"/>
      <c r="TRJ153" s="22"/>
      <c r="TRK153" s="22"/>
      <c r="TRL153" s="22"/>
      <c r="TRM153" s="22"/>
      <c r="TRN153" s="22"/>
      <c r="TRO153" s="22"/>
      <c r="TRP153" s="22"/>
      <c r="TRQ153" s="22"/>
      <c r="TRR153" s="22"/>
      <c r="TRS153" s="22"/>
      <c r="TRT153" s="22"/>
      <c r="TRU153" s="22"/>
      <c r="TRV153" s="22"/>
      <c r="TRW153" s="22"/>
      <c r="TRX153" s="22"/>
      <c r="TRY153" s="22"/>
      <c r="TRZ153" s="22"/>
      <c r="TSA153" s="22"/>
      <c r="TSB153" s="22"/>
      <c r="TSC153" s="22"/>
      <c r="TSD153" s="22"/>
      <c r="TSE153" s="22"/>
      <c r="TSF153" s="22"/>
      <c r="TSG153" s="22"/>
      <c r="TSH153" s="22"/>
      <c r="TSI153" s="22"/>
      <c r="TSJ153" s="22"/>
      <c r="TSK153" s="22"/>
      <c r="TSL153" s="22"/>
      <c r="TSM153" s="22"/>
      <c r="TSN153" s="22"/>
      <c r="TSO153" s="22"/>
      <c r="TSP153" s="22"/>
      <c r="TSQ153" s="22"/>
      <c r="TSR153" s="22"/>
      <c r="TSS153" s="22"/>
      <c r="TST153" s="22"/>
      <c r="TSU153" s="22"/>
      <c r="TSV153" s="22"/>
      <c r="TSW153" s="22"/>
      <c r="TSX153" s="22"/>
      <c r="TSY153" s="22"/>
      <c r="TSZ153" s="22"/>
      <c r="TTA153" s="22"/>
      <c r="TTB153" s="22"/>
      <c r="TTC153" s="22"/>
      <c r="TTD153" s="22"/>
      <c r="TTE153" s="22"/>
      <c r="TTF153" s="22"/>
      <c r="TTG153" s="22"/>
      <c r="TTH153" s="22"/>
      <c r="TTI153" s="22"/>
      <c r="TTJ153" s="22"/>
      <c r="TTK153" s="22"/>
      <c r="TTL153" s="22"/>
      <c r="TTM153" s="22"/>
      <c r="TTN153" s="22"/>
      <c r="TTO153" s="22"/>
      <c r="TTP153" s="22"/>
      <c r="TTQ153" s="22"/>
      <c r="TTR153" s="22"/>
      <c r="TTS153" s="22"/>
      <c r="TTT153" s="22"/>
      <c r="TTU153" s="22"/>
      <c r="TTV153" s="22"/>
      <c r="TTW153" s="22"/>
      <c r="TTX153" s="22"/>
      <c r="TTY153" s="22"/>
      <c r="TTZ153" s="22"/>
      <c r="TUA153" s="22"/>
      <c r="TUB153" s="22"/>
      <c r="TUC153" s="22"/>
      <c r="TUD153" s="22"/>
      <c r="TUE153" s="22"/>
      <c r="TUF153" s="22"/>
      <c r="TUG153" s="22"/>
      <c r="TUH153" s="22"/>
      <c r="TUI153" s="22"/>
      <c r="TUJ153" s="22"/>
      <c r="TUK153" s="22"/>
      <c r="TUL153" s="22"/>
      <c r="TUM153" s="22"/>
      <c r="TUN153" s="22"/>
      <c r="TUO153" s="22"/>
      <c r="TUP153" s="22"/>
      <c r="TUQ153" s="22"/>
      <c r="TUR153" s="22"/>
      <c r="TUS153" s="22"/>
      <c r="TUT153" s="22"/>
      <c r="TUU153" s="22"/>
      <c r="TUV153" s="22"/>
      <c r="TUW153" s="22"/>
      <c r="TUX153" s="22"/>
      <c r="TUY153" s="22"/>
      <c r="TUZ153" s="22"/>
      <c r="TVA153" s="22"/>
      <c r="TVB153" s="22"/>
      <c r="TVC153" s="22"/>
      <c r="TVD153" s="22"/>
      <c r="TVE153" s="22"/>
      <c r="TVF153" s="22"/>
      <c r="TVG153" s="22"/>
      <c r="TVH153" s="22"/>
      <c r="TVI153" s="22"/>
      <c r="TVJ153" s="22"/>
      <c r="TVK153" s="22"/>
      <c r="TVL153" s="22"/>
      <c r="TVM153" s="22"/>
      <c r="TVN153" s="22"/>
      <c r="TVO153" s="22"/>
      <c r="TVP153" s="22"/>
      <c r="TVQ153" s="22"/>
      <c r="TVR153" s="22"/>
      <c r="TVS153" s="22"/>
      <c r="TVT153" s="22"/>
      <c r="TVU153" s="22"/>
      <c r="TVV153" s="22"/>
      <c r="TVW153" s="22"/>
      <c r="TVX153" s="22"/>
      <c r="TVY153" s="22"/>
      <c r="TVZ153" s="22"/>
      <c r="TWA153" s="22"/>
      <c r="TWB153" s="22"/>
      <c r="TWC153" s="22"/>
      <c r="TWD153" s="22"/>
      <c r="TWE153" s="22"/>
      <c r="TWF153" s="22"/>
      <c r="TWG153" s="22"/>
      <c r="TWH153" s="22"/>
      <c r="TWI153" s="22"/>
      <c r="TWJ153" s="22"/>
      <c r="TWK153" s="22"/>
      <c r="TWL153" s="22"/>
      <c r="TWM153" s="22"/>
      <c r="TWN153" s="22"/>
      <c r="TWO153" s="22"/>
      <c r="TWP153" s="22"/>
      <c r="TWQ153" s="22"/>
      <c r="TWR153" s="22"/>
      <c r="TWS153" s="22"/>
      <c r="TWT153" s="22"/>
      <c r="TWU153" s="22"/>
      <c r="TWV153" s="22"/>
      <c r="TWW153" s="22"/>
      <c r="TWX153" s="22"/>
      <c r="TWY153" s="22"/>
      <c r="TWZ153" s="22"/>
      <c r="TXA153" s="22"/>
      <c r="TXB153" s="22"/>
      <c r="TXC153" s="22"/>
      <c r="TXD153" s="22"/>
      <c r="TXE153" s="22"/>
      <c r="TXF153" s="22"/>
      <c r="TXG153" s="22"/>
      <c r="TXH153" s="22"/>
      <c r="TXI153" s="22"/>
      <c r="TXJ153" s="22"/>
      <c r="TXK153" s="22"/>
      <c r="TXL153" s="22"/>
      <c r="TXM153" s="22"/>
      <c r="TXN153" s="22"/>
      <c r="TXO153" s="22"/>
      <c r="TXP153" s="22"/>
      <c r="TXQ153" s="22"/>
      <c r="TXR153" s="22"/>
      <c r="TXS153" s="22"/>
      <c r="TXT153" s="22"/>
      <c r="TXU153" s="22"/>
      <c r="TXV153" s="22"/>
      <c r="TXW153" s="22"/>
      <c r="TXX153" s="22"/>
      <c r="TXY153" s="22"/>
      <c r="TXZ153" s="22"/>
      <c r="TYA153" s="22"/>
      <c r="TYB153" s="22"/>
      <c r="TYC153" s="22"/>
      <c r="TYD153" s="22"/>
      <c r="TYE153" s="22"/>
      <c r="TYF153" s="22"/>
      <c r="TYG153" s="22"/>
      <c r="TYH153" s="22"/>
      <c r="TYI153" s="22"/>
      <c r="TYJ153" s="22"/>
      <c r="TYK153" s="22"/>
      <c r="TYL153" s="22"/>
      <c r="TYM153" s="22"/>
      <c r="TYN153" s="22"/>
      <c r="TYO153" s="22"/>
      <c r="TYP153" s="22"/>
      <c r="TYQ153" s="22"/>
      <c r="TYR153" s="22"/>
      <c r="TYS153" s="22"/>
      <c r="TYT153" s="22"/>
      <c r="TYU153" s="22"/>
      <c r="TYV153" s="22"/>
      <c r="TYW153" s="22"/>
      <c r="TYX153" s="22"/>
      <c r="TYY153" s="22"/>
      <c r="TYZ153" s="22"/>
      <c r="TZA153" s="22"/>
      <c r="TZB153" s="22"/>
      <c r="TZC153" s="22"/>
      <c r="TZD153" s="22"/>
      <c r="TZE153" s="22"/>
      <c r="TZF153" s="22"/>
      <c r="TZG153" s="22"/>
      <c r="TZH153" s="22"/>
      <c r="TZI153" s="22"/>
      <c r="TZJ153" s="22"/>
      <c r="TZK153" s="22"/>
      <c r="TZL153" s="22"/>
      <c r="TZM153" s="22"/>
      <c r="TZN153" s="22"/>
      <c r="TZO153" s="22"/>
      <c r="TZP153" s="22"/>
      <c r="TZQ153" s="22"/>
      <c r="TZR153" s="22"/>
      <c r="TZS153" s="22"/>
      <c r="TZT153" s="22"/>
      <c r="TZU153" s="22"/>
      <c r="TZV153" s="22"/>
      <c r="TZW153" s="22"/>
      <c r="TZX153" s="22"/>
      <c r="TZY153" s="22"/>
      <c r="TZZ153" s="22"/>
      <c r="UAA153" s="22"/>
      <c r="UAB153" s="22"/>
      <c r="UAC153" s="22"/>
      <c r="UAD153" s="22"/>
      <c r="UAE153" s="22"/>
      <c r="UAF153" s="22"/>
      <c r="UAG153" s="22"/>
      <c r="UAH153" s="22"/>
      <c r="UAI153" s="22"/>
      <c r="UAJ153" s="22"/>
      <c r="UAK153" s="22"/>
      <c r="UAL153" s="22"/>
      <c r="UAM153" s="22"/>
      <c r="UAN153" s="22"/>
      <c r="UAO153" s="22"/>
      <c r="UAP153" s="22"/>
      <c r="UAQ153" s="22"/>
      <c r="UAR153" s="22"/>
      <c r="UAS153" s="22"/>
      <c r="UAT153" s="22"/>
      <c r="UAU153" s="22"/>
      <c r="UAV153" s="22"/>
      <c r="UAW153" s="22"/>
      <c r="UAX153" s="22"/>
      <c r="UAY153" s="22"/>
      <c r="UAZ153" s="22"/>
      <c r="UBA153" s="22"/>
      <c r="UBB153" s="22"/>
      <c r="UBC153" s="22"/>
      <c r="UBD153" s="22"/>
      <c r="UBE153" s="22"/>
      <c r="UBF153" s="22"/>
      <c r="UBG153" s="22"/>
      <c r="UBH153" s="22"/>
      <c r="UBI153" s="22"/>
      <c r="UBJ153" s="22"/>
      <c r="UBK153" s="22"/>
      <c r="UBL153" s="22"/>
      <c r="UBM153" s="22"/>
      <c r="UBN153" s="22"/>
      <c r="UBO153" s="22"/>
      <c r="UBP153" s="22"/>
      <c r="UBQ153" s="22"/>
      <c r="UBR153" s="22"/>
      <c r="UBS153" s="22"/>
      <c r="UBT153" s="22"/>
      <c r="UBU153" s="22"/>
      <c r="UBV153" s="22"/>
      <c r="UBW153" s="22"/>
      <c r="UBX153" s="22"/>
      <c r="UBY153" s="22"/>
      <c r="UBZ153" s="22"/>
      <c r="UCA153" s="22"/>
      <c r="UCB153" s="22"/>
      <c r="UCC153" s="22"/>
      <c r="UCD153" s="22"/>
      <c r="UCE153" s="22"/>
      <c r="UCF153" s="22"/>
      <c r="UCG153" s="22"/>
      <c r="UCH153" s="22"/>
      <c r="UCI153" s="22"/>
      <c r="UCJ153" s="22"/>
      <c r="UCK153" s="22"/>
      <c r="UCL153" s="22"/>
      <c r="UCM153" s="22"/>
      <c r="UCN153" s="22"/>
      <c r="UCO153" s="22"/>
      <c r="UCP153" s="22"/>
      <c r="UCQ153" s="22"/>
      <c r="UCR153" s="22"/>
      <c r="UCS153" s="22"/>
      <c r="UCT153" s="22"/>
      <c r="UCU153" s="22"/>
      <c r="UCV153" s="22"/>
      <c r="UCW153" s="22"/>
      <c r="UCX153" s="22"/>
      <c r="UCY153" s="22"/>
      <c r="UCZ153" s="22"/>
      <c r="UDA153" s="22"/>
      <c r="UDB153" s="22"/>
      <c r="UDC153" s="22"/>
      <c r="UDD153" s="22"/>
      <c r="UDE153" s="22"/>
      <c r="UDF153" s="22"/>
      <c r="UDG153" s="22"/>
      <c r="UDH153" s="22"/>
      <c r="UDI153" s="22"/>
      <c r="UDJ153" s="22"/>
      <c r="UDK153" s="22"/>
      <c r="UDL153" s="22"/>
      <c r="UDM153" s="22"/>
      <c r="UDN153" s="22"/>
      <c r="UDO153" s="22"/>
      <c r="UDP153" s="22"/>
      <c r="UDQ153" s="22"/>
      <c r="UDR153" s="22"/>
      <c r="UDS153" s="22"/>
      <c r="UDT153" s="22"/>
      <c r="UDU153" s="22"/>
      <c r="UDV153" s="22"/>
      <c r="UDW153" s="22"/>
      <c r="UDX153" s="22"/>
      <c r="UDY153" s="22"/>
      <c r="UDZ153" s="22"/>
      <c r="UEA153" s="22"/>
      <c r="UEB153" s="22"/>
      <c r="UEC153" s="22"/>
      <c r="UED153" s="22"/>
      <c r="UEE153" s="22"/>
      <c r="UEF153" s="22"/>
      <c r="UEG153" s="22"/>
      <c r="UEH153" s="22"/>
      <c r="UEI153" s="22"/>
      <c r="UEJ153" s="22"/>
      <c r="UEK153" s="22"/>
      <c r="UEL153" s="22"/>
      <c r="UEM153" s="22"/>
      <c r="UEN153" s="22"/>
      <c r="UEO153" s="22"/>
      <c r="UEP153" s="22"/>
      <c r="UEQ153" s="22"/>
      <c r="UER153" s="22"/>
      <c r="UES153" s="22"/>
      <c r="UET153" s="22"/>
      <c r="UEU153" s="22"/>
      <c r="UEV153" s="22"/>
      <c r="UEW153" s="22"/>
      <c r="UEX153" s="22"/>
      <c r="UEY153" s="22"/>
      <c r="UEZ153" s="22"/>
      <c r="UFA153" s="22"/>
      <c r="UFB153" s="22"/>
      <c r="UFC153" s="22"/>
      <c r="UFD153" s="22"/>
      <c r="UFE153" s="22"/>
      <c r="UFF153" s="22"/>
      <c r="UFG153" s="22"/>
      <c r="UFH153" s="22"/>
      <c r="UFI153" s="22"/>
      <c r="UFJ153" s="22"/>
      <c r="UFK153" s="22"/>
      <c r="UFL153" s="22"/>
      <c r="UFM153" s="22"/>
      <c r="UFN153" s="22"/>
      <c r="UFO153" s="22"/>
      <c r="UFP153" s="22"/>
      <c r="UFQ153" s="22"/>
      <c r="UFR153" s="22"/>
      <c r="UFS153" s="22"/>
      <c r="UFT153" s="22"/>
      <c r="UFU153" s="22"/>
      <c r="UFV153" s="22"/>
      <c r="UFW153" s="22"/>
      <c r="UFX153" s="22"/>
      <c r="UFY153" s="22"/>
      <c r="UFZ153" s="22"/>
      <c r="UGA153" s="22"/>
      <c r="UGB153" s="22"/>
      <c r="UGC153" s="22"/>
      <c r="UGD153" s="22"/>
      <c r="UGE153" s="22"/>
      <c r="UGF153" s="22"/>
      <c r="UGG153" s="22"/>
      <c r="UGH153" s="22"/>
      <c r="UGI153" s="22"/>
      <c r="UGJ153" s="22"/>
      <c r="UGK153" s="22"/>
      <c r="UGL153" s="22"/>
      <c r="UGM153" s="22"/>
      <c r="UGN153" s="22"/>
      <c r="UGO153" s="22"/>
      <c r="UGP153" s="22"/>
      <c r="UGQ153" s="22"/>
      <c r="UGR153" s="22"/>
      <c r="UGS153" s="22"/>
      <c r="UGT153" s="22"/>
      <c r="UGU153" s="22"/>
      <c r="UGV153" s="22"/>
      <c r="UGW153" s="22"/>
      <c r="UGX153" s="22"/>
      <c r="UGY153" s="22"/>
      <c r="UGZ153" s="22"/>
      <c r="UHA153" s="22"/>
      <c r="UHB153" s="22"/>
      <c r="UHC153" s="22"/>
      <c r="UHD153" s="22"/>
      <c r="UHE153" s="22"/>
      <c r="UHF153" s="22"/>
      <c r="UHG153" s="22"/>
      <c r="UHH153" s="22"/>
      <c r="UHI153" s="22"/>
      <c r="UHJ153" s="22"/>
      <c r="UHK153" s="22"/>
      <c r="UHL153" s="22"/>
      <c r="UHM153" s="22"/>
      <c r="UHN153" s="22"/>
      <c r="UHO153" s="22"/>
      <c r="UHP153" s="22"/>
      <c r="UHQ153" s="22"/>
      <c r="UHR153" s="22"/>
      <c r="UHS153" s="22"/>
      <c r="UHT153" s="22"/>
      <c r="UHU153" s="22"/>
      <c r="UHV153" s="22"/>
      <c r="UHW153" s="22"/>
      <c r="UHX153" s="22"/>
      <c r="UHY153" s="22"/>
      <c r="UHZ153" s="22"/>
      <c r="UIA153" s="22"/>
      <c r="UIB153" s="22"/>
      <c r="UIC153" s="22"/>
      <c r="UID153" s="22"/>
      <c r="UIE153" s="22"/>
      <c r="UIF153" s="22"/>
      <c r="UIG153" s="22"/>
      <c r="UIH153" s="22"/>
      <c r="UII153" s="22"/>
      <c r="UIJ153" s="22"/>
      <c r="UIK153" s="22"/>
      <c r="UIL153" s="22"/>
      <c r="UIM153" s="22"/>
      <c r="UIN153" s="22"/>
      <c r="UIO153" s="22"/>
      <c r="UIP153" s="22"/>
      <c r="UIQ153" s="22"/>
      <c r="UIR153" s="22"/>
      <c r="UIS153" s="22"/>
      <c r="UIT153" s="22"/>
      <c r="UIU153" s="22"/>
      <c r="UIV153" s="22"/>
      <c r="UIW153" s="22"/>
      <c r="UIX153" s="22"/>
      <c r="UIY153" s="22"/>
      <c r="UIZ153" s="22"/>
      <c r="UJA153" s="22"/>
      <c r="UJB153" s="22"/>
      <c r="UJC153" s="22"/>
      <c r="UJD153" s="22"/>
      <c r="UJE153" s="22"/>
      <c r="UJF153" s="22"/>
      <c r="UJG153" s="22"/>
      <c r="UJH153" s="22"/>
      <c r="UJI153" s="22"/>
      <c r="UJJ153" s="22"/>
      <c r="UJK153" s="22"/>
      <c r="UJL153" s="22"/>
      <c r="UJM153" s="22"/>
      <c r="UJN153" s="22"/>
      <c r="UJO153" s="22"/>
      <c r="UJP153" s="22"/>
      <c r="UJQ153" s="22"/>
      <c r="UJR153" s="22"/>
      <c r="UJS153" s="22"/>
      <c r="UJT153" s="22"/>
      <c r="UJU153" s="22"/>
      <c r="UJV153" s="22"/>
      <c r="UJW153" s="22"/>
      <c r="UJX153" s="22"/>
      <c r="UJY153" s="22"/>
      <c r="UJZ153" s="22"/>
      <c r="UKA153" s="22"/>
      <c r="UKB153" s="22"/>
      <c r="UKC153" s="22"/>
      <c r="UKD153" s="22"/>
      <c r="UKE153" s="22"/>
      <c r="UKF153" s="22"/>
      <c r="UKG153" s="22"/>
      <c r="UKH153" s="22"/>
      <c r="UKI153" s="22"/>
      <c r="UKJ153" s="22"/>
      <c r="UKK153" s="22"/>
      <c r="UKL153" s="22"/>
      <c r="UKM153" s="22"/>
      <c r="UKN153" s="22"/>
      <c r="UKO153" s="22"/>
      <c r="UKP153" s="22"/>
      <c r="UKQ153" s="22"/>
      <c r="UKR153" s="22"/>
      <c r="UKS153" s="22"/>
      <c r="UKT153" s="22"/>
      <c r="UKU153" s="22"/>
      <c r="UKV153" s="22"/>
      <c r="UKW153" s="22"/>
      <c r="UKX153" s="22"/>
      <c r="UKY153" s="22"/>
      <c r="UKZ153" s="22"/>
      <c r="ULA153" s="22"/>
      <c r="ULB153" s="22"/>
      <c r="ULC153" s="22"/>
      <c r="ULD153" s="22"/>
      <c r="ULE153" s="22"/>
      <c r="ULF153" s="22"/>
      <c r="ULG153" s="22"/>
      <c r="ULH153" s="22"/>
      <c r="ULI153" s="22"/>
      <c r="ULJ153" s="22"/>
      <c r="ULK153" s="22"/>
      <c r="ULL153" s="22"/>
      <c r="ULM153" s="22"/>
      <c r="ULN153" s="22"/>
      <c r="ULO153" s="22"/>
      <c r="ULP153" s="22"/>
      <c r="ULQ153" s="22"/>
      <c r="ULR153" s="22"/>
      <c r="ULS153" s="22"/>
      <c r="ULT153" s="22"/>
      <c r="ULU153" s="22"/>
      <c r="ULV153" s="22"/>
      <c r="ULW153" s="22"/>
      <c r="ULX153" s="22"/>
      <c r="ULY153" s="22"/>
      <c r="ULZ153" s="22"/>
      <c r="UMA153" s="22"/>
      <c r="UMB153" s="22"/>
      <c r="UMC153" s="22"/>
      <c r="UMD153" s="22"/>
      <c r="UME153" s="22"/>
      <c r="UMF153" s="22"/>
      <c r="UMG153" s="22"/>
      <c r="UMH153" s="22"/>
      <c r="UMI153" s="22"/>
      <c r="UMJ153" s="22"/>
      <c r="UMK153" s="22"/>
      <c r="UML153" s="22"/>
      <c r="UMM153" s="22"/>
      <c r="UMN153" s="22"/>
      <c r="UMO153" s="22"/>
      <c r="UMP153" s="22"/>
      <c r="UMQ153" s="22"/>
      <c r="UMR153" s="22"/>
      <c r="UMS153" s="22"/>
      <c r="UMT153" s="22"/>
      <c r="UMU153" s="22"/>
      <c r="UMV153" s="22"/>
      <c r="UMW153" s="22"/>
      <c r="UMX153" s="22"/>
      <c r="UMY153" s="22"/>
      <c r="UMZ153" s="22"/>
      <c r="UNA153" s="22"/>
      <c r="UNB153" s="22"/>
      <c r="UNC153" s="22"/>
      <c r="UND153" s="22"/>
      <c r="UNE153" s="22"/>
      <c r="UNF153" s="22"/>
      <c r="UNG153" s="22"/>
      <c r="UNH153" s="22"/>
      <c r="UNI153" s="22"/>
      <c r="UNJ153" s="22"/>
      <c r="UNK153" s="22"/>
      <c r="UNL153" s="22"/>
      <c r="UNM153" s="22"/>
      <c r="UNN153" s="22"/>
      <c r="UNO153" s="22"/>
      <c r="UNP153" s="22"/>
      <c r="UNQ153" s="22"/>
      <c r="UNR153" s="22"/>
      <c r="UNS153" s="22"/>
      <c r="UNT153" s="22"/>
      <c r="UNU153" s="22"/>
      <c r="UNV153" s="22"/>
      <c r="UNW153" s="22"/>
      <c r="UNX153" s="22"/>
      <c r="UNY153" s="22"/>
      <c r="UNZ153" s="22"/>
      <c r="UOA153" s="22"/>
      <c r="UOB153" s="22"/>
      <c r="UOC153" s="22"/>
      <c r="UOD153" s="22"/>
      <c r="UOE153" s="22"/>
      <c r="UOF153" s="22"/>
      <c r="UOG153" s="22"/>
      <c r="UOH153" s="22"/>
      <c r="UOI153" s="22"/>
      <c r="UOJ153" s="22"/>
      <c r="UOK153" s="22"/>
      <c r="UOL153" s="22"/>
      <c r="UOM153" s="22"/>
      <c r="UON153" s="22"/>
      <c r="UOO153" s="22"/>
      <c r="UOP153" s="22"/>
      <c r="UOQ153" s="22"/>
      <c r="UOR153" s="22"/>
      <c r="UOS153" s="22"/>
      <c r="UOT153" s="22"/>
      <c r="UOU153" s="22"/>
      <c r="UOV153" s="22"/>
      <c r="UOW153" s="22"/>
      <c r="UOX153" s="22"/>
      <c r="UOY153" s="22"/>
      <c r="UOZ153" s="22"/>
      <c r="UPA153" s="22"/>
      <c r="UPB153" s="22"/>
      <c r="UPC153" s="22"/>
      <c r="UPD153" s="22"/>
      <c r="UPE153" s="22"/>
      <c r="UPF153" s="22"/>
      <c r="UPG153" s="22"/>
      <c r="UPH153" s="22"/>
      <c r="UPI153" s="22"/>
      <c r="UPJ153" s="22"/>
      <c r="UPK153" s="22"/>
      <c r="UPL153" s="22"/>
      <c r="UPM153" s="22"/>
      <c r="UPN153" s="22"/>
      <c r="UPO153" s="22"/>
      <c r="UPP153" s="22"/>
      <c r="UPQ153" s="22"/>
      <c r="UPR153" s="22"/>
      <c r="UPS153" s="22"/>
      <c r="UPT153" s="22"/>
      <c r="UPU153" s="22"/>
      <c r="UPV153" s="22"/>
      <c r="UPW153" s="22"/>
      <c r="UPX153" s="22"/>
      <c r="UPY153" s="22"/>
      <c r="UPZ153" s="22"/>
      <c r="UQA153" s="22"/>
      <c r="UQB153" s="22"/>
      <c r="UQC153" s="22"/>
      <c r="UQD153" s="22"/>
      <c r="UQE153" s="22"/>
      <c r="UQF153" s="22"/>
      <c r="UQG153" s="22"/>
      <c r="UQH153" s="22"/>
      <c r="UQI153" s="22"/>
      <c r="UQJ153" s="22"/>
      <c r="UQK153" s="22"/>
      <c r="UQL153" s="22"/>
      <c r="UQM153" s="22"/>
      <c r="UQN153" s="22"/>
      <c r="UQO153" s="22"/>
      <c r="UQP153" s="22"/>
      <c r="UQQ153" s="22"/>
      <c r="UQR153" s="22"/>
      <c r="UQS153" s="22"/>
      <c r="UQT153" s="22"/>
      <c r="UQU153" s="22"/>
      <c r="UQV153" s="22"/>
      <c r="UQW153" s="22"/>
      <c r="UQX153" s="22"/>
      <c r="UQY153" s="22"/>
      <c r="UQZ153" s="22"/>
      <c r="URA153" s="22"/>
      <c r="URB153" s="22"/>
      <c r="URC153" s="22"/>
      <c r="URD153" s="22"/>
      <c r="URE153" s="22"/>
      <c r="URF153" s="22"/>
      <c r="URG153" s="22"/>
      <c r="URH153" s="22"/>
      <c r="URI153" s="22"/>
      <c r="URJ153" s="22"/>
      <c r="URK153" s="22"/>
      <c r="URL153" s="22"/>
      <c r="URM153" s="22"/>
      <c r="URN153" s="22"/>
      <c r="URO153" s="22"/>
      <c r="URP153" s="22"/>
      <c r="URQ153" s="22"/>
      <c r="URR153" s="22"/>
      <c r="URS153" s="22"/>
      <c r="URT153" s="22"/>
      <c r="URU153" s="22"/>
      <c r="URV153" s="22"/>
      <c r="URW153" s="22"/>
      <c r="URX153" s="22"/>
      <c r="URY153" s="22"/>
      <c r="URZ153" s="22"/>
      <c r="USA153" s="22"/>
      <c r="USB153" s="22"/>
      <c r="USC153" s="22"/>
      <c r="USD153" s="22"/>
      <c r="USE153" s="22"/>
      <c r="USF153" s="22"/>
      <c r="USG153" s="22"/>
      <c r="USH153" s="22"/>
      <c r="USI153" s="22"/>
      <c r="USJ153" s="22"/>
      <c r="USK153" s="22"/>
      <c r="USL153" s="22"/>
      <c r="USM153" s="22"/>
      <c r="USN153" s="22"/>
      <c r="USO153" s="22"/>
      <c r="USP153" s="22"/>
      <c r="USQ153" s="22"/>
      <c r="USR153" s="22"/>
      <c r="USS153" s="22"/>
      <c r="UST153" s="22"/>
      <c r="USU153" s="22"/>
      <c r="USV153" s="22"/>
      <c r="USW153" s="22"/>
      <c r="USX153" s="22"/>
      <c r="USY153" s="22"/>
      <c r="USZ153" s="22"/>
      <c r="UTA153" s="22"/>
      <c r="UTB153" s="22"/>
      <c r="UTC153" s="22"/>
      <c r="UTD153" s="22"/>
      <c r="UTE153" s="22"/>
      <c r="UTF153" s="22"/>
      <c r="UTG153" s="22"/>
      <c r="UTH153" s="22"/>
      <c r="UTI153" s="22"/>
      <c r="UTJ153" s="22"/>
      <c r="UTK153" s="22"/>
      <c r="UTL153" s="22"/>
      <c r="UTM153" s="22"/>
      <c r="UTN153" s="22"/>
      <c r="UTO153" s="22"/>
      <c r="UTP153" s="22"/>
      <c r="UTQ153" s="22"/>
      <c r="UTR153" s="22"/>
      <c r="UTS153" s="22"/>
      <c r="UTT153" s="22"/>
      <c r="UTU153" s="22"/>
      <c r="UTV153" s="22"/>
      <c r="UTW153" s="22"/>
      <c r="UTX153" s="22"/>
      <c r="UTY153" s="22"/>
      <c r="UTZ153" s="22"/>
      <c r="UUA153" s="22"/>
      <c r="UUB153" s="22"/>
      <c r="UUC153" s="22"/>
      <c r="UUD153" s="22"/>
      <c r="UUE153" s="22"/>
      <c r="UUF153" s="22"/>
      <c r="UUG153" s="22"/>
      <c r="UUH153" s="22"/>
      <c r="UUI153" s="22"/>
      <c r="UUJ153" s="22"/>
      <c r="UUK153" s="22"/>
      <c r="UUL153" s="22"/>
      <c r="UUM153" s="22"/>
      <c r="UUN153" s="22"/>
      <c r="UUO153" s="22"/>
      <c r="UUP153" s="22"/>
      <c r="UUQ153" s="22"/>
      <c r="UUR153" s="22"/>
      <c r="UUS153" s="22"/>
      <c r="UUT153" s="22"/>
      <c r="UUU153" s="22"/>
      <c r="UUV153" s="22"/>
      <c r="UUW153" s="22"/>
      <c r="UUX153" s="22"/>
      <c r="UUY153" s="22"/>
      <c r="UUZ153" s="22"/>
      <c r="UVA153" s="22"/>
      <c r="UVB153" s="22"/>
      <c r="UVC153" s="22"/>
      <c r="UVD153" s="22"/>
      <c r="UVE153" s="22"/>
      <c r="UVF153" s="22"/>
      <c r="UVG153" s="22"/>
      <c r="UVH153" s="22"/>
      <c r="UVI153" s="22"/>
      <c r="UVJ153" s="22"/>
      <c r="UVK153" s="22"/>
      <c r="UVL153" s="22"/>
      <c r="UVM153" s="22"/>
      <c r="UVN153" s="22"/>
      <c r="UVO153" s="22"/>
      <c r="UVP153" s="22"/>
      <c r="UVQ153" s="22"/>
      <c r="UVR153" s="22"/>
      <c r="UVS153" s="22"/>
      <c r="UVT153" s="22"/>
      <c r="UVU153" s="22"/>
      <c r="UVV153" s="22"/>
      <c r="UVW153" s="22"/>
      <c r="UVX153" s="22"/>
      <c r="UVY153" s="22"/>
      <c r="UVZ153" s="22"/>
      <c r="UWA153" s="22"/>
      <c r="UWB153" s="22"/>
      <c r="UWC153" s="22"/>
      <c r="UWD153" s="22"/>
      <c r="UWE153" s="22"/>
      <c r="UWF153" s="22"/>
      <c r="UWG153" s="22"/>
      <c r="UWH153" s="22"/>
      <c r="UWI153" s="22"/>
      <c r="UWJ153" s="22"/>
      <c r="UWK153" s="22"/>
      <c r="UWL153" s="22"/>
      <c r="UWM153" s="22"/>
      <c r="UWN153" s="22"/>
      <c r="UWO153" s="22"/>
      <c r="UWP153" s="22"/>
      <c r="UWQ153" s="22"/>
      <c r="UWR153" s="22"/>
      <c r="UWS153" s="22"/>
      <c r="UWT153" s="22"/>
      <c r="UWU153" s="22"/>
      <c r="UWV153" s="22"/>
      <c r="UWW153" s="22"/>
      <c r="UWX153" s="22"/>
      <c r="UWY153" s="22"/>
      <c r="UWZ153" s="22"/>
      <c r="UXA153" s="22"/>
      <c r="UXB153" s="22"/>
      <c r="UXC153" s="22"/>
      <c r="UXD153" s="22"/>
      <c r="UXE153" s="22"/>
      <c r="UXF153" s="22"/>
      <c r="UXG153" s="22"/>
      <c r="UXH153" s="22"/>
      <c r="UXI153" s="22"/>
      <c r="UXJ153" s="22"/>
      <c r="UXK153" s="22"/>
      <c r="UXL153" s="22"/>
      <c r="UXM153" s="22"/>
      <c r="UXN153" s="22"/>
      <c r="UXO153" s="22"/>
      <c r="UXP153" s="22"/>
      <c r="UXQ153" s="22"/>
      <c r="UXR153" s="22"/>
      <c r="UXS153" s="22"/>
      <c r="UXT153" s="22"/>
      <c r="UXU153" s="22"/>
      <c r="UXV153" s="22"/>
      <c r="UXW153" s="22"/>
      <c r="UXX153" s="22"/>
      <c r="UXY153" s="22"/>
      <c r="UXZ153" s="22"/>
      <c r="UYA153" s="22"/>
      <c r="UYB153" s="22"/>
      <c r="UYC153" s="22"/>
      <c r="UYD153" s="22"/>
      <c r="UYE153" s="22"/>
      <c r="UYF153" s="22"/>
      <c r="UYG153" s="22"/>
      <c r="UYH153" s="22"/>
      <c r="UYI153" s="22"/>
      <c r="UYJ153" s="22"/>
      <c r="UYK153" s="22"/>
      <c r="UYL153" s="22"/>
      <c r="UYM153" s="22"/>
      <c r="UYN153" s="22"/>
      <c r="UYO153" s="22"/>
      <c r="UYP153" s="22"/>
      <c r="UYQ153" s="22"/>
      <c r="UYR153" s="22"/>
      <c r="UYS153" s="22"/>
      <c r="UYT153" s="22"/>
      <c r="UYU153" s="22"/>
      <c r="UYV153" s="22"/>
      <c r="UYW153" s="22"/>
      <c r="UYX153" s="22"/>
      <c r="UYY153" s="22"/>
      <c r="UYZ153" s="22"/>
      <c r="UZA153" s="22"/>
      <c r="UZB153" s="22"/>
      <c r="UZC153" s="22"/>
      <c r="UZD153" s="22"/>
      <c r="UZE153" s="22"/>
      <c r="UZF153" s="22"/>
      <c r="UZG153" s="22"/>
      <c r="UZH153" s="22"/>
      <c r="UZI153" s="22"/>
      <c r="UZJ153" s="22"/>
      <c r="UZK153" s="22"/>
      <c r="UZL153" s="22"/>
      <c r="UZM153" s="22"/>
      <c r="UZN153" s="22"/>
      <c r="UZO153" s="22"/>
      <c r="UZP153" s="22"/>
      <c r="UZQ153" s="22"/>
      <c r="UZR153" s="22"/>
      <c r="UZS153" s="22"/>
      <c r="UZT153" s="22"/>
      <c r="UZU153" s="22"/>
      <c r="UZV153" s="22"/>
      <c r="UZW153" s="22"/>
      <c r="UZX153" s="22"/>
      <c r="UZY153" s="22"/>
      <c r="UZZ153" s="22"/>
      <c r="VAA153" s="22"/>
      <c r="VAB153" s="22"/>
      <c r="VAC153" s="22"/>
      <c r="VAD153" s="22"/>
      <c r="VAE153" s="22"/>
      <c r="VAF153" s="22"/>
      <c r="VAG153" s="22"/>
      <c r="VAH153" s="22"/>
      <c r="VAI153" s="22"/>
      <c r="VAJ153" s="22"/>
      <c r="VAK153" s="22"/>
      <c r="VAL153" s="22"/>
      <c r="VAM153" s="22"/>
      <c r="VAN153" s="22"/>
      <c r="VAO153" s="22"/>
      <c r="VAP153" s="22"/>
      <c r="VAQ153" s="22"/>
      <c r="VAR153" s="22"/>
      <c r="VAS153" s="22"/>
      <c r="VAT153" s="22"/>
      <c r="VAU153" s="22"/>
      <c r="VAV153" s="22"/>
      <c r="VAW153" s="22"/>
      <c r="VAX153" s="22"/>
      <c r="VAY153" s="22"/>
      <c r="VAZ153" s="22"/>
      <c r="VBA153" s="22"/>
      <c r="VBB153" s="22"/>
      <c r="VBC153" s="22"/>
      <c r="VBD153" s="22"/>
      <c r="VBE153" s="22"/>
      <c r="VBF153" s="22"/>
      <c r="VBG153" s="22"/>
      <c r="VBH153" s="22"/>
      <c r="VBI153" s="22"/>
      <c r="VBJ153" s="22"/>
      <c r="VBK153" s="22"/>
      <c r="VBL153" s="22"/>
      <c r="VBM153" s="22"/>
      <c r="VBN153" s="22"/>
      <c r="VBO153" s="22"/>
      <c r="VBP153" s="22"/>
      <c r="VBQ153" s="22"/>
      <c r="VBR153" s="22"/>
      <c r="VBS153" s="22"/>
      <c r="VBT153" s="22"/>
      <c r="VBU153" s="22"/>
      <c r="VBV153" s="22"/>
      <c r="VBW153" s="22"/>
      <c r="VBX153" s="22"/>
      <c r="VBY153" s="22"/>
      <c r="VBZ153" s="22"/>
      <c r="VCA153" s="22"/>
      <c r="VCB153" s="22"/>
      <c r="VCC153" s="22"/>
      <c r="VCD153" s="22"/>
      <c r="VCE153" s="22"/>
      <c r="VCF153" s="22"/>
      <c r="VCG153" s="22"/>
      <c r="VCH153" s="22"/>
      <c r="VCI153" s="22"/>
      <c r="VCJ153" s="22"/>
      <c r="VCK153" s="22"/>
      <c r="VCL153" s="22"/>
      <c r="VCM153" s="22"/>
      <c r="VCN153" s="22"/>
      <c r="VCO153" s="22"/>
      <c r="VCP153" s="22"/>
      <c r="VCQ153" s="22"/>
      <c r="VCR153" s="22"/>
      <c r="VCS153" s="22"/>
      <c r="VCT153" s="22"/>
      <c r="VCU153" s="22"/>
      <c r="VCV153" s="22"/>
      <c r="VCW153" s="22"/>
      <c r="VCX153" s="22"/>
      <c r="VCY153" s="22"/>
      <c r="VCZ153" s="22"/>
      <c r="VDA153" s="22"/>
      <c r="VDB153" s="22"/>
      <c r="VDC153" s="22"/>
      <c r="VDD153" s="22"/>
      <c r="VDE153" s="22"/>
      <c r="VDF153" s="22"/>
      <c r="VDG153" s="22"/>
      <c r="VDH153" s="22"/>
      <c r="VDI153" s="22"/>
      <c r="VDJ153" s="22"/>
      <c r="VDK153" s="22"/>
      <c r="VDL153" s="22"/>
      <c r="VDM153" s="22"/>
      <c r="VDN153" s="22"/>
      <c r="VDO153" s="22"/>
      <c r="VDP153" s="22"/>
      <c r="VDQ153" s="22"/>
      <c r="VDR153" s="22"/>
      <c r="VDS153" s="22"/>
      <c r="VDT153" s="22"/>
      <c r="VDU153" s="22"/>
      <c r="VDV153" s="22"/>
      <c r="VDW153" s="22"/>
      <c r="VDX153" s="22"/>
      <c r="VDY153" s="22"/>
      <c r="VDZ153" s="22"/>
      <c r="VEA153" s="22"/>
      <c r="VEB153" s="22"/>
      <c r="VEC153" s="22"/>
      <c r="VED153" s="22"/>
      <c r="VEE153" s="22"/>
      <c r="VEF153" s="22"/>
      <c r="VEG153" s="22"/>
      <c r="VEH153" s="22"/>
      <c r="VEI153" s="22"/>
      <c r="VEJ153" s="22"/>
      <c r="VEK153" s="22"/>
      <c r="VEL153" s="22"/>
      <c r="VEM153" s="22"/>
      <c r="VEN153" s="22"/>
      <c r="VEO153" s="22"/>
      <c r="VEP153" s="22"/>
      <c r="VEQ153" s="22"/>
      <c r="VER153" s="22"/>
      <c r="VES153" s="22"/>
      <c r="VET153" s="22"/>
      <c r="VEU153" s="22"/>
      <c r="VEV153" s="22"/>
      <c r="VEW153" s="22"/>
      <c r="VEX153" s="22"/>
      <c r="VEY153" s="22"/>
      <c r="VEZ153" s="22"/>
      <c r="VFA153" s="22"/>
      <c r="VFB153" s="22"/>
      <c r="VFC153" s="22"/>
      <c r="VFD153" s="22"/>
      <c r="VFE153" s="22"/>
      <c r="VFF153" s="22"/>
      <c r="VFG153" s="22"/>
      <c r="VFH153" s="22"/>
      <c r="VFI153" s="22"/>
      <c r="VFJ153" s="22"/>
      <c r="VFK153" s="22"/>
      <c r="VFL153" s="22"/>
      <c r="VFM153" s="22"/>
      <c r="VFN153" s="22"/>
      <c r="VFO153" s="22"/>
      <c r="VFP153" s="22"/>
      <c r="VFQ153" s="22"/>
      <c r="VFR153" s="22"/>
      <c r="VFS153" s="22"/>
      <c r="VFT153" s="22"/>
      <c r="VFU153" s="22"/>
      <c r="VFV153" s="22"/>
      <c r="VFW153" s="22"/>
      <c r="VFX153" s="22"/>
      <c r="VFY153" s="22"/>
      <c r="VFZ153" s="22"/>
      <c r="VGA153" s="22"/>
      <c r="VGB153" s="22"/>
      <c r="VGC153" s="22"/>
      <c r="VGD153" s="22"/>
      <c r="VGE153" s="22"/>
      <c r="VGF153" s="22"/>
      <c r="VGG153" s="22"/>
      <c r="VGH153" s="22"/>
      <c r="VGI153" s="22"/>
      <c r="VGJ153" s="22"/>
      <c r="VGK153" s="22"/>
      <c r="VGL153" s="22"/>
      <c r="VGM153" s="22"/>
      <c r="VGN153" s="22"/>
      <c r="VGO153" s="22"/>
      <c r="VGP153" s="22"/>
      <c r="VGQ153" s="22"/>
      <c r="VGR153" s="22"/>
      <c r="VGS153" s="22"/>
      <c r="VGT153" s="22"/>
      <c r="VGU153" s="22"/>
      <c r="VGV153" s="22"/>
      <c r="VGW153" s="22"/>
      <c r="VGX153" s="22"/>
      <c r="VGY153" s="22"/>
      <c r="VGZ153" s="22"/>
      <c r="VHA153" s="22"/>
      <c r="VHB153" s="22"/>
      <c r="VHC153" s="22"/>
      <c r="VHD153" s="22"/>
      <c r="VHE153" s="22"/>
      <c r="VHF153" s="22"/>
      <c r="VHG153" s="22"/>
      <c r="VHH153" s="22"/>
      <c r="VHI153" s="22"/>
      <c r="VHJ153" s="22"/>
      <c r="VHK153" s="22"/>
      <c r="VHL153" s="22"/>
      <c r="VHM153" s="22"/>
      <c r="VHN153" s="22"/>
      <c r="VHO153" s="22"/>
      <c r="VHP153" s="22"/>
      <c r="VHQ153" s="22"/>
      <c r="VHR153" s="22"/>
      <c r="VHS153" s="22"/>
      <c r="VHT153" s="22"/>
      <c r="VHU153" s="22"/>
      <c r="VHV153" s="22"/>
      <c r="VHW153" s="22"/>
      <c r="VHX153" s="22"/>
      <c r="VHY153" s="22"/>
      <c r="VHZ153" s="22"/>
      <c r="VIA153" s="22"/>
      <c r="VIB153" s="22"/>
      <c r="VIC153" s="22"/>
      <c r="VID153" s="22"/>
      <c r="VIE153" s="22"/>
      <c r="VIF153" s="22"/>
      <c r="VIG153" s="22"/>
      <c r="VIH153" s="22"/>
      <c r="VII153" s="22"/>
      <c r="VIJ153" s="22"/>
      <c r="VIK153" s="22"/>
      <c r="VIL153" s="22"/>
      <c r="VIM153" s="22"/>
      <c r="VIN153" s="22"/>
      <c r="VIO153" s="22"/>
      <c r="VIP153" s="22"/>
      <c r="VIQ153" s="22"/>
      <c r="VIR153" s="22"/>
      <c r="VIS153" s="22"/>
      <c r="VIT153" s="22"/>
      <c r="VIU153" s="22"/>
      <c r="VIV153" s="22"/>
      <c r="VIW153" s="22"/>
      <c r="VIX153" s="22"/>
      <c r="VIY153" s="22"/>
      <c r="VIZ153" s="22"/>
      <c r="VJA153" s="22"/>
      <c r="VJB153" s="22"/>
      <c r="VJC153" s="22"/>
      <c r="VJD153" s="22"/>
      <c r="VJE153" s="22"/>
      <c r="VJF153" s="22"/>
      <c r="VJG153" s="22"/>
      <c r="VJH153" s="22"/>
      <c r="VJI153" s="22"/>
      <c r="VJJ153" s="22"/>
      <c r="VJK153" s="22"/>
      <c r="VJL153" s="22"/>
      <c r="VJM153" s="22"/>
      <c r="VJN153" s="22"/>
      <c r="VJO153" s="22"/>
      <c r="VJP153" s="22"/>
      <c r="VJQ153" s="22"/>
      <c r="VJR153" s="22"/>
      <c r="VJS153" s="22"/>
      <c r="VJT153" s="22"/>
      <c r="VJU153" s="22"/>
      <c r="VJV153" s="22"/>
      <c r="VJW153" s="22"/>
      <c r="VJX153" s="22"/>
      <c r="VJY153" s="22"/>
      <c r="VJZ153" s="22"/>
      <c r="VKA153" s="22"/>
      <c r="VKB153" s="22"/>
      <c r="VKC153" s="22"/>
      <c r="VKD153" s="22"/>
      <c r="VKE153" s="22"/>
      <c r="VKF153" s="22"/>
      <c r="VKG153" s="22"/>
      <c r="VKH153" s="22"/>
      <c r="VKI153" s="22"/>
      <c r="VKJ153" s="22"/>
      <c r="VKK153" s="22"/>
      <c r="VKL153" s="22"/>
      <c r="VKM153" s="22"/>
      <c r="VKN153" s="22"/>
      <c r="VKO153" s="22"/>
      <c r="VKP153" s="22"/>
      <c r="VKQ153" s="22"/>
      <c r="VKR153" s="22"/>
      <c r="VKS153" s="22"/>
      <c r="VKT153" s="22"/>
      <c r="VKU153" s="22"/>
      <c r="VKV153" s="22"/>
      <c r="VKW153" s="22"/>
      <c r="VKX153" s="22"/>
      <c r="VKY153" s="22"/>
      <c r="VKZ153" s="22"/>
      <c r="VLA153" s="22"/>
      <c r="VLB153" s="22"/>
      <c r="VLC153" s="22"/>
      <c r="VLD153" s="22"/>
      <c r="VLE153" s="22"/>
      <c r="VLF153" s="22"/>
      <c r="VLG153" s="22"/>
      <c r="VLH153" s="22"/>
      <c r="VLI153" s="22"/>
      <c r="VLJ153" s="22"/>
      <c r="VLK153" s="22"/>
      <c r="VLL153" s="22"/>
      <c r="VLM153" s="22"/>
      <c r="VLN153" s="22"/>
      <c r="VLO153" s="22"/>
      <c r="VLP153" s="22"/>
      <c r="VLQ153" s="22"/>
      <c r="VLR153" s="22"/>
      <c r="VLS153" s="22"/>
      <c r="VLT153" s="22"/>
      <c r="VLU153" s="22"/>
      <c r="VLV153" s="22"/>
      <c r="VLW153" s="22"/>
      <c r="VLX153" s="22"/>
      <c r="VLY153" s="22"/>
      <c r="VLZ153" s="22"/>
      <c r="VMA153" s="22"/>
      <c r="VMB153" s="22"/>
      <c r="VMC153" s="22"/>
      <c r="VMD153" s="22"/>
      <c r="VME153" s="22"/>
      <c r="VMF153" s="22"/>
      <c r="VMG153" s="22"/>
      <c r="VMH153" s="22"/>
      <c r="VMI153" s="22"/>
      <c r="VMJ153" s="22"/>
      <c r="VMK153" s="22"/>
      <c r="VML153" s="22"/>
      <c r="VMM153" s="22"/>
      <c r="VMN153" s="22"/>
      <c r="VMO153" s="22"/>
      <c r="VMP153" s="22"/>
      <c r="VMQ153" s="22"/>
      <c r="VMR153" s="22"/>
      <c r="VMS153" s="22"/>
      <c r="VMT153" s="22"/>
      <c r="VMU153" s="22"/>
      <c r="VMV153" s="22"/>
      <c r="VMW153" s="22"/>
      <c r="VMX153" s="22"/>
      <c r="VMY153" s="22"/>
      <c r="VMZ153" s="22"/>
      <c r="VNA153" s="22"/>
      <c r="VNB153" s="22"/>
      <c r="VNC153" s="22"/>
      <c r="VND153" s="22"/>
      <c r="VNE153" s="22"/>
      <c r="VNF153" s="22"/>
      <c r="VNG153" s="22"/>
      <c r="VNH153" s="22"/>
      <c r="VNI153" s="22"/>
      <c r="VNJ153" s="22"/>
      <c r="VNK153" s="22"/>
      <c r="VNL153" s="22"/>
      <c r="VNM153" s="22"/>
      <c r="VNN153" s="22"/>
      <c r="VNO153" s="22"/>
      <c r="VNP153" s="22"/>
      <c r="VNQ153" s="22"/>
      <c r="VNR153" s="22"/>
      <c r="VNS153" s="22"/>
      <c r="VNT153" s="22"/>
      <c r="VNU153" s="22"/>
      <c r="VNV153" s="22"/>
      <c r="VNW153" s="22"/>
      <c r="VNX153" s="22"/>
      <c r="VNY153" s="22"/>
      <c r="VNZ153" s="22"/>
      <c r="VOA153" s="22"/>
      <c r="VOB153" s="22"/>
      <c r="VOC153" s="22"/>
      <c r="VOD153" s="22"/>
      <c r="VOE153" s="22"/>
      <c r="VOF153" s="22"/>
      <c r="VOG153" s="22"/>
      <c r="VOH153" s="22"/>
      <c r="VOI153" s="22"/>
      <c r="VOJ153" s="22"/>
      <c r="VOK153" s="22"/>
      <c r="VOL153" s="22"/>
      <c r="VOM153" s="22"/>
      <c r="VON153" s="22"/>
      <c r="VOO153" s="22"/>
      <c r="VOP153" s="22"/>
      <c r="VOQ153" s="22"/>
      <c r="VOR153" s="22"/>
      <c r="VOS153" s="22"/>
      <c r="VOT153" s="22"/>
      <c r="VOU153" s="22"/>
      <c r="VOV153" s="22"/>
      <c r="VOW153" s="22"/>
      <c r="VOX153" s="22"/>
      <c r="VOY153" s="22"/>
      <c r="VOZ153" s="22"/>
      <c r="VPA153" s="22"/>
      <c r="VPB153" s="22"/>
      <c r="VPC153" s="22"/>
      <c r="VPD153" s="22"/>
      <c r="VPE153" s="22"/>
      <c r="VPF153" s="22"/>
      <c r="VPG153" s="22"/>
      <c r="VPH153" s="22"/>
      <c r="VPI153" s="22"/>
      <c r="VPJ153" s="22"/>
      <c r="VPK153" s="22"/>
      <c r="VPL153" s="22"/>
      <c r="VPM153" s="22"/>
      <c r="VPN153" s="22"/>
      <c r="VPO153" s="22"/>
      <c r="VPP153" s="22"/>
      <c r="VPQ153" s="22"/>
      <c r="VPR153" s="22"/>
      <c r="VPS153" s="22"/>
      <c r="VPT153" s="22"/>
      <c r="VPU153" s="22"/>
      <c r="VPV153" s="22"/>
      <c r="VPW153" s="22"/>
      <c r="VPX153" s="22"/>
      <c r="VPY153" s="22"/>
      <c r="VPZ153" s="22"/>
      <c r="VQA153" s="22"/>
      <c r="VQB153" s="22"/>
      <c r="VQC153" s="22"/>
      <c r="VQD153" s="22"/>
      <c r="VQE153" s="22"/>
      <c r="VQF153" s="22"/>
      <c r="VQG153" s="22"/>
      <c r="VQH153" s="22"/>
      <c r="VQI153" s="22"/>
      <c r="VQJ153" s="22"/>
      <c r="VQK153" s="22"/>
      <c r="VQL153" s="22"/>
      <c r="VQM153" s="22"/>
      <c r="VQN153" s="22"/>
      <c r="VQO153" s="22"/>
      <c r="VQP153" s="22"/>
      <c r="VQQ153" s="22"/>
      <c r="VQR153" s="22"/>
      <c r="VQS153" s="22"/>
      <c r="VQT153" s="22"/>
      <c r="VQU153" s="22"/>
      <c r="VQV153" s="22"/>
      <c r="VQW153" s="22"/>
      <c r="VQX153" s="22"/>
      <c r="VQY153" s="22"/>
      <c r="VQZ153" s="22"/>
      <c r="VRA153" s="22"/>
      <c r="VRB153" s="22"/>
      <c r="VRC153" s="22"/>
      <c r="VRD153" s="22"/>
      <c r="VRE153" s="22"/>
      <c r="VRF153" s="22"/>
      <c r="VRG153" s="22"/>
      <c r="VRH153" s="22"/>
      <c r="VRI153" s="22"/>
      <c r="VRJ153" s="22"/>
      <c r="VRK153" s="22"/>
      <c r="VRL153" s="22"/>
      <c r="VRM153" s="22"/>
      <c r="VRN153" s="22"/>
      <c r="VRO153" s="22"/>
      <c r="VRP153" s="22"/>
      <c r="VRQ153" s="22"/>
      <c r="VRR153" s="22"/>
      <c r="VRS153" s="22"/>
      <c r="VRT153" s="22"/>
      <c r="VRU153" s="22"/>
      <c r="VRV153" s="22"/>
      <c r="VRW153" s="22"/>
      <c r="VRX153" s="22"/>
      <c r="VRY153" s="22"/>
      <c r="VRZ153" s="22"/>
      <c r="VSA153" s="22"/>
      <c r="VSB153" s="22"/>
      <c r="VSC153" s="22"/>
      <c r="VSD153" s="22"/>
      <c r="VSE153" s="22"/>
      <c r="VSF153" s="22"/>
      <c r="VSG153" s="22"/>
      <c r="VSH153" s="22"/>
      <c r="VSI153" s="22"/>
      <c r="VSJ153" s="22"/>
      <c r="VSK153" s="22"/>
      <c r="VSL153" s="22"/>
      <c r="VSM153" s="22"/>
      <c r="VSN153" s="22"/>
      <c r="VSO153" s="22"/>
      <c r="VSP153" s="22"/>
      <c r="VSQ153" s="22"/>
      <c r="VSR153" s="22"/>
      <c r="VSS153" s="22"/>
      <c r="VST153" s="22"/>
      <c r="VSU153" s="22"/>
      <c r="VSV153" s="22"/>
      <c r="VSW153" s="22"/>
      <c r="VSX153" s="22"/>
      <c r="VSY153" s="22"/>
      <c r="VSZ153" s="22"/>
      <c r="VTA153" s="22"/>
      <c r="VTB153" s="22"/>
      <c r="VTC153" s="22"/>
      <c r="VTD153" s="22"/>
      <c r="VTE153" s="22"/>
      <c r="VTF153" s="22"/>
      <c r="VTG153" s="22"/>
      <c r="VTH153" s="22"/>
      <c r="VTI153" s="22"/>
      <c r="VTJ153" s="22"/>
      <c r="VTK153" s="22"/>
      <c r="VTL153" s="22"/>
      <c r="VTM153" s="22"/>
      <c r="VTN153" s="22"/>
      <c r="VTO153" s="22"/>
      <c r="VTP153" s="22"/>
      <c r="VTQ153" s="22"/>
      <c r="VTR153" s="22"/>
      <c r="VTS153" s="22"/>
      <c r="VTT153" s="22"/>
      <c r="VTU153" s="22"/>
      <c r="VTV153" s="22"/>
      <c r="VTW153" s="22"/>
      <c r="VTX153" s="22"/>
      <c r="VTY153" s="22"/>
      <c r="VTZ153" s="22"/>
      <c r="VUA153" s="22"/>
      <c r="VUB153" s="22"/>
      <c r="VUC153" s="22"/>
      <c r="VUD153" s="22"/>
      <c r="VUE153" s="22"/>
      <c r="VUF153" s="22"/>
      <c r="VUG153" s="22"/>
      <c r="VUH153" s="22"/>
      <c r="VUI153" s="22"/>
      <c r="VUJ153" s="22"/>
      <c r="VUK153" s="22"/>
      <c r="VUL153" s="22"/>
      <c r="VUM153" s="22"/>
      <c r="VUN153" s="22"/>
      <c r="VUO153" s="22"/>
      <c r="VUP153" s="22"/>
      <c r="VUQ153" s="22"/>
      <c r="VUR153" s="22"/>
      <c r="VUS153" s="22"/>
      <c r="VUT153" s="22"/>
      <c r="VUU153" s="22"/>
      <c r="VUV153" s="22"/>
      <c r="VUW153" s="22"/>
      <c r="VUX153" s="22"/>
      <c r="VUY153" s="22"/>
      <c r="VUZ153" s="22"/>
      <c r="VVA153" s="22"/>
      <c r="VVB153" s="22"/>
      <c r="VVC153" s="22"/>
      <c r="VVD153" s="22"/>
      <c r="VVE153" s="22"/>
      <c r="VVF153" s="22"/>
      <c r="VVG153" s="22"/>
      <c r="VVH153" s="22"/>
      <c r="VVI153" s="22"/>
      <c r="VVJ153" s="22"/>
      <c r="VVK153" s="22"/>
      <c r="VVL153" s="22"/>
      <c r="VVM153" s="22"/>
      <c r="VVN153" s="22"/>
      <c r="VVO153" s="22"/>
      <c r="VVP153" s="22"/>
      <c r="VVQ153" s="22"/>
      <c r="VVR153" s="22"/>
      <c r="VVS153" s="22"/>
      <c r="VVT153" s="22"/>
      <c r="VVU153" s="22"/>
      <c r="VVV153" s="22"/>
      <c r="VVW153" s="22"/>
      <c r="VVX153" s="22"/>
      <c r="VVY153" s="22"/>
      <c r="VVZ153" s="22"/>
      <c r="VWA153" s="22"/>
      <c r="VWB153" s="22"/>
      <c r="VWC153" s="22"/>
      <c r="VWD153" s="22"/>
      <c r="VWE153" s="22"/>
      <c r="VWF153" s="22"/>
      <c r="VWG153" s="22"/>
      <c r="VWH153" s="22"/>
      <c r="VWI153" s="22"/>
      <c r="VWJ153" s="22"/>
      <c r="VWK153" s="22"/>
      <c r="VWL153" s="22"/>
      <c r="VWM153" s="22"/>
      <c r="VWN153" s="22"/>
      <c r="VWO153" s="22"/>
      <c r="VWP153" s="22"/>
      <c r="VWQ153" s="22"/>
      <c r="VWR153" s="22"/>
      <c r="VWS153" s="22"/>
      <c r="VWT153" s="22"/>
      <c r="VWU153" s="22"/>
      <c r="VWV153" s="22"/>
      <c r="VWW153" s="22"/>
      <c r="VWX153" s="22"/>
      <c r="VWY153" s="22"/>
      <c r="VWZ153" s="22"/>
      <c r="VXA153" s="22"/>
      <c r="VXB153" s="22"/>
      <c r="VXC153" s="22"/>
      <c r="VXD153" s="22"/>
      <c r="VXE153" s="22"/>
      <c r="VXF153" s="22"/>
      <c r="VXG153" s="22"/>
      <c r="VXH153" s="22"/>
      <c r="VXI153" s="22"/>
      <c r="VXJ153" s="22"/>
      <c r="VXK153" s="22"/>
      <c r="VXL153" s="22"/>
      <c r="VXM153" s="22"/>
      <c r="VXN153" s="22"/>
      <c r="VXO153" s="22"/>
      <c r="VXP153" s="22"/>
      <c r="VXQ153" s="22"/>
      <c r="VXR153" s="22"/>
      <c r="VXS153" s="22"/>
      <c r="VXT153" s="22"/>
      <c r="VXU153" s="22"/>
      <c r="VXV153" s="22"/>
      <c r="VXW153" s="22"/>
      <c r="VXX153" s="22"/>
      <c r="VXY153" s="22"/>
      <c r="VXZ153" s="22"/>
      <c r="VYA153" s="22"/>
      <c r="VYB153" s="22"/>
      <c r="VYC153" s="22"/>
      <c r="VYD153" s="22"/>
      <c r="VYE153" s="22"/>
      <c r="VYF153" s="22"/>
      <c r="VYG153" s="22"/>
      <c r="VYH153" s="22"/>
      <c r="VYI153" s="22"/>
      <c r="VYJ153" s="22"/>
      <c r="VYK153" s="22"/>
      <c r="VYL153" s="22"/>
      <c r="VYM153" s="22"/>
      <c r="VYN153" s="22"/>
      <c r="VYO153" s="22"/>
      <c r="VYP153" s="22"/>
      <c r="VYQ153" s="22"/>
      <c r="VYR153" s="22"/>
      <c r="VYS153" s="22"/>
      <c r="VYT153" s="22"/>
      <c r="VYU153" s="22"/>
      <c r="VYV153" s="22"/>
      <c r="VYW153" s="22"/>
      <c r="VYX153" s="22"/>
      <c r="VYY153" s="22"/>
      <c r="VYZ153" s="22"/>
      <c r="VZA153" s="22"/>
      <c r="VZB153" s="22"/>
      <c r="VZC153" s="22"/>
      <c r="VZD153" s="22"/>
      <c r="VZE153" s="22"/>
      <c r="VZF153" s="22"/>
      <c r="VZG153" s="22"/>
      <c r="VZH153" s="22"/>
      <c r="VZI153" s="22"/>
      <c r="VZJ153" s="22"/>
      <c r="VZK153" s="22"/>
      <c r="VZL153" s="22"/>
      <c r="VZM153" s="22"/>
      <c r="VZN153" s="22"/>
      <c r="VZO153" s="22"/>
      <c r="VZP153" s="22"/>
      <c r="VZQ153" s="22"/>
      <c r="VZR153" s="22"/>
      <c r="VZS153" s="22"/>
      <c r="VZT153" s="22"/>
      <c r="VZU153" s="22"/>
      <c r="VZV153" s="22"/>
      <c r="VZW153" s="22"/>
      <c r="VZX153" s="22"/>
      <c r="VZY153" s="22"/>
      <c r="VZZ153" s="22"/>
      <c r="WAA153" s="22"/>
      <c r="WAB153" s="22"/>
      <c r="WAC153" s="22"/>
      <c r="WAD153" s="22"/>
      <c r="WAE153" s="22"/>
      <c r="WAF153" s="22"/>
      <c r="WAG153" s="22"/>
      <c r="WAH153" s="22"/>
      <c r="WAI153" s="22"/>
      <c r="WAJ153" s="22"/>
      <c r="WAK153" s="22"/>
      <c r="WAL153" s="22"/>
      <c r="WAM153" s="22"/>
      <c r="WAN153" s="22"/>
      <c r="WAO153" s="22"/>
      <c r="WAP153" s="22"/>
      <c r="WAQ153" s="22"/>
      <c r="WAR153" s="22"/>
      <c r="WAS153" s="22"/>
      <c r="WAT153" s="22"/>
      <c r="WAU153" s="22"/>
      <c r="WAV153" s="22"/>
      <c r="WAW153" s="22"/>
      <c r="WAX153" s="22"/>
      <c r="WAY153" s="22"/>
      <c r="WAZ153" s="22"/>
      <c r="WBA153" s="22"/>
      <c r="WBB153" s="22"/>
      <c r="WBC153" s="22"/>
      <c r="WBD153" s="22"/>
      <c r="WBE153" s="22"/>
      <c r="WBF153" s="22"/>
      <c r="WBG153" s="22"/>
      <c r="WBH153" s="22"/>
      <c r="WBI153" s="22"/>
      <c r="WBJ153" s="22"/>
      <c r="WBK153" s="22"/>
      <c r="WBL153" s="22"/>
      <c r="WBM153" s="22"/>
      <c r="WBN153" s="22"/>
      <c r="WBO153" s="22"/>
      <c r="WBP153" s="22"/>
      <c r="WBQ153" s="22"/>
      <c r="WBR153" s="22"/>
      <c r="WBS153" s="22"/>
      <c r="WBT153" s="22"/>
      <c r="WBU153" s="22"/>
      <c r="WBV153" s="22"/>
      <c r="WBW153" s="22"/>
      <c r="WBX153" s="22"/>
      <c r="WBY153" s="22"/>
      <c r="WBZ153" s="22"/>
      <c r="WCA153" s="22"/>
      <c r="WCB153" s="22"/>
      <c r="WCC153" s="22"/>
      <c r="WCD153" s="22"/>
      <c r="WCE153" s="22"/>
      <c r="WCF153" s="22"/>
      <c r="WCG153" s="22"/>
      <c r="WCH153" s="22"/>
      <c r="WCI153" s="22"/>
      <c r="WCJ153" s="22"/>
      <c r="WCK153" s="22"/>
      <c r="WCL153" s="22"/>
      <c r="WCM153" s="22"/>
      <c r="WCN153" s="22"/>
      <c r="WCO153" s="22"/>
      <c r="WCP153" s="22"/>
      <c r="WCQ153" s="22"/>
      <c r="WCR153" s="22"/>
      <c r="WCS153" s="22"/>
      <c r="WCT153" s="22"/>
      <c r="WCU153" s="22"/>
      <c r="WCV153" s="22"/>
      <c r="WCW153" s="22"/>
      <c r="WCX153" s="22"/>
      <c r="WCY153" s="22"/>
      <c r="WCZ153" s="22"/>
      <c r="WDA153" s="22"/>
      <c r="WDB153" s="22"/>
      <c r="WDC153" s="22"/>
      <c r="WDD153" s="22"/>
      <c r="WDE153" s="22"/>
      <c r="WDF153" s="22"/>
      <c r="WDG153" s="22"/>
      <c r="WDH153" s="22"/>
      <c r="WDI153" s="22"/>
      <c r="WDJ153" s="22"/>
      <c r="WDK153" s="22"/>
      <c r="WDL153" s="22"/>
      <c r="WDM153" s="22"/>
      <c r="WDN153" s="22"/>
      <c r="WDO153" s="22"/>
      <c r="WDP153" s="22"/>
      <c r="WDQ153" s="22"/>
      <c r="WDR153" s="22"/>
      <c r="WDS153" s="22"/>
      <c r="WDT153" s="22"/>
      <c r="WDU153" s="22"/>
      <c r="WDV153" s="22"/>
      <c r="WDW153" s="22"/>
      <c r="WDX153" s="22"/>
      <c r="WDY153" s="22"/>
      <c r="WDZ153" s="22"/>
      <c r="WEA153" s="22"/>
      <c r="WEB153" s="22"/>
      <c r="WEC153" s="22"/>
      <c r="WED153" s="22"/>
      <c r="WEE153" s="22"/>
      <c r="WEF153" s="22"/>
      <c r="WEG153" s="22"/>
      <c r="WEH153" s="22"/>
      <c r="WEI153" s="22"/>
      <c r="WEJ153" s="22"/>
      <c r="WEK153" s="22"/>
      <c r="WEL153" s="22"/>
      <c r="WEM153" s="22"/>
      <c r="WEN153" s="22"/>
      <c r="WEO153" s="22"/>
      <c r="WEP153" s="22"/>
      <c r="WEQ153" s="22"/>
      <c r="WER153" s="22"/>
      <c r="WES153" s="22"/>
      <c r="WET153" s="22"/>
      <c r="WEU153" s="22"/>
      <c r="WEV153" s="22"/>
      <c r="WEW153" s="22"/>
      <c r="WEX153" s="22"/>
      <c r="WEY153" s="22"/>
      <c r="WEZ153" s="22"/>
      <c r="WFA153" s="22"/>
      <c r="WFB153" s="22"/>
      <c r="WFC153" s="22"/>
      <c r="WFD153" s="22"/>
      <c r="WFE153" s="22"/>
      <c r="WFF153" s="22"/>
      <c r="WFG153" s="22"/>
      <c r="WFH153" s="22"/>
      <c r="WFI153" s="22"/>
      <c r="WFJ153" s="22"/>
      <c r="WFK153" s="22"/>
      <c r="WFL153" s="22"/>
      <c r="WFM153" s="22"/>
      <c r="WFN153" s="22"/>
      <c r="WFO153" s="22"/>
      <c r="WFP153" s="22"/>
      <c r="WFQ153" s="22"/>
      <c r="WFR153" s="22"/>
      <c r="WFS153" s="22"/>
      <c r="WFT153" s="22"/>
      <c r="WFU153" s="22"/>
      <c r="WFV153" s="22"/>
      <c r="WFW153" s="22"/>
      <c r="WFX153" s="22"/>
      <c r="WFY153" s="22"/>
      <c r="WFZ153" s="22"/>
      <c r="WGA153" s="22"/>
      <c r="WGB153" s="22"/>
      <c r="WGC153" s="22"/>
      <c r="WGD153" s="22"/>
      <c r="WGE153" s="22"/>
      <c r="WGF153" s="22"/>
      <c r="WGG153" s="22"/>
      <c r="WGH153" s="22"/>
      <c r="WGI153" s="22"/>
      <c r="WGJ153" s="22"/>
      <c r="WGK153" s="22"/>
      <c r="WGL153" s="22"/>
      <c r="WGM153" s="22"/>
      <c r="WGN153" s="22"/>
      <c r="WGO153" s="22"/>
      <c r="WGP153" s="22"/>
      <c r="WGQ153" s="22"/>
      <c r="WGR153" s="22"/>
      <c r="WGS153" s="22"/>
      <c r="WGT153" s="22"/>
      <c r="WGU153" s="22"/>
      <c r="WGV153" s="22"/>
      <c r="WGW153" s="22"/>
      <c r="WGX153" s="22"/>
      <c r="WGY153" s="22"/>
      <c r="WGZ153" s="22"/>
      <c r="WHA153" s="22"/>
      <c r="WHB153" s="22"/>
      <c r="WHC153" s="22"/>
      <c r="WHD153" s="22"/>
      <c r="WHE153" s="22"/>
      <c r="WHF153" s="22"/>
      <c r="WHG153" s="22"/>
      <c r="WHH153" s="22"/>
      <c r="WHI153" s="22"/>
      <c r="WHJ153" s="22"/>
      <c r="WHK153" s="22"/>
      <c r="WHL153" s="22"/>
      <c r="WHM153" s="22"/>
      <c r="WHN153" s="22"/>
      <c r="WHO153" s="22"/>
      <c r="WHP153" s="22"/>
      <c r="WHQ153" s="22"/>
      <c r="WHR153" s="22"/>
      <c r="WHS153" s="22"/>
      <c r="WHT153" s="22"/>
      <c r="WHU153" s="22"/>
      <c r="WHV153" s="22"/>
      <c r="WHW153" s="22"/>
      <c r="WHX153" s="22"/>
      <c r="WHY153" s="22"/>
      <c r="WHZ153" s="22"/>
      <c r="WIA153" s="22"/>
      <c r="WIB153" s="22"/>
      <c r="WIC153" s="22"/>
      <c r="WID153" s="22"/>
      <c r="WIE153" s="22"/>
      <c r="WIF153" s="22"/>
      <c r="WIG153" s="22"/>
      <c r="WIH153" s="22"/>
      <c r="WII153" s="22"/>
      <c r="WIJ153" s="22"/>
      <c r="WIK153" s="22"/>
      <c r="WIL153" s="22"/>
      <c r="WIM153" s="22"/>
      <c r="WIN153" s="22"/>
      <c r="WIO153" s="22"/>
      <c r="WIP153" s="22"/>
      <c r="WIQ153" s="22"/>
      <c r="WIR153" s="22"/>
      <c r="WIS153" s="22"/>
      <c r="WIT153" s="22"/>
      <c r="WIU153" s="22"/>
      <c r="WIV153" s="22"/>
      <c r="WIW153" s="22"/>
      <c r="WIX153" s="22"/>
      <c r="WIY153" s="22"/>
      <c r="WIZ153" s="22"/>
      <c r="WJA153" s="22"/>
      <c r="WJB153" s="22"/>
      <c r="WJC153" s="22"/>
      <c r="WJD153" s="22"/>
      <c r="WJE153" s="22"/>
      <c r="WJF153" s="22"/>
      <c r="WJG153" s="22"/>
      <c r="WJH153" s="22"/>
      <c r="WJI153" s="22"/>
      <c r="WJJ153" s="22"/>
      <c r="WJK153" s="22"/>
      <c r="WJL153" s="22"/>
      <c r="WJM153" s="22"/>
      <c r="WJN153" s="22"/>
      <c r="WJO153" s="22"/>
      <c r="WJP153" s="22"/>
      <c r="WJQ153" s="22"/>
      <c r="WJR153" s="22"/>
      <c r="WJS153" s="22"/>
      <c r="WJT153" s="22"/>
      <c r="WJU153" s="22"/>
      <c r="WJV153" s="22"/>
      <c r="WJW153" s="22"/>
      <c r="WJX153" s="22"/>
      <c r="WJY153" s="22"/>
      <c r="WJZ153" s="22"/>
      <c r="WKA153" s="22"/>
      <c r="WKB153" s="22"/>
      <c r="WKC153" s="22"/>
      <c r="WKD153" s="22"/>
      <c r="WKE153" s="22"/>
      <c r="WKF153" s="22"/>
      <c r="WKG153" s="22"/>
      <c r="WKH153" s="22"/>
      <c r="WKI153" s="22"/>
      <c r="WKJ153" s="22"/>
      <c r="WKK153" s="22"/>
      <c r="WKL153" s="22"/>
      <c r="WKM153" s="22"/>
      <c r="WKN153" s="22"/>
      <c r="WKO153" s="22"/>
      <c r="WKP153" s="22"/>
      <c r="WKQ153" s="22"/>
      <c r="WKR153" s="22"/>
      <c r="WKS153" s="22"/>
      <c r="WKT153" s="22"/>
      <c r="WKU153" s="22"/>
      <c r="WKV153" s="22"/>
      <c r="WKW153" s="22"/>
      <c r="WKX153" s="22"/>
      <c r="WKY153" s="22"/>
      <c r="WKZ153" s="22"/>
      <c r="WLA153" s="22"/>
      <c r="WLB153" s="22"/>
      <c r="WLC153" s="22"/>
      <c r="WLD153" s="22"/>
      <c r="WLE153" s="22"/>
      <c r="WLF153" s="22"/>
      <c r="WLG153" s="22"/>
      <c r="WLH153" s="22"/>
      <c r="WLI153" s="22"/>
      <c r="WLJ153" s="22"/>
      <c r="WLK153" s="22"/>
      <c r="WLL153" s="22"/>
      <c r="WLM153" s="22"/>
      <c r="WLN153" s="22"/>
      <c r="WLO153" s="22"/>
      <c r="WLP153" s="22"/>
      <c r="WLQ153" s="22"/>
      <c r="WLR153" s="22"/>
      <c r="WLS153" s="22"/>
      <c r="WLT153" s="22"/>
      <c r="WLU153" s="22"/>
      <c r="WLV153" s="22"/>
      <c r="WLW153" s="22"/>
      <c r="WLX153" s="22"/>
      <c r="WLY153" s="22"/>
      <c r="WLZ153" s="22"/>
      <c r="WMA153" s="22"/>
      <c r="WMB153" s="22"/>
      <c r="WMC153" s="22"/>
      <c r="WMD153" s="22"/>
      <c r="WME153" s="22"/>
      <c r="WMF153" s="22"/>
      <c r="WMG153" s="22"/>
      <c r="WMH153" s="22"/>
      <c r="WMI153" s="22"/>
      <c r="WMJ153" s="22"/>
      <c r="WMK153" s="22"/>
      <c r="WML153" s="22"/>
      <c r="WMM153" s="22"/>
      <c r="WMN153" s="22"/>
      <c r="WMO153" s="22"/>
      <c r="WMP153" s="22"/>
      <c r="WMQ153" s="22"/>
      <c r="WMR153" s="22"/>
      <c r="WMS153" s="22"/>
      <c r="WMT153" s="22"/>
      <c r="WMU153" s="22"/>
      <c r="WMV153" s="22"/>
      <c r="WMW153" s="22"/>
      <c r="WMX153" s="22"/>
      <c r="WMY153" s="22"/>
      <c r="WMZ153" s="22"/>
      <c r="WNA153" s="22"/>
      <c r="WNB153" s="22"/>
      <c r="WNC153" s="22"/>
      <c r="WND153" s="22"/>
      <c r="WNE153" s="22"/>
      <c r="WNF153" s="22"/>
      <c r="WNG153" s="22"/>
      <c r="WNH153" s="22"/>
      <c r="WNI153" s="22"/>
      <c r="WNJ153" s="22"/>
      <c r="WNK153" s="22"/>
      <c r="WNL153" s="22"/>
      <c r="WNM153" s="22"/>
      <c r="WNN153" s="22"/>
      <c r="WNO153" s="22"/>
      <c r="WNP153" s="22"/>
      <c r="WNQ153" s="22"/>
      <c r="WNR153" s="22"/>
      <c r="WNS153" s="22"/>
      <c r="WNT153" s="22"/>
      <c r="WNU153" s="22"/>
      <c r="WNV153" s="22"/>
      <c r="WNW153" s="22"/>
      <c r="WNX153" s="22"/>
      <c r="WNY153" s="22"/>
      <c r="WNZ153" s="22"/>
      <c r="WOA153" s="22"/>
      <c r="WOB153" s="22"/>
      <c r="WOC153" s="22"/>
      <c r="WOD153" s="22"/>
      <c r="WOE153" s="22"/>
      <c r="WOF153" s="22"/>
      <c r="WOG153" s="22"/>
      <c r="WOH153" s="22"/>
      <c r="WOI153" s="22"/>
      <c r="WOJ153" s="22"/>
      <c r="WOK153" s="22"/>
      <c r="WOL153" s="22"/>
      <c r="WOM153" s="22"/>
      <c r="WON153" s="22"/>
      <c r="WOO153" s="22"/>
      <c r="WOP153" s="22"/>
      <c r="WOQ153" s="22"/>
      <c r="WOR153" s="22"/>
      <c r="WOS153" s="22"/>
      <c r="WOT153" s="22"/>
      <c r="WOU153" s="22"/>
      <c r="WOV153" s="22"/>
      <c r="WOW153" s="22"/>
      <c r="WOX153" s="22"/>
      <c r="WOY153" s="22"/>
      <c r="WOZ153" s="22"/>
      <c r="WPA153" s="22"/>
      <c r="WPB153" s="22"/>
      <c r="WPC153" s="22"/>
      <c r="WPD153" s="22"/>
      <c r="WPE153" s="22"/>
      <c r="WPF153" s="22"/>
      <c r="WPG153" s="22"/>
      <c r="WPH153" s="22"/>
      <c r="WPI153" s="22"/>
      <c r="WPJ153" s="22"/>
      <c r="WPK153" s="22"/>
      <c r="WPL153" s="22"/>
      <c r="WPM153" s="22"/>
      <c r="WPN153" s="22"/>
      <c r="WPO153" s="22"/>
      <c r="WPP153" s="22"/>
      <c r="WPQ153" s="22"/>
      <c r="WPR153" s="22"/>
      <c r="WPS153" s="22"/>
      <c r="WPT153" s="22"/>
      <c r="WPU153" s="22"/>
      <c r="WPV153" s="22"/>
      <c r="WPW153" s="22"/>
      <c r="WPX153" s="22"/>
      <c r="WPY153" s="22"/>
      <c r="WPZ153" s="22"/>
      <c r="WQA153" s="22"/>
      <c r="WQB153" s="22"/>
      <c r="WQC153" s="22"/>
      <c r="WQD153" s="22"/>
      <c r="WQE153" s="22"/>
      <c r="WQF153" s="22"/>
      <c r="WQG153" s="22"/>
      <c r="WQH153" s="22"/>
      <c r="WQI153" s="22"/>
      <c r="WQJ153" s="22"/>
      <c r="WQK153" s="22"/>
      <c r="WQL153" s="22"/>
      <c r="WQM153" s="22"/>
      <c r="WQN153" s="22"/>
      <c r="WQO153" s="22"/>
      <c r="WQP153" s="22"/>
      <c r="WQQ153" s="22"/>
      <c r="WQR153" s="22"/>
      <c r="WQS153" s="22"/>
      <c r="WQT153" s="22"/>
      <c r="WQU153" s="22"/>
      <c r="WQV153" s="22"/>
      <c r="WQW153" s="22"/>
      <c r="WQX153" s="22"/>
      <c r="WQY153" s="22"/>
      <c r="WQZ153" s="22"/>
      <c r="WRA153" s="22"/>
      <c r="WRB153" s="22"/>
      <c r="WRC153" s="22"/>
      <c r="WRD153" s="22"/>
      <c r="WRE153" s="22"/>
      <c r="WRF153" s="22"/>
      <c r="WRG153" s="22"/>
      <c r="WRH153" s="22"/>
      <c r="WRI153" s="22"/>
      <c r="WRJ153" s="22"/>
      <c r="WRK153" s="22"/>
      <c r="WRL153" s="22"/>
      <c r="WRM153" s="22"/>
      <c r="WRN153" s="22"/>
      <c r="WRO153" s="22"/>
      <c r="WRP153" s="22"/>
      <c r="WRQ153" s="22"/>
      <c r="WRR153" s="22"/>
      <c r="WRS153" s="22"/>
      <c r="WRT153" s="22"/>
      <c r="WRU153" s="22"/>
      <c r="WRV153" s="22"/>
      <c r="WRW153" s="22"/>
      <c r="WRX153" s="22"/>
      <c r="WRY153" s="22"/>
      <c r="WRZ153" s="22"/>
      <c r="WSA153" s="22"/>
      <c r="WSB153" s="22"/>
      <c r="WSC153" s="22"/>
      <c r="WSD153" s="22"/>
      <c r="WSE153" s="22"/>
      <c r="WSF153" s="22"/>
      <c r="WSG153" s="22"/>
      <c r="WSH153" s="22"/>
      <c r="WSI153" s="22"/>
      <c r="WSJ153" s="22"/>
      <c r="WSK153" s="22"/>
      <c r="WSL153" s="22"/>
      <c r="WSM153" s="22"/>
      <c r="WSN153" s="22"/>
      <c r="WSO153" s="22"/>
      <c r="WSP153" s="22"/>
      <c r="WSQ153" s="22"/>
      <c r="WSR153" s="22"/>
      <c r="WSS153" s="22"/>
      <c r="WST153" s="22"/>
      <c r="WSU153" s="22"/>
      <c r="WSV153" s="22"/>
      <c r="WSW153" s="22"/>
      <c r="WSX153" s="22"/>
      <c r="WSY153" s="22"/>
      <c r="WSZ153" s="22"/>
      <c r="WTA153" s="22"/>
      <c r="WTB153" s="22"/>
      <c r="WTC153" s="22"/>
      <c r="WTD153" s="22"/>
      <c r="WTE153" s="22"/>
      <c r="WTF153" s="22"/>
      <c r="WTG153" s="22"/>
      <c r="WTH153" s="22"/>
      <c r="WTI153" s="22"/>
      <c r="WTJ153" s="22"/>
      <c r="WTK153" s="22"/>
      <c r="WTL153" s="22"/>
      <c r="WTM153" s="22"/>
      <c r="WTN153" s="22"/>
      <c r="WTO153" s="22"/>
      <c r="WTP153" s="22"/>
      <c r="WTQ153" s="22"/>
      <c r="WTR153" s="22"/>
      <c r="WTS153" s="22"/>
      <c r="WTT153" s="22"/>
      <c r="WTU153" s="22"/>
      <c r="WTV153" s="22"/>
      <c r="WTW153" s="22"/>
      <c r="WTX153" s="22"/>
      <c r="WTY153" s="22"/>
      <c r="WTZ153" s="22"/>
      <c r="WUA153" s="22"/>
      <c r="WUB153" s="22"/>
      <c r="WUC153" s="22"/>
      <c r="WUD153" s="22"/>
      <c r="WUE153" s="22"/>
      <c r="WUF153" s="22"/>
      <c r="WUG153" s="22"/>
      <c r="WUH153" s="22"/>
      <c r="WUI153" s="22"/>
      <c r="WUJ153" s="22"/>
      <c r="WUK153" s="22"/>
      <c r="WUL153" s="22"/>
      <c r="WUM153" s="22"/>
      <c r="WUN153" s="22"/>
      <c r="WUO153" s="22"/>
      <c r="WUP153" s="22"/>
      <c r="WUQ153" s="22"/>
      <c r="WUR153" s="22"/>
      <c r="WUS153" s="22"/>
      <c r="WUT153" s="22"/>
      <c r="WUU153" s="22"/>
      <c r="WUV153" s="22"/>
      <c r="WUW153" s="22"/>
      <c r="WUX153" s="22"/>
      <c r="WUY153" s="22"/>
      <c r="WUZ153" s="22"/>
      <c r="WVA153" s="22"/>
      <c r="WVB153" s="22"/>
      <c r="WVC153" s="22"/>
      <c r="WVD153" s="22"/>
      <c r="WVE153" s="22"/>
      <c r="WVF153" s="22"/>
      <c r="WVG153" s="22"/>
      <c r="WVH153" s="22"/>
      <c r="WVI153" s="22"/>
      <c r="WVJ153" s="22"/>
      <c r="WVK153" s="22"/>
      <c r="WVL153" s="22"/>
      <c r="WVM153" s="22"/>
      <c r="WVN153" s="22"/>
      <c r="WVO153" s="22"/>
      <c r="WVP153" s="22"/>
      <c r="WVQ153" s="22"/>
      <c r="WVR153" s="22"/>
      <c r="WVS153" s="22"/>
      <c r="WVT153" s="22"/>
      <c r="WVU153" s="22"/>
      <c r="WVV153" s="22"/>
      <c r="WVW153" s="22"/>
      <c r="WVX153" s="22"/>
      <c r="WVY153" s="22"/>
      <c r="WVZ153" s="22"/>
      <c r="WWA153" s="22"/>
      <c r="WWB153" s="22"/>
      <c r="WWC153" s="22"/>
      <c r="WWD153" s="22"/>
      <c r="WWE153" s="22"/>
      <c r="WWF153" s="22"/>
      <c r="WWG153" s="22"/>
      <c r="WWH153" s="22"/>
      <c r="WWI153" s="22"/>
      <c r="WWJ153" s="22"/>
      <c r="WWK153" s="22"/>
      <c r="WWL153" s="22"/>
      <c r="WWM153" s="22"/>
      <c r="WWN153" s="22"/>
      <c r="WWO153" s="22"/>
      <c r="WWP153" s="22"/>
      <c r="WWQ153" s="22"/>
      <c r="WWR153" s="22"/>
      <c r="WWS153" s="22"/>
      <c r="WWT153" s="22"/>
      <c r="WWU153" s="22"/>
      <c r="WWV153" s="22"/>
      <c r="WWW153" s="22"/>
      <c r="WWX153" s="22"/>
      <c r="WWY153" s="22"/>
      <c r="WWZ153" s="22"/>
      <c r="WXA153" s="22"/>
      <c r="WXB153" s="22"/>
      <c r="WXC153" s="22"/>
      <c r="WXD153" s="22"/>
      <c r="WXE153" s="22"/>
      <c r="WXF153" s="22"/>
      <c r="WXG153" s="22"/>
      <c r="WXH153" s="22"/>
      <c r="WXI153" s="22"/>
      <c r="WXJ153" s="22"/>
      <c r="WXK153" s="22"/>
      <c r="WXL153" s="22"/>
      <c r="WXM153" s="22"/>
      <c r="WXN153" s="22"/>
      <c r="WXO153" s="22"/>
      <c r="WXP153" s="22"/>
      <c r="WXQ153" s="22"/>
      <c r="WXR153" s="22"/>
      <c r="WXS153" s="22"/>
      <c r="WXT153" s="22"/>
      <c r="WXU153" s="22"/>
      <c r="WXV153" s="22"/>
      <c r="WXW153" s="22"/>
      <c r="WXX153" s="22"/>
      <c r="WXY153" s="22"/>
      <c r="WXZ153" s="22"/>
      <c r="WYA153" s="22"/>
      <c r="WYB153" s="22"/>
      <c r="WYC153" s="22"/>
      <c r="WYD153" s="22"/>
      <c r="WYE153" s="22"/>
      <c r="WYF153" s="22"/>
      <c r="WYG153" s="22"/>
      <c r="WYH153" s="22"/>
      <c r="WYI153" s="22"/>
      <c r="WYJ153" s="22"/>
      <c r="WYK153" s="22"/>
      <c r="WYL153" s="22"/>
      <c r="WYM153" s="22"/>
      <c r="WYN153" s="22"/>
      <c r="WYO153" s="22"/>
      <c r="WYP153" s="22"/>
      <c r="WYQ153" s="22"/>
      <c r="WYR153" s="22"/>
      <c r="WYS153" s="22"/>
      <c r="WYT153" s="22"/>
      <c r="WYU153" s="22"/>
      <c r="WYV153" s="22"/>
      <c r="WYW153" s="22"/>
      <c r="WYX153" s="22"/>
      <c r="WYY153" s="22"/>
      <c r="WYZ153" s="22"/>
      <c r="WZA153" s="22"/>
      <c r="WZB153" s="22"/>
      <c r="WZC153" s="22"/>
      <c r="WZD153" s="22"/>
      <c r="WZE153" s="22"/>
      <c r="WZF153" s="22"/>
      <c r="WZG153" s="22"/>
      <c r="WZH153" s="22"/>
      <c r="WZI153" s="22"/>
      <c r="WZJ153" s="22"/>
      <c r="WZK153" s="22"/>
      <c r="WZL153" s="22"/>
      <c r="WZM153" s="22"/>
      <c r="WZN153" s="22"/>
      <c r="WZO153" s="22"/>
      <c r="WZP153" s="22"/>
      <c r="WZQ153" s="22"/>
      <c r="WZR153" s="22"/>
      <c r="WZS153" s="22"/>
      <c r="WZT153" s="22"/>
      <c r="WZU153" s="22"/>
      <c r="WZV153" s="22"/>
      <c r="WZW153" s="22"/>
      <c r="WZX153" s="22"/>
      <c r="WZY153" s="22"/>
      <c r="WZZ153" s="22"/>
      <c r="XAA153" s="22"/>
      <c r="XAB153" s="22"/>
      <c r="XAC153" s="22"/>
      <c r="XAD153" s="22"/>
      <c r="XAE153" s="22"/>
      <c r="XAF153" s="22"/>
      <c r="XAG153" s="22"/>
      <c r="XAH153" s="22"/>
      <c r="XAI153" s="22"/>
      <c r="XAJ153" s="22"/>
      <c r="XAK153" s="22"/>
      <c r="XAL153" s="22"/>
      <c r="XAM153" s="22"/>
      <c r="XAN153" s="22"/>
      <c r="XAO153" s="22"/>
      <c r="XAP153" s="22"/>
      <c r="XAQ153" s="22"/>
      <c r="XAR153" s="22"/>
      <c r="XAS153" s="22"/>
      <c r="XAT153" s="22"/>
      <c r="XAU153" s="22"/>
      <c r="XAV153" s="22"/>
      <c r="XAW153" s="22"/>
      <c r="XAX153" s="22"/>
      <c r="XAY153" s="22"/>
      <c r="XAZ153" s="22"/>
      <c r="XBA153" s="22"/>
      <c r="XBB153" s="22"/>
      <c r="XBC153" s="22"/>
      <c r="XBD153" s="22"/>
      <c r="XBE153" s="22"/>
      <c r="XBF153" s="22"/>
      <c r="XBG153" s="22"/>
      <c r="XBH153" s="22"/>
      <c r="XBI153" s="22"/>
      <c r="XBJ153" s="22"/>
      <c r="XBK153" s="22"/>
      <c r="XBL153" s="22"/>
      <c r="XBM153" s="22"/>
      <c r="XBN153" s="22"/>
      <c r="XBO153" s="22"/>
      <c r="XBP153" s="22"/>
      <c r="XBQ153" s="22"/>
      <c r="XBR153" s="22"/>
      <c r="XBS153" s="22"/>
      <c r="XBT153" s="22"/>
      <c r="XBU153" s="22"/>
      <c r="XBV153" s="22"/>
      <c r="XBW153" s="22"/>
      <c r="XBX153" s="22"/>
      <c r="XBY153" s="22"/>
      <c r="XBZ153" s="22"/>
      <c r="XCA153" s="22"/>
      <c r="XCB153" s="22"/>
      <c r="XCC153" s="22"/>
      <c r="XCD153" s="22"/>
      <c r="XCE153" s="22"/>
      <c r="XCF153" s="22"/>
      <c r="XCG153" s="22"/>
      <c r="XCH153" s="22"/>
      <c r="XCI153" s="22"/>
      <c r="XCJ153" s="22"/>
      <c r="XCK153" s="22"/>
      <c r="XCL153" s="22"/>
      <c r="XCM153" s="22"/>
      <c r="XCN153" s="22"/>
      <c r="XCO153" s="22"/>
      <c r="XCP153" s="22"/>
      <c r="XCQ153" s="22"/>
      <c r="XCR153" s="22"/>
      <c r="XCS153" s="22"/>
      <c r="XCT153" s="22"/>
      <c r="XCU153" s="22"/>
      <c r="XCV153" s="22"/>
      <c r="XCW153" s="22"/>
      <c r="XCX153" s="22"/>
      <c r="XCY153" s="22"/>
      <c r="XCZ153" s="22"/>
      <c r="XDA153" s="22"/>
      <c r="XDB153" s="22"/>
      <c r="XDC153" s="22"/>
      <c r="XDD153" s="22"/>
      <c r="XDE153" s="22"/>
      <c r="XDF153" s="22"/>
      <c r="XDG153" s="22"/>
      <c r="XDH153" s="22"/>
      <c r="XDI153" s="22"/>
      <c r="XDJ153" s="22"/>
      <c r="XDK153" s="22"/>
      <c r="XDL153" s="22"/>
      <c r="XDM153" s="22"/>
      <c r="XDN153" s="22"/>
      <c r="XDO153" s="22"/>
      <c r="XDP153" s="22"/>
      <c r="XDQ153" s="22"/>
      <c r="XDR153" s="22"/>
      <c r="XDS153" s="22"/>
      <c r="XDT153" s="22"/>
      <c r="XDU153" s="22"/>
      <c r="XDV153" s="22"/>
      <c r="XDW153" s="22"/>
      <c r="XDX153" s="22"/>
      <c r="XDY153" s="22"/>
      <c r="XDZ153" s="22"/>
      <c r="XEA153" s="22"/>
      <c r="XEB153" s="22"/>
      <c r="XEC153" s="22"/>
      <c r="XED153" s="22"/>
      <c r="XEE153" s="22"/>
      <c r="XEF153" s="22"/>
      <c r="XEG153" s="22"/>
      <c r="XEH153" s="22"/>
      <c r="XEI153" s="22"/>
      <c r="XEJ153" s="22"/>
      <c r="XEK153" s="22"/>
      <c r="XEL153" s="22"/>
      <c r="XEM153" s="22"/>
      <c r="XEN153" s="22"/>
      <c r="XEO153" s="22"/>
      <c r="XEP153" s="22"/>
      <c r="XEQ153" s="22"/>
      <c r="XER153" s="22"/>
      <c r="XES153" s="22"/>
      <c r="XET153" s="22"/>
      <c r="XEU153" s="22"/>
      <c r="XEV153" s="22"/>
      <c r="XEW153" s="22"/>
      <c r="XEX153" s="22"/>
      <c r="XEY153" s="22"/>
      <c r="XEZ153" s="22"/>
      <c r="XFA153" s="22"/>
      <c r="XFB153" s="22"/>
      <c r="XFC153" s="22"/>
      <c r="XFD153" s="22"/>
    </row>
    <row r="154" spans="1:16384" hidden="1" outlineLevel="1" x14ac:dyDescent="0.25">
      <c r="A154" s="23"/>
      <c r="B154" s="24"/>
      <c r="C154" s="25" t="str">
        <f t="shared" si="191"/>
        <v xml:space="preserve"> </v>
      </c>
      <c r="D154" s="25" t="str">
        <f t="shared" si="192"/>
        <v xml:space="preserve"> </v>
      </c>
      <c r="E154" s="26"/>
      <c r="F154" s="26"/>
      <c r="G154" s="41">
        <f t="shared" si="193"/>
        <v>0</v>
      </c>
      <c r="H154" s="27">
        <f t="shared" si="194"/>
        <v>0</v>
      </c>
      <c r="I154" s="26"/>
      <c r="J154" s="28">
        <f t="shared" si="195"/>
        <v>0</v>
      </c>
    </row>
    <row r="155" spans="1:16384" s="22" customFormat="1" collapsed="1" x14ac:dyDescent="0.25">
      <c r="A155" s="31" t="s">
        <v>23</v>
      </c>
      <c r="B155" s="30"/>
      <c r="C155" s="31"/>
      <c r="D155" s="31"/>
      <c r="E155" s="32">
        <f t="shared" ref="E155:J155" si="216">SUBTOTAL(9,E143:E154)</f>
        <v>0</v>
      </c>
      <c r="F155" s="32">
        <f t="shared" si="216"/>
        <v>0</v>
      </c>
      <c r="G155" s="32">
        <f t="shared" si="216"/>
        <v>0</v>
      </c>
      <c r="H155" s="33">
        <f t="shared" si="216"/>
        <v>0</v>
      </c>
      <c r="I155" s="32">
        <f t="shared" si="216"/>
        <v>0</v>
      </c>
      <c r="J155" s="49">
        <f t="shared" si="216"/>
        <v>0</v>
      </c>
    </row>
    <row r="156" spans="1:16384" s="22" customFormat="1" hidden="1" outlineLevel="1" x14ac:dyDescent="0.25">
      <c r="A156" s="36"/>
      <c r="B156" s="37"/>
      <c r="C156" s="38" t="str">
        <f t="shared" ref="C156:C169" si="217">VLOOKUP(LEFT(B156,2)&amp;0,invCustomer,2)</f>
        <v xml:space="preserve"> </v>
      </c>
      <c r="D156" s="38" t="str">
        <f t="shared" ref="D156:D169" si="218">VLOOKUP(LEFT(B156,4)&amp;0,invProject,2)</f>
        <v xml:space="preserve"> </v>
      </c>
      <c r="E156" s="17"/>
      <c r="F156" s="17"/>
      <c r="G156" s="19">
        <f t="shared" ref="G156:G169" si="219">ROUND(SUM(E156:F156)*0.1,2)</f>
        <v>0</v>
      </c>
      <c r="H156" s="39">
        <f t="shared" ref="H156:H169" si="220">SUM(E156:G156)</f>
        <v>0</v>
      </c>
      <c r="I156" s="17"/>
      <c r="J156" s="40">
        <f t="shared" ref="J156:J169" si="221">SUM(H156:I156)</f>
        <v>0</v>
      </c>
    </row>
    <row r="157" spans="1:16384" s="35" customFormat="1" hidden="1" outlineLevel="1" x14ac:dyDescent="0.25">
      <c r="A157" s="14"/>
      <c r="B157" s="15"/>
      <c r="C157" s="16" t="str">
        <f t="shared" si="217"/>
        <v xml:space="preserve"> </v>
      </c>
      <c r="D157" s="16" t="str">
        <f t="shared" si="218"/>
        <v xml:space="preserve"> </v>
      </c>
      <c r="E157" s="18"/>
      <c r="F157" s="18"/>
      <c r="G157" s="18">
        <f t="shared" si="219"/>
        <v>0</v>
      </c>
      <c r="H157" s="20">
        <f t="shared" si="220"/>
        <v>0</v>
      </c>
      <c r="I157" s="18"/>
      <c r="J157" s="21">
        <f t="shared" si="221"/>
        <v>0</v>
      </c>
    </row>
    <row r="158" spans="1:16384" s="22" customFormat="1" hidden="1" outlineLevel="1" x14ac:dyDescent="0.25">
      <c r="A158" s="14"/>
      <c r="B158" s="15"/>
      <c r="C158" s="16" t="str">
        <f t="shared" si="217"/>
        <v xml:space="preserve"> </v>
      </c>
      <c r="D158" s="16" t="str">
        <f t="shared" si="218"/>
        <v xml:space="preserve"> </v>
      </c>
      <c r="E158" s="18"/>
      <c r="F158" s="18"/>
      <c r="G158" s="18">
        <f t="shared" si="219"/>
        <v>0</v>
      </c>
      <c r="H158" s="20">
        <f t="shared" si="220"/>
        <v>0</v>
      </c>
      <c r="I158" s="18"/>
      <c r="J158" s="21">
        <f t="shared" si="221"/>
        <v>0</v>
      </c>
    </row>
    <row r="159" spans="1:16384" s="22" customFormat="1" hidden="1" outlineLevel="1" x14ac:dyDescent="0.25">
      <c r="A159" s="14"/>
      <c r="B159" s="15"/>
      <c r="C159" s="16" t="str">
        <f t="shared" ref="C159:C167" si="222">VLOOKUP(LEFT(B159,2)&amp;0,invCustomer,2)</f>
        <v xml:space="preserve"> </v>
      </c>
      <c r="D159" s="16" t="str">
        <f t="shared" ref="D159:D167" si="223">VLOOKUP(LEFT(B159,4)&amp;0,invProject,2)</f>
        <v xml:space="preserve"> </v>
      </c>
      <c r="E159" s="18"/>
      <c r="F159" s="18"/>
      <c r="G159" s="18">
        <f t="shared" ref="G159:G167" si="224">ROUND(SUM(E159:F159)*0.1,2)</f>
        <v>0</v>
      </c>
      <c r="H159" s="20">
        <f t="shared" ref="H159:H167" si="225">SUM(E159:G159)</f>
        <v>0</v>
      </c>
      <c r="I159" s="18"/>
      <c r="J159" s="21">
        <f t="shared" ref="J159:J167" si="226">SUM(H159:I159)</f>
        <v>0</v>
      </c>
    </row>
    <row r="160" spans="1:16384" s="22" customFormat="1" hidden="1" outlineLevel="1" x14ac:dyDescent="0.25">
      <c r="A160" s="14"/>
      <c r="B160" s="15"/>
      <c r="C160" s="16" t="str">
        <f t="shared" ref="C160:C161" si="227">VLOOKUP(LEFT(B160,2)&amp;0,invCustomer,2)</f>
        <v xml:space="preserve"> </v>
      </c>
      <c r="D160" s="16" t="str">
        <f t="shared" ref="D160:D161" si="228">VLOOKUP(LEFT(B160,4)&amp;0,invProject,2)</f>
        <v xml:space="preserve"> </v>
      </c>
      <c r="E160" s="18"/>
      <c r="F160" s="18"/>
      <c r="G160" s="18">
        <f t="shared" ref="G160:G161" si="229">ROUND(SUM(E160:F160)*0.1,2)</f>
        <v>0</v>
      </c>
      <c r="H160" s="20">
        <f t="shared" ref="H160:H161" si="230">SUM(E160:G160)</f>
        <v>0</v>
      </c>
      <c r="I160" s="18"/>
      <c r="J160" s="21">
        <f t="shared" ref="J160:J161" si="231">SUM(H160:I160)</f>
        <v>0</v>
      </c>
    </row>
    <row r="161" spans="1:10" s="22" customFormat="1" hidden="1" outlineLevel="1" x14ac:dyDescent="0.25">
      <c r="A161" s="14"/>
      <c r="B161" s="15"/>
      <c r="C161" s="16" t="str">
        <f t="shared" si="227"/>
        <v xml:space="preserve"> </v>
      </c>
      <c r="D161" s="16" t="str">
        <f t="shared" si="228"/>
        <v xml:space="preserve"> </v>
      </c>
      <c r="E161" s="18"/>
      <c r="F161" s="18"/>
      <c r="G161" s="18">
        <f t="shared" si="229"/>
        <v>0</v>
      </c>
      <c r="H161" s="20">
        <f t="shared" si="230"/>
        <v>0</v>
      </c>
      <c r="I161" s="18"/>
      <c r="J161" s="21">
        <f t="shared" si="231"/>
        <v>0</v>
      </c>
    </row>
    <row r="162" spans="1:10" s="22" customFormat="1" hidden="1" outlineLevel="1" x14ac:dyDescent="0.25">
      <c r="A162" s="14"/>
      <c r="B162" s="15"/>
      <c r="C162" s="16" t="str">
        <f t="shared" si="222"/>
        <v xml:space="preserve"> </v>
      </c>
      <c r="D162" s="16" t="str">
        <f t="shared" si="223"/>
        <v xml:space="preserve"> </v>
      </c>
      <c r="E162" s="18"/>
      <c r="F162" s="18"/>
      <c r="G162" s="18">
        <f t="shared" si="224"/>
        <v>0</v>
      </c>
      <c r="H162" s="20">
        <f t="shared" si="225"/>
        <v>0</v>
      </c>
      <c r="I162" s="18"/>
      <c r="J162" s="21">
        <f t="shared" si="226"/>
        <v>0</v>
      </c>
    </row>
    <row r="163" spans="1:10" s="22" customFormat="1" hidden="1" outlineLevel="1" x14ac:dyDescent="0.25">
      <c r="A163" s="14"/>
      <c r="B163" s="15"/>
      <c r="C163" s="16" t="str">
        <f t="shared" si="222"/>
        <v xml:space="preserve"> </v>
      </c>
      <c r="D163" s="16" t="str">
        <f t="shared" si="223"/>
        <v xml:space="preserve"> </v>
      </c>
      <c r="E163" s="310"/>
      <c r="F163" s="18"/>
      <c r="G163" s="18">
        <f t="shared" si="224"/>
        <v>0</v>
      </c>
      <c r="H163" s="20">
        <f t="shared" si="225"/>
        <v>0</v>
      </c>
      <c r="I163" s="18"/>
      <c r="J163" s="21">
        <f t="shared" si="226"/>
        <v>0</v>
      </c>
    </row>
    <row r="164" spans="1:10" s="22" customFormat="1" hidden="1" outlineLevel="1" x14ac:dyDescent="0.25">
      <c r="A164" s="14"/>
      <c r="B164" s="15"/>
      <c r="C164" s="16" t="str">
        <f t="shared" ref="C164:C165" si="232">VLOOKUP(LEFT(B164,2)&amp;0,invCustomer,2)</f>
        <v xml:space="preserve"> </v>
      </c>
      <c r="D164" s="16" t="str">
        <f t="shared" ref="D164:D165" si="233">VLOOKUP(LEFT(B164,4)&amp;0,invProject,2)</f>
        <v xml:space="preserve"> </v>
      </c>
      <c r="E164" s="18"/>
      <c r="F164" s="18"/>
      <c r="G164" s="18">
        <f t="shared" ref="G164:G165" si="234">ROUND(SUM(E164:F164)*0.1,2)</f>
        <v>0</v>
      </c>
      <c r="H164" s="20">
        <f t="shared" ref="H164:H165" si="235">SUM(E164:G164)</f>
        <v>0</v>
      </c>
      <c r="I164" s="18"/>
      <c r="J164" s="21">
        <f t="shared" ref="J164:J165" si="236">SUM(H164:I164)</f>
        <v>0</v>
      </c>
    </row>
    <row r="165" spans="1:10" s="22" customFormat="1" hidden="1" outlineLevel="1" x14ac:dyDescent="0.25">
      <c r="A165" s="14"/>
      <c r="B165" s="15"/>
      <c r="C165" s="16" t="str">
        <f t="shared" si="232"/>
        <v xml:space="preserve"> </v>
      </c>
      <c r="D165" s="16" t="str">
        <f t="shared" si="233"/>
        <v xml:space="preserve"> </v>
      </c>
      <c r="E165" s="18"/>
      <c r="F165" s="18"/>
      <c r="G165" s="18">
        <f t="shared" si="234"/>
        <v>0</v>
      </c>
      <c r="H165" s="20">
        <f t="shared" si="235"/>
        <v>0</v>
      </c>
      <c r="I165" s="18"/>
      <c r="J165" s="21">
        <f t="shared" si="236"/>
        <v>0</v>
      </c>
    </row>
    <row r="166" spans="1:10" s="22" customFormat="1" hidden="1" outlineLevel="1" x14ac:dyDescent="0.25">
      <c r="A166" s="14"/>
      <c r="B166" s="15"/>
      <c r="C166" s="16" t="str">
        <f t="shared" si="222"/>
        <v xml:space="preserve"> </v>
      </c>
      <c r="D166" s="16" t="str">
        <f t="shared" si="223"/>
        <v xml:space="preserve"> </v>
      </c>
      <c r="E166" s="18"/>
      <c r="F166" s="18"/>
      <c r="G166" s="18">
        <f t="shared" si="224"/>
        <v>0</v>
      </c>
      <c r="H166" s="20">
        <f t="shared" si="225"/>
        <v>0</v>
      </c>
      <c r="I166" s="18"/>
      <c r="J166" s="21">
        <f t="shared" si="226"/>
        <v>0</v>
      </c>
    </row>
    <row r="167" spans="1:10" s="22" customFormat="1" hidden="1" outlineLevel="1" x14ac:dyDescent="0.25">
      <c r="A167" s="14"/>
      <c r="B167" s="15"/>
      <c r="C167" s="16" t="str">
        <f t="shared" si="222"/>
        <v xml:space="preserve"> </v>
      </c>
      <c r="D167" s="16" t="str">
        <f t="shared" si="223"/>
        <v xml:space="preserve"> </v>
      </c>
      <c r="E167" s="18"/>
      <c r="F167" s="18"/>
      <c r="G167" s="18">
        <f t="shared" si="224"/>
        <v>0</v>
      </c>
      <c r="H167" s="20">
        <f t="shared" si="225"/>
        <v>0</v>
      </c>
      <c r="I167" s="18"/>
      <c r="J167" s="21">
        <f t="shared" si="226"/>
        <v>0</v>
      </c>
    </row>
    <row r="168" spans="1:10" s="22" customFormat="1" hidden="1" outlineLevel="1" x14ac:dyDescent="0.25">
      <c r="A168" s="14"/>
      <c r="B168" s="15"/>
      <c r="C168" s="16" t="str">
        <f t="shared" ref="C168" si="237">VLOOKUP(LEFT(B168,2)&amp;0,invCustomer,2)</f>
        <v xml:space="preserve"> </v>
      </c>
      <c r="D168" s="16" t="str">
        <f t="shared" ref="D168" si="238">VLOOKUP(LEFT(B168,4)&amp;0,invProject,2)</f>
        <v xml:space="preserve"> </v>
      </c>
      <c r="E168" s="18"/>
      <c r="F168" s="18"/>
      <c r="G168" s="18">
        <f t="shared" ref="G168" si="239">ROUND(SUM(E168:F168)*0.1,2)</f>
        <v>0</v>
      </c>
      <c r="H168" s="20">
        <f t="shared" ref="H168" si="240">SUM(E168:G168)</f>
        <v>0</v>
      </c>
      <c r="I168" s="18"/>
      <c r="J168" s="21">
        <f t="shared" ref="J168" si="241">SUM(H168:I168)</f>
        <v>0</v>
      </c>
    </row>
    <row r="169" spans="1:10" hidden="1" outlineLevel="1" x14ac:dyDescent="0.25">
      <c r="A169" s="23"/>
      <c r="B169" s="24"/>
      <c r="C169" s="25" t="str">
        <f t="shared" si="217"/>
        <v xml:space="preserve"> </v>
      </c>
      <c r="D169" s="25" t="str">
        <f t="shared" si="218"/>
        <v xml:space="preserve"> </v>
      </c>
      <c r="E169" s="26"/>
      <c r="F169" s="26"/>
      <c r="G169" s="26">
        <f t="shared" si="219"/>
        <v>0</v>
      </c>
      <c r="H169" s="27">
        <f t="shared" si="220"/>
        <v>0</v>
      </c>
      <c r="I169" s="26"/>
      <c r="J169" s="28">
        <f t="shared" si="221"/>
        <v>0</v>
      </c>
    </row>
    <row r="170" spans="1:10" s="22" customFormat="1" collapsed="1" x14ac:dyDescent="0.25">
      <c r="A170" s="31" t="s">
        <v>24</v>
      </c>
      <c r="B170" s="30"/>
      <c r="C170" s="31"/>
      <c r="D170" s="31"/>
      <c r="E170" s="32">
        <f t="shared" ref="E170:J170" si="242">SUBTOTAL(9,E156:E169)</f>
        <v>0</v>
      </c>
      <c r="F170" s="32">
        <f t="shared" si="242"/>
        <v>0</v>
      </c>
      <c r="G170" s="32">
        <f t="shared" si="242"/>
        <v>0</v>
      </c>
      <c r="H170" s="33">
        <f t="shared" si="242"/>
        <v>0</v>
      </c>
      <c r="I170" s="32">
        <f t="shared" si="242"/>
        <v>0</v>
      </c>
      <c r="J170" s="34">
        <f t="shared" si="242"/>
        <v>0</v>
      </c>
    </row>
    <row r="171" spans="1:10" hidden="1" outlineLevel="1" x14ac:dyDescent="0.25">
      <c r="A171" s="36"/>
      <c r="B171" s="37"/>
      <c r="C171" s="38" t="str">
        <f t="shared" ref="C171:C183" si="243">VLOOKUP(LEFT(B171,2)&amp;0,invCustomer,2)</f>
        <v xml:space="preserve"> </v>
      </c>
      <c r="D171" s="38" t="str">
        <f t="shared" ref="D171:D183" si="244">VLOOKUP(LEFT(B171,4)&amp;0,invProject,2)</f>
        <v xml:space="preserve"> </v>
      </c>
      <c r="E171" s="17"/>
      <c r="F171" s="17"/>
      <c r="G171" s="19">
        <f t="shared" ref="G171:G183" si="245">ROUND(SUM(E171:F171)*0.1,2)</f>
        <v>0</v>
      </c>
      <c r="H171" s="39">
        <f t="shared" ref="H171:H183" si="246">SUM(E171:G171)</f>
        <v>0</v>
      </c>
      <c r="I171" s="17"/>
      <c r="J171" s="40">
        <f t="shared" ref="J171:J183" si="247">SUM(H171:I171)</f>
        <v>0</v>
      </c>
    </row>
    <row r="172" spans="1:10" s="22" customFormat="1" hidden="1" outlineLevel="1" x14ac:dyDescent="0.25">
      <c r="A172" s="14"/>
      <c r="B172" s="15"/>
      <c r="C172" s="16" t="str">
        <f>VLOOKUP(LEFT(B172,2)&amp;0,invCustomer,2)</f>
        <v xml:space="preserve"> </v>
      </c>
      <c r="D172" s="16" t="str">
        <f>VLOOKUP(LEFT(B172,4)&amp;0,invProject,2)</f>
        <v xml:space="preserve"> </v>
      </c>
      <c r="E172" s="18"/>
      <c r="F172" s="18"/>
      <c r="G172" s="47">
        <f>ROUND(SUM(E172:F172)*0.1,2)</f>
        <v>0</v>
      </c>
      <c r="H172" s="20">
        <f>SUM(E172:G172)</f>
        <v>0</v>
      </c>
      <c r="I172" s="18"/>
      <c r="J172" s="21">
        <f>SUM(H172:I172)</f>
        <v>0</v>
      </c>
    </row>
    <row r="173" spans="1:10" ht="12.75" hidden="1" customHeight="1" outlineLevel="1" x14ac:dyDescent="0.25">
      <c r="A173" s="14"/>
      <c r="B173" s="15"/>
      <c r="C173" s="16" t="str">
        <f t="shared" si="243"/>
        <v xml:space="preserve"> </v>
      </c>
      <c r="D173" s="16" t="str">
        <f t="shared" si="244"/>
        <v xml:space="preserve"> </v>
      </c>
      <c r="E173" s="18"/>
      <c r="F173" s="18"/>
      <c r="G173" s="47">
        <f t="shared" si="245"/>
        <v>0</v>
      </c>
      <c r="H173" s="20">
        <f t="shared" si="246"/>
        <v>0</v>
      </c>
      <c r="I173" s="18"/>
      <c r="J173" s="21">
        <f t="shared" si="247"/>
        <v>0</v>
      </c>
    </row>
    <row r="174" spans="1:10" s="22" customFormat="1" hidden="1" outlineLevel="1" x14ac:dyDescent="0.25">
      <c r="A174" s="14"/>
      <c r="B174" s="15"/>
      <c r="C174" s="16" t="str">
        <f t="shared" si="243"/>
        <v xml:space="preserve"> </v>
      </c>
      <c r="D174" s="16" t="str">
        <f t="shared" si="244"/>
        <v xml:space="preserve"> </v>
      </c>
      <c r="E174" s="18"/>
      <c r="F174" s="18"/>
      <c r="G174" s="47">
        <f t="shared" si="245"/>
        <v>0</v>
      </c>
      <c r="H174" s="20">
        <f t="shared" si="246"/>
        <v>0</v>
      </c>
      <c r="I174" s="18"/>
      <c r="J174" s="21">
        <f t="shared" si="247"/>
        <v>0</v>
      </c>
    </row>
    <row r="175" spans="1:10" s="22" customFormat="1" hidden="1" outlineLevel="1" x14ac:dyDescent="0.25">
      <c r="A175" s="14"/>
      <c r="B175" s="15"/>
      <c r="C175" s="16" t="str">
        <f t="shared" si="243"/>
        <v xml:space="preserve"> </v>
      </c>
      <c r="D175" s="16" t="str">
        <f t="shared" si="244"/>
        <v xml:space="preserve"> </v>
      </c>
      <c r="E175" s="18"/>
      <c r="F175" s="18"/>
      <c r="G175" s="47">
        <f t="shared" si="245"/>
        <v>0</v>
      </c>
      <c r="H175" s="20">
        <f t="shared" si="246"/>
        <v>0</v>
      </c>
      <c r="I175" s="18"/>
      <c r="J175" s="21">
        <f t="shared" si="247"/>
        <v>0</v>
      </c>
    </row>
    <row r="176" spans="1:10" s="22" customFormat="1" hidden="1" outlineLevel="1" x14ac:dyDescent="0.25">
      <c r="A176" s="14"/>
      <c r="B176" s="15"/>
      <c r="C176" s="16" t="str">
        <f t="shared" si="243"/>
        <v xml:space="preserve"> </v>
      </c>
      <c r="D176" s="16" t="str">
        <f t="shared" si="244"/>
        <v xml:space="preserve"> </v>
      </c>
      <c r="E176" s="18"/>
      <c r="F176" s="18"/>
      <c r="G176" s="47">
        <f t="shared" si="245"/>
        <v>0</v>
      </c>
      <c r="H176" s="20">
        <f t="shared" si="246"/>
        <v>0</v>
      </c>
      <c r="I176" s="18"/>
      <c r="J176" s="21">
        <f t="shared" si="247"/>
        <v>0</v>
      </c>
    </row>
    <row r="177" spans="1:10" s="22" customFormat="1" hidden="1" outlineLevel="1" x14ac:dyDescent="0.25">
      <c r="A177" s="14"/>
      <c r="B177" s="15"/>
      <c r="C177" s="16" t="str">
        <f t="shared" si="243"/>
        <v xml:space="preserve"> </v>
      </c>
      <c r="D177" s="16" t="str">
        <f t="shared" si="244"/>
        <v xml:space="preserve"> </v>
      </c>
      <c r="E177" s="18"/>
      <c r="F177" s="18"/>
      <c r="G177" s="47">
        <f t="shared" si="245"/>
        <v>0</v>
      </c>
      <c r="H177" s="20">
        <f t="shared" si="246"/>
        <v>0</v>
      </c>
      <c r="I177" s="18"/>
      <c r="J177" s="21">
        <f t="shared" si="247"/>
        <v>0</v>
      </c>
    </row>
    <row r="178" spans="1:10" s="22" customFormat="1" hidden="1" outlineLevel="1" x14ac:dyDescent="0.25">
      <c r="A178" s="14"/>
      <c r="B178" s="15"/>
      <c r="C178" s="16" t="str">
        <f t="shared" si="243"/>
        <v xml:space="preserve"> </v>
      </c>
      <c r="D178" s="16" t="str">
        <f t="shared" si="244"/>
        <v xml:space="preserve"> </v>
      </c>
      <c r="E178" s="18"/>
      <c r="F178" s="18"/>
      <c r="G178" s="47">
        <f t="shared" si="245"/>
        <v>0</v>
      </c>
      <c r="H178" s="20">
        <f t="shared" si="246"/>
        <v>0</v>
      </c>
      <c r="I178" s="18"/>
      <c r="J178" s="21">
        <f t="shared" si="247"/>
        <v>0</v>
      </c>
    </row>
    <row r="179" spans="1:10" s="22" customFormat="1" hidden="1" outlineLevel="1" x14ac:dyDescent="0.25">
      <c r="A179" s="14"/>
      <c r="B179" s="15"/>
      <c r="C179" s="16" t="str">
        <f t="shared" ref="C179:C180" si="248">VLOOKUP(LEFT(B179,2)&amp;0,invCustomer,2)</f>
        <v xml:space="preserve"> </v>
      </c>
      <c r="D179" s="16" t="str">
        <f t="shared" ref="D179:D180" si="249">VLOOKUP(LEFT(B179,4)&amp;0,invProject,2)</f>
        <v xml:space="preserve"> </v>
      </c>
      <c r="E179" s="18"/>
      <c r="F179" s="18"/>
      <c r="G179" s="47">
        <f t="shared" ref="G179:G180" si="250">ROUND(SUM(E179:F179)*0.1,2)</f>
        <v>0</v>
      </c>
      <c r="H179" s="20">
        <f t="shared" ref="H179:H180" si="251">SUM(E179:G179)</f>
        <v>0</v>
      </c>
      <c r="I179" s="18"/>
      <c r="J179" s="21">
        <f t="shared" ref="J179:J180" si="252">SUM(H179:I179)</f>
        <v>0</v>
      </c>
    </row>
    <row r="180" spans="1:10" s="22" customFormat="1" hidden="1" outlineLevel="1" x14ac:dyDescent="0.25">
      <c r="A180" s="14"/>
      <c r="B180" s="15"/>
      <c r="C180" s="16" t="str">
        <f t="shared" si="248"/>
        <v xml:space="preserve"> </v>
      </c>
      <c r="D180" s="16" t="str">
        <f t="shared" si="249"/>
        <v xml:space="preserve"> </v>
      </c>
      <c r="E180" s="18"/>
      <c r="F180" s="18"/>
      <c r="G180" s="47">
        <f t="shared" si="250"/>
        <v>0</v>
      </c>
      <c r="H180" s="20">
        <f t="shared" si="251"/>
        <v>0</v>
      </c>
      <c r="I180" s="18"/>
      <c r="J180" s="21">
        <f t="shared" si="252"/>
        <v>0</v>
      </c>
    </row>
    <row r="181" spans="1:10" s="22" customFormat="1" hidden="1" outlineLevel="1" x14ac:dyDescent="0.25">
      <c r="A181" s="14"/>
      <c r="B181" s="15"/>
      <c r="C181" s="16" t="str">
        <f t="shared" si="243"/>
        <v xml:space="preserve"> </v>
      </c>
      <c r="D181" s="16" t="str">
        <f t="shared" si="244"/>
        <v xml:space="preserve"> </v>
      </c>
      <c r="E181" s="18"/>
      <c r="F181" s="18"/>
      <c r="G181" s="47">
        <f t="shared" si="245"/>
        <v>0</v>
      </c>
      <c r="H181" s="20">
        <f t="shared" si="246"/>
        <v>0</v>
      </c>
      <c r="I181" s="18"/>
      <c r="J181" s="21">
        <f t="shared" si="247"/>
        <v>0</v>
      </c>
    </row>
    <row r="182" spans="1:10" s="22" customFormat="1" hidden="1" outlineLevel="1" x14ac:dyDescent="0.25">
      <c r="A182" s="14"/>
      <c r="B182" s="15"/>
      <c r="C182" s="16" t="str">
        <f t="shared" si="243"/>
        <v xml:space="preserve"> </v>
      </c>
      <c r="D182" s="16" t="str">
        <f t="shared" si="244"/>
        <v xml:space="preserve"> </v>
      </c>
      <c r="E182" s="18"/>
      <c r="F182" s="18"/>
      <c r="G182" s="47">
        <f t="shared" si="245"/>
        <v>0</v>
      </c>
      <c r="H182" s="20">
        <f t="shared" si="246"/>
        <v>0</v>
      </c>
      <c r="I182" s="18"/>
      <c r="J182" s="21">
        <f t="shared" si="247"/>
        <v>0</v>
      </c>
    </row>
    <row r="183" spans="1:10" hidden="1" outlineLevel="1" x14ac:dyDescent="0.25">
      <c r="A183" s="23"/>
      <c r="B183" s="24"/>
      <c r="C183" s="25" t="str">
        <f t="shared" si="243"/>
        <v xml:space="preserve"> </v>
      </c>
      <c r="D183" s="25" t="str">
        <f t="shared" si="244"/>
        <v xml:space="preserve"> </v>
      </c>
      <c r="E183" s="26"/>
      <c r="F183" s="26"/>
      <c r="G183" s="26">
        <f t="shared" si="245"/>
        <v>0</v>
      </c>
      <c r="H183" s="27">
        <f t="shared" si="246"/>
        <v>0</v>
      </c>
      <c r="I183" s="26"/>
      <c r="J183" s="28">
        <f t="shared" si="247"/>
        <v>0</v>
      </c>
    </row>
    <row r="184" spans="1:10" s="22" customFormat="1" ht="12.75" customHeight="1" collapsed="1" x14ac:dyDescent="0.25">
      <c r="A184" s="31" t="s">
        <v>25</v>
      </c>
      <c r="B184" s="30"/>
      <c r="C184" s="31"/>
      <c r="D184" s="31"/>
      <c r="E184" s="32">
        <f t="shared" ref="E184:J184" si="253">SUBTOTAL(9,E171:E183)</f>
        <v>0</v>
      </c>
      <c r="F184" s="32">
        <f t="shared" si="253"/>
        <v>0</v>
      </c>
      <c r="G184" s="32">
        <f t="shared" si="253"/>
        <v>0</v>
      </c>
      <c r="H184" s="42">
        <f t="shared" si="253"/>
        <v>0</v>
      </c>
      <c r="I184" s="32">
        <f t="shared" si="253"/>
        <v>0</v>
      </c>
      <c r="J184" s="34">
        <f t="shared" si="253"/>
        <v>0</v>
      </c>
    </row>
    <row r="185" spans="1:10" ht="12.75" customHeight="1" x14ac:dyDescent="0.25">
      <c r="A185" s="43"/>
      <c r="B185" s="44" t="s">
        <v>26</v>
      </c>
      <c r="C185" s="43"/>
      <c r="D185" s="43"/>
      <c r="E185" s="44">
        <f t="shared" ref="E185:J185" si="254">SUBTOTAL(9,E143:E184)</f>
        <v>0</v>
      </c>
      <c r="F185" s="44">
        <f t="shared" si="254"/>
        <v>0</v>
      </c>
      <c r="G185" s="53">
        <f t="shared" si="254"/>
        <v>0</v>
      </c>
      <c r="H185" s="44">
        <f t="shared" si="254"/>
        <v>0</v>
      </c>
      <c r="I185" s="44">
        <f t="shared" si="254"/>
        <v>0</v>
      </c>
      <c r="J185" s="46">
        <f t="shared" si="254"/>
        <v>0</v>
      </c>
    </row>
    <row r="186" spans="1:10" s="35" customFormat="1" x14ac:dyDescent="0.25">
      <c r="A186" s="31"/>
      <c r="B186" s="30"/>
      <c r="C186" s="31"/>
      <c r="D186" s="31"/>
      <c r="E186" s="32"/>
      <c r="F186" s="32"/>
      <c r="G186" s="32"/>
      <c r="H186" s="33"/>
      <c r="I186" s="32"/>
      <c r="J186" s="34"/>
    </row>
    <row r="187" spans="1:10" s="35" customFormat="1" x14ac:dyDescent="0.25">
      <c r="A187" s="55"/>
      <c r="B187" s="56"/>
      <c r="C187" s="55"/>
      <c r="D187" s="55"/>
      <c r="E187" s="57"/>
      <c r="F187" s="57"/>
      <c r="G187" s="57"/>
      <c r="H187" s="42"/>
      <c r="I187" s="57"/>
      <c r="J187" s="52"/>
    </row>
    <row r="188" spans="1:10" ht="13.8" thickBot="1" x14ac:dyDescent="0.3">
      <c r="A188" s="58" t="s">
        <v>27</v>
      </c>
      <c r="B188" s="59"/>
      <c r="C188" s="58"/>
      <c r="D188" s="58"/>
      <c r="E188" s="60">
        <f t="shared" ref="E188:J188" si="255">SUBTOTAL(9,E3:E185)</f>
        <v>353538.64999999991</v>
      </c>
      <c r="F188" s="60">
        <f t="shared" si="255"/>
        <v>0</v>
      </c>
      <c r="G188" s="60">
        <f t="shared" si="255"/>
        <v>35353.930000000008</v>
      </c>
      <c r="H188" s="60">
        <f t="shared" si="255"/>
        <v>388892.57999999984</v>
      </c>
      <c r="I188" s="60">
        <f t="shared" si="255"/>
        <v>0</v>
      </c>
      <c r="J188" s="60">
        <f t="shared" si="255"/>
        <v>388892.57999999984</v>
      </c>
    </row>
  </sheetData>
  <autoFilter ref="C1:C188"/>
  <conditionalFormatting sqref="B185 K187:L187 E185:J185 B142 E142:J142 K147:L147 B100 B54 E54:L54 K101:L101 E100:J100">
    <cfRule type="cellIs" dxfId="106" priority="6" operator="greaterThanOrEqual">
      <formula>0</formula>
    </cfRule>
    <cfRule type="cellIs" dxfId="105" priority="7" operator="lessThan">
      <formula>0</formula>
    </cfRule>
  </conditionalFormatting>
  <conditionalFormatting sqref="E120">
    <cfRule type="expression" dxfId="104" priority="8">
      <formula>ISBLANK($G120)</formula>
    </cfRule>
  </conditionalFormatting>
  <conditionalFormatting sqref="E116">
    <cfRule type="expression" dxfId="103" priority="4">
      <formula>ISBLANK($G116)</formula>
    </cfRule>
  </conditionalFormatting>
  <conditionalFormatting sqref="K144:L144">
    <cfRule type="cellIs" dxfId="102" priority="2" operator="greaterThanOrEqual">
      <formula>0</formula>
    </cfRule>
    <cfRule type="cellIs" dxfId="101" priority="3" operator="lessThan">
      <formula>0</formula>
    </cfRule>
  </conditionalFormatting>
  <conditionalFormatting sqref="E163">
    <cfRule type="expression" dxfId="100" priority="1">
      <formula>ISBLANK($G163)</formula>
    </cfRule>
  </conditionalFormatting>
  <pageMargins left="0.75" right="0.75" top="1" bottom="1" header="0.51180555555555496" footer="0.51180555555555496"/>
  <pageSetup paperSize="9" orientation="landscape" useFirstPageNumber="1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S326"/>
  <sheetViews>
    <sheetView showZeros="0" tabSelected="1" zoomScale="75" zoomScaleNormal="75" workbookViewId="0">
      <pane ySplit="2" topLeftCell="A3" activePane="bottomLeft" state="frozen"/>
      <selection activeCell="D3" sqref="D3"/>
      <selection pane="bottomLeft" activeCell="A103" sqref="A103"/>
    </sheetView>
  </sheetViews>
  <sheetFormatPr defaultRowHeight="13.2" outlineLevelRow="1" x14ac:dyDescent="0.25"/>
  <cols>
    <col min="1" max="1" width="13.44140625" style="61"/>
    <col min="2" max="2" width="15.44140625" style="62"/>
    <col min="3" max="3" width="14.5546875" style="62"/>
    <col min="4" max="4" width="4.5546875"/>
    <col min="5" max="5" width="28.44140625"/>
    <col min="6" max="6" width="25.5546875"/>
    <col min="7" max="18" width="12.44140625" style="62"/>
    <col min="19" max="21" width="12.5546875" style="62"/>
    <col min="22" max="24" width="12.5546875" style="62" customWidth="1"/>
    <col min="25" max="25" width="12.5546875" style="62"/>
    <col min="26" max="26" width="12.5546875" style="62" customWidth="1"/>
    <col min="27" max="27" width="13.44140625" style="62"/>
    <col min="28" max="29" width="12.44140625" style="62"/>
    <col min="30" max="30" width="9.44140625" style="62"/>
    <col min="31" max="32" width="12.44140625" style="62"/>
    <col min="33" max="33" width="12.44140625" style="62" customWidth="1"/>
    <col min="34" max="34" width="12.5546875" style="62" customWidth="1"/>
    <col min="35" max="35" width="12.44140625" style="62" customWidth="1"/>
    <col min="36" max="36" width="9.44140625" style="62"/>
    <col min="37" max="37" width="12.44140625" style="62" customWidth="1"/>
    <col min="38" max="40" width="12.44140625" style="62"/>
    <col min="41" max="41" width="12.5546875" style="62"/>
    <col min="42" max="42" width="12.44140625" style="62"/>
    <col min="43" max="43" width="13" style="62"/>
    <col min="44" max="45" width="12.44140625" style="62"/>
    <col min="46" max="1024" width="11"/>
  </cols>
  <sheetData>
    <row r="1" spans="1:45" ht="19.5" customHeight="1" x14ac:dyDescent="0.35">
      <c r="A1" s="63"/>
      <c r="B1" s="63"/>
      <c r="C1" s="63"/>
      <c r="D1" s="64" t="s">
        <v>28</v>
      </c>
      <c r="E1" s="65"/>
      <c r="F1" s="65"/>
      <c r="G1" s="66" t="s">
        <v>29</v>
      </c>
      <c r="H1" s="66" t="s">
        <v>29</v>
      </c>
      <c r="I1" s="66" t="s">
        <v>29</v>
      </c>
      <c r="J1" s="63"/>
      <c r="K1" s="63"/>
      <c r="L1" s="66"/>
      <c r="M1" s="63"/>
      <c r="N1" s="66"/>
      <c r="O1" s="63"/>
      <c r="P1" s="66"/>
      <c r="Q1" s="66" t="s">
        <v>30</v>
      </c>
      <c r="R1" s="66" t="s">
        <v>681</v>
      </c>
      <c r="S1" s="66" t="s">
        <v>31</v>
      </c>
      <c r="T1" s="66" t="s">
        <v>31</v>
      </c>
      <c r="U1" s="66" t="s">
        <v>31</v>
      </c>
      <c r="V1" s="66" t="s">
        <v>31</v>
      </c>
      <c r="W1" s="66" t="s">
        <v>31</v>
      </c>
      <c r="X1" s="66" t="s">
        <v>31</v>
      </c>
      <c r="Y1" s="66" t="s">
        <v>31</v>
      </c>
      <c r="Z1" s="66" t="s">
        <v>31</v>
      </c>
      <c r="AA1" s="66" t="s">
        <v>31</v>
      </c>
      <c r="AB1" s="66" t="s">
        <v>31</v>
      </c>
      <c r="AC1" s="66" t="s">
        <v>32</v>
      </c>
      <c r="AD1" s="66" t="s">
        <v>33</v>
      </c>
      <c r="AE1" s="66" t="s">
        <v>33</v>
      </c>
      <c r="AF1" s="66" t="s">
        <v>33</v>
      </c>
      <c r="AG1" s="66" t="s">
        <v>33</v>
      </c>
      <c r="AH1" s="66" t="s">
        <v>33</v>
      </c>
      <c r="AI1" s="66" t="s">
        <v>33</v>
      </c>
      <c r="AJ1" s="66" t="s">
        <v>33</v>
      </c>
      <c r="AK1" s="66" t="s">
        <v>33</v>
      </c>
      <c r="AL1" s="66" t="s">
        <v>33</v>
      </c>
      <c r="AM1" s="66" t="s">
        <v>34</v>
      </c>
      <c r="AN1" s="66" t="s">
        <v>35</v>
      </c>
      <c r="AO1" s="66" t="s">
        <v>35</v>
      </c>
      <c r="AP1" s="66" t="s">
        <v>35</v>
      </c>
      <c r="AQ1" s="66" t="s">
        <v>35</v>
      </c>
      <c r="AR1" s="66" t="s">
        <v>36</v>
      </c>
      <c r="AS1" s="66" t="s">
        <v>37</v>
      </c>
    </row>
    <row r="2" spans="1:45" ht="13.8" thickBot="1" x14ac:dyDescent="0.3">
      <c r="A2" s="67" t="s">
        <v>38</v>
      </c>
      <c r="B2" s="67" t="s">
        <v>10</v>
      </c>
      <c r="C2" s="67" t="s">
        <v>39</v>
      </c>
      <c r="D2" s="68" t="s">
        <v>40</v>
      </c>
      <c r="E2" s="69" t="s">
        <v>41</v>
      </c>
      <c r="F2" s="69" t="s">
        <v>42</v>
      </c>
      <c r="G2" s="67" t="s">
        <v>43</v>
      </c>
      <c r="H2" s="67" t="s">
        <v>44</v>
      </c>
      <c r="I2" s="67" t="s">
        <v>45</v>
      </c>
      <c r="J2" s="67" t="s">
        <v>746</v>
      </c>
      <c r="K2" s="67" t="s">
        <v>47</v>
      </c>
      <c r="L2" s="67" t="s">
        <v>48</v>
      </c>
      <c r="M2" s="67" t="s">
        <v>49</v>
      </c>
      <c r="N2" s="67" t="s">
        <v>50</v>
      </c>
      <c r="O2" s="67" t="s">
        <v>51</v>
      </c>
      <c r="P2" s="67" t="s">
        <v>52</v>
      </c>
      <c r="Q2" s="67" t="s">
        <v>53</v>
      </c>
      <c r="R2" s="67" t="s">
        <v>55</v>
      </c>
      <c r="S2" s="66" t="s">
        <v>55</v>
      </c>
      <c r="T2" s="67" t="s">
        <v>57</v>
      </c>
      <c r="U2" s="67" t="s">
        <v>58</v>
      </c>
      <c r="V2" s="67" t="s">
        <v>622</v>
      </c>
      <c r="W2" s="67" t="s">
        <v>657</v>
      </c>
      <c r="X2" s="67" t="s">
        <v>658</v>
      </c>
      <c r="Y2" s="67" t="s">
        <v>676</v>
      </c>
      <c r="Z2" s="67" t="s">
        <v>678</v>
      </c>
      <c r="AA2" s="67" t="s">
        <v>60</v>
      </c>
      <c r="AB2" s="67" t="s">
        <v>61</v>
      </c>
      <c r="AC2" s="66" t="s">
        <v>62</v>
      </c>
      <c r="AD2" s="66" t="s">
        <v>661</v>
      </c>
      <c r="AE2" s="66" t="s">
        <v>55</v>
      </c>
      <c r="AF2" s="66" t="s">
        <v>57</v>
      </c>
      <c r="AG2" s="66" t="s">
        <v>58</v>
      </c>
      <c r="AH2" s="66" t="s">
        <v>622</v>
      </c>
      <c r="AI2" s="66" t="s">
        <v>657</v>
      </c>
      <c r="AJ2" s="66" t="s">
        <v>658</v>
      </c>
      <c r="AK2" s="66" t="s">
        <v>676</v>
      </c>
      <c r="AL2" s="66" t="s">
        <v>678</v>
      </c>
      <c r="AM2" s="67" t="s">
        <v>1</v>
      </c>
      <c r="AN2" s="67" t="s">
        <v>1</v>
      </c>
      <c r="AO2" s="67" t="s">
        <v>63</v>
      </c>
      <c r="AP2" s="67" t="s">
        <v>64</v>
      </c>
      <c r="AQ2" s="67" t="s">
        <v>65</v>
      </c>
      <c r="AR2" s="67"/>
      <c r="AS2" s="67"/>
    </row>
    <row r="3" spans="1:45" s="35" customFormat="1" ht="13.8" thickBot="1" x14ac:dyDescent="0.3">
      <c r="A3" s="70">
        <v>-3218.49</v>
      </c>
      <c r="B3" s="70"/>
      <c r="C3" s="70"/>
      <c r="D3" s="71" t="s">
        <v>66</v>
      </c>
      <c r="E3" s="71"/>
      <c r="F3" s="71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</row>
    <row r="4" spans="1:45" x14ac:dyDescent="0.25">
      <c r="A4" s="72"/>
      <c r="B4" s="72"/>
      <c r="C4" s="72"/>
      <c r="D4" s="73"/>
      <c r="E4" s="73"/>
      <c r="F4" s="73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</row>
    <row r="5" spans="1:45" hidden="1" outlineLevel="1" x14ac:dyDescent="0.25">
      <c r="A5" s="74"/>
      <c r="B5" s="74"/>
      <c r="C5" s="74">
        <f t="shared" ref="C5:C33" si="0">SUM(G5:AT5)</f>
        <v>34.29</v>
      </c>
      <c r="D5" s="75">
        <v>1</v>
      </c>
      <c r="E5" s="75" t="s">
        <v>67</v>
      </c>
      <c r="F5" s="75" t="s">
        <v>710</v>
      </c>
      <c r="G5" s="74"/>
      <c r="H5" s="74"/>
      <c r="I5" s="74"/>
      <c r="J5" s="74"/>
      <c r="K5" s="74"/>
      <c r="L5" s="74"/>
      <c r="M5" s="74"/>
      <c r="N5" s="74"/>
      <c r="O5" s="74">
        <v>34.29</v>
      </c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</row>
    <row r="6" spans="1:45" hidden="1" outlineLevel="1" x14ac:dyDescent="0.25">
      <c r="A6" s="76"/>
      <c r="B6" s="76"/>
      <c r="C6" s="76">
        <f t="shared" si="0"/>
        <v>5</v>
      </c>
      <c r="D6" s="77">
        <v>1</v>
      </c>
      <c r="E6" s="77" t="s">
        <v>67</v>
      </c>
      <c r="F6" s="77" t="s">
        <v>709</v>
      </c>
      <c r="G6" s="76"/>
      <c r="H6" s="76"/>
      <c r="I6" s="76"/>
      <c r="J6" s="76"/>
      <c r="K6" s="76"/>
      <c r="L6" s="76"/>
      <c r="M6" s="76"/>
      <c r="N6" s="76"/>
      <c r="O6" s="76">
        <v>5</v>
      </c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</row>
    <row r="7" spans="1:45" hidden="1" outlineLevel="1" x14ac:dyDescent="0.25">
      <c r="A7" s="76"/>
      <c r="B7" s="76"/>
      <c r="C7" s="76">
        <f t="shared" si="0"/>
        <v>5.15</v>
      </c>
      <c r="D7" s="77">
        <v>1</v>
      </c>
      <c r="E7" s="77" t="s">
        <v>67</v>
      </c>
      <c r="F7" s="77" t="s">
        <v>708</v>
      </c>
      <c r="G7" s="76"/>
      <c r="H7" s="76"/>
      <c r="I7" s="76"/>
      <c r="J7" s="76"/>
      <c r="K7" s="76"/>
      <c r="L7" s="76"/>
      <c r="M7" s="76"/>
      <c r="N7" s="76"/>
      <c r="O7" s="76">
        <v>5.15</v>
      </c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</row>
    <row r="8" spans="1:45" hidden="1" outlineLevel="1" x14ac:dyDescent="0.25">
      <c r="A8" s="76"/>
      <c r="B8" s="76"/>
      <c r="C8" s="76">
        <f t="shared" si="0"/>
        <v>-150</v>
      </c>
      <c r="D8" s="77">
        <v>1</v>
      </c>
      <c r="E8" s="77" t="s">
        <v>68</v>
      </c>
      <c r="F8" s="77" t="s">
        <v>712</v>
      </c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>
        <v>-150</v>
      </c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</row>
    <row r="9" spans="1:45" hidden="1" outlineLevel="1" x14ac:dyDescent="0.25">
      <c r="A9" s="76"/>
      <c r="B9" s="76"/>
      <c r="C9" s="76">
        <f t="shared" si="0"/>
        <v>1127.99</v>
      </c>
      <c r="D9" s="77">
        <v>1</v>
      </c>
      <c r="E9" s="77" t="s">
        <v>713</v>
      </c>
      <c r="F9" s="77" t="s">
        <v>714</v>
      </c>
      <c r="G9" s="76"/>
      <c r="H9" s="76">
        <v>102.54</v>
      </c>
      <c r="I9" s="76"/>
      <c r="J9" s="76"/>
      <c r="K9" s="76"/>
      <c r="L9" s="76"/>
      <c r="M9" s="76"/>
      <c r="N9" s="76"/>
      <c r="O9" s="76"/>
      <c r="P9" s="76">
        <v>1025.45</v>
      </c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</row>
    <row r="10" spans="1:45" hidden="1" outlineLevel="1" x14ac:dyDescent="0.25">
      <c r="A10" s="76"/>
      <c r="B10" s="76"/>
      <c r="C10" s="76">
        <f t="shared" si="0"/>
        <v>1634</v>
      </c>
      <c r="D10" s="77">
        <v>3</v>
      </c>
      <c r="E10" s="77" t="s">
        <v>715</v>
      </c>
      <c r="F10" s="77" t="s">
        <v>716</v>
      </c>
      <c r="G10" s="76"/>
      <c r="H10" s="76"/>
      <c r="I10" s="76"/>
      <c r="J10" s="76"/>
      <c r="K10" s="76"/>
      <c r="L10" s="76"/>
      <c r="M10" s="76">
        <v>1100</v>
      </c>
      <c r="N10" s="76"/>
      <c r="O10" s="76"/>
      <c r="P10" s="76"/>
      <c r="Q10" s="76"/>
      <c r="R10" s="76"/>
      <c r="S10" s="76">
        <v>534</v>
      </c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</row>
    <row r="11" spans="1:45" hidden="1" outlineLevel="1" x14ac:dyDescent="0.25">
      <c r="A11" s="76"/>
      <c r="B11" s="76"/>
      <c r="C11" s="76">
        <f t="shared" si="0"/>
        <v>40</v>
      </c>
      <c r="D11" s="77">
        <v>4</v>
      </c>
      <c r="E11" s="77" t="s">
        <v>68</v>
      </c>
      <c r="F11" s="77" t="s">
        <v>717</v>
      </c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>
        <v>40</v>
      </c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</row>
    <row r="12" spans="1:45" hidden="1" outlineLevel="1" x14ac:dyDescent="0.25">
      <c r="A12" s="76"/>
      <c r="B12" s="76"/>
      <c r="C12" s="76">
        <f t="shared" si="0"/>
        <v>-300</v>
      </c>
      <c r="D12" s="77">
        <v>4</v>
      </c>
      <c r="E12" s="77" t="s">
        <v>718</v>
      </c>
      <c r="F12" s="77" t="s">
        <v>719</v>
      </c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>
        <v>-300</v>
      </c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</row>
    <row r="13" spans="1:45" hidden="1" outlineLevel="1" x14ac:dyDescent="0.25">
      <c r="A13" s="76"/>
      <c r="B13" s="76"/>
      <c r="C13" s="76">
        <f t="shared" si="0"/>
        <v>681.35</v>
      </c>
      <c r="D13" s="77">
        <v>4</v>
      </c>
      <c r="E13" s="77" t="s">
        <v>720</v>
      </c>
      <c r="F13" s="77" t="s">
        <v>721</v>
      </c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>
        <v>681.35</v>
      </c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</row>
    <row r="14" spans="1:45" hidden="1" outlineLevel="1" x14ac:dyDescent="0.25">
      <c r="A14" s="76"/>
      <c r="B14" s="76"/>
      <c r="C14" s="76">
        <f t="shared" si="0"/>
        <v>300</v>
      </c>
      <c r="D14" s="77">
        <v>5</v>
      </c>
      <c r="E14" s="77" t="s">
        <v>722</v>
      </c>
      <c r="F14" s="77" t="s">
        <v>719</v>
      </c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>
        <v>300</v>
      </c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</row>
    <row r="15" spans="1:45" hidden="1" outlineLevel="1" x14ac:dyDescent="0.25">
      <c r="A15" s="76"/>
      <c r="B15" s="76"/>
      <c r="C15" s="76">
        <f t="shared" si="0"/>
        <v>2348.06</v>
      </c>
      <c r="D15" s="77">
        <v>12</v>
      </c>
      <c r="E15" s="77" t="s">
        <v>738</v>
      </c>
      <c r="F15" s="77" t="s">
        <v>739</v>
      </c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>
        <v>2348.06</v>
      </c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</row>
    <row r="16" spans="1:45" hidden="1" outlineLevel="1" x14ac:dyDescent="0.25">
      <c r="A16" s="76"/>
      <c r="B16" s="76"/>
      <c r="C16" s="76">
        <f t="shared" si="0"/>
        <v>2348.06</v>
      </c>
      <c r="D16" s="77">
        <v>12</v>
      </c>
      <c r="E16" s="77" t="s">
        <v>740</v>
      </c>
      <c r="F16" s="77" t="s">
        <v>739</v>
      </c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>
        <v>2348.06</v>
      </c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</row>
    <row r="17" spans="1:45" hidden="1" outlineLevel="1" x14ac:dyDescent="0.25">
      <c r="A17" s="76"/>
      <c r="B17" s="76"/>
      <c r="C17" s="76">
        <f t="shared" si="0"/>
        <v>500</v>
      </c>
      <c r="D17" s="77">
        <v>12</v>
      </c>
      <c r="E17" s="77" t="s">
        <v>68</v>
      </c>
      <c r="F17" s="77" t="s">
        <v>717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>
        <v>500</v>
      </c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</row>
    <row r="18" spans="1:45" hidden="1" outlineLevel="1" x14ac:dyDescent="0.25">
      <c r="A18" s="76"/>
      <c r="B18" s="76"/>
      <c r="C18" s="76">
        <f t="shared" si="0"/>
        <v>1991.38</v>
      </c>
      <c r="D18" s="77">
        <v>13</v>
      </c>
      <c r="E18" s="77" t="s">
        <v>751</v>
      </c>
      <c r="F18" s="77" t="s">
        <v>742</v>
      </c>
      <c r="G18" s="76"/>
      <c r="H18" s="76">
        <v>2.27</v>
      </c>
      <c r="I18" s="76"/>
      <c r="J18" s="76"/>
      <c r="K18" s="76"/>
      <c r="L18" s="76"/>
      <c r="M18" s="76"/>
      <c r="N18" s="76"/>
      <c r="O18" s="76"/>
      <c r="P18" s="76"/>
      <c r="Q18" s="76">
        <v>22.72</v>
      </c>
      <c r="R18" s="76"/>
      <c r="S18" s="76">
        <v>1966.39</v>
      </c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</row>
    <row r="19" spans="1:45" hidden="1" outlineLevel="1" x14ac:dyDescent="0.25">
      <c r="A19" s="76"/>
      <c r="B19" s="76"/>
      <c r="C19" s="76">
        <f t="shared" si="0"/>
        <v>2560</v>
      </c>
      <c r="D19" s="77">
        <v>13</v>
      </c>
      <c r="E19" s="77" t="s">
        <v>754</v>
      </c>
      <c r="F19" s="77" t="s">
        <v>755</v>
      </c>
      <c r="G19" s="76"/>
      <c r="H19" s="76">
        <v>217.5</v>
      </c>
      <c r="I19" s="76"/>
      <c r="J19" s="76"/>
      <c r="K19" s="76"/>
      <c r="L19" s="76"/>
      <c r="M19" s="76">
        <v>150.02000000000001</v>
      </c>
      <c r="N19" s="76"/>
      <c r="O19" s="76">
        <v>167.48</v>
      </c>
      <c r="P19" s="76">
        <v>2025</v>
      </c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</row>
    <row r="20" spans="1:45" hidden="1" outlineLevel="1" x14ac:dyDescent="0.25">
      <c r="A20" s="76"/>
      <c r="B20" s="76"/>
      <c r="C20" s="76">
        <f t="shared" si="0"/>
        <v>7179.2</v>
      </c>
      <c r="D20" s="77">
        <v>13</v>
      </c>
      <c r="E20" s="77" t="s">
        <v>756</v>
      </c>
      <c r="F20" s="77" t="s">
        <v>739</v>
      </c>
      <c r="G20" s="76"/>
      <c r="H20" s="76">
        <v>16.260000000000019</v>
      </c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>
        <v>7000.2999999999993</v>
      </c>
      <c r="W20" s="76"/>
      <c r="X20" s="76"/>
      <c r="Y20" s="76"/>
      <c r="Z20" s="76"/>
      <c r="AA20" s="76"/>
      <c r="AB20" s="76">
        <v>162.63999999999999</v>
      </c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</row>
    <row r="21" spans="1:45" hidden="1" outlineLevel="1" x14ac:dyDescent="0.25">
      <c r="A21" s="76"/>
      <c r="B21" s="76"/>
      <c r="C21" s="76">
        <f t="shared" si="0"/>
        <v>7141.1900000000005</v>
      </c>
      <c r="D21" s="77">
        <v>13</v>
      </c>
      <c r="E21" s="77" t="s">
        <v>757</v>
      </c>
      <c r="F21" s="77" t="s">
        <v>739</v>
      </c>
      <c r="G21" s="76"/>
      <c r="H21" s="76">
        <v>21.53</v>
      </c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>
        <v>6904.39</v>
      </c>
      <c r="X21" s="76"/>
      <c r="Y21" s="76"/>
      <c r="Z21" s="76"/>
      <c r="AA21" s="76"/>
      <c r="AB21" s="76">
        <v>215.27</v>
      </c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</row>
    <row r="22" spans="1:45" hidden="1" outlineLevel="1" x14ac:dyDescent="0.25">
      <c r="A22" s="76"/>
      <c r="B22" s="76"/>
      <c r="C22" s="76">
        <f t="shared" si="0"/>
        <v>4626.0199999999995</v>
      </c>
      <c r="D22" s="77">
        <v>13</v>
      </c>
      <c r="E22" s="77" t="s">
        <v>758</v>
      </c>
      <c r="F22" s="77" t="s">
        <v>739</v>
      </c>
      <c r="G22" s="76"/>
      <c r="H22" s="76">
        <v>5.18</v>
      </c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>
        <v>4569.0199999999995</v>
      </c>
      <c r="Y22" s="76"/>
      <c r="Z22" s="76"/>
      <c r="AA22" s="76"/>
      <c r="AB22" s="76">
        <v>51.82</v>
      </c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</row>
    <row r="23" spans="1:45" hidden="1" outlineLevel="1" x14ac:dyDescent="0.25">
      <c r="A23" s="76"/>
      <c r="B23" s="76"/>
      <c r="C23" s="76">
        <f t="shared" si="0"/>
        <v>8176.4599999999991</v>
      </c>
      <c r="D23" s="77">
        <v>13</v>
      </c>
      <c r="E23" s="77" t="s">
        <v>759</v>
      </c>
      <c r="F23" s="77" t="s">
        <v>739</v>
      </c>
      <c r="G23" s="76"/>
      <c r="H23" s="76">
        <v>272.17999999999984</v>
      </c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>
        <v>5182.46</v>
      </c>
      <c r="U23" s="76"/>
      <c r="V23" s="76"/>
      <c r="W23" s="76"/>
      <c r="X23" s="76"/>
      <c r="Y23" s="76"/>
      <c r="Z23" s="76"/>
      <c r="AA23" s="76"/>
      <c r="AB23" s="76">
        <v>2721.82</v>
      </c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</row>
    <row r="24" spans="1:45" hidden="1" outlineLevel="1" x14ac:dyDescent="0.25">
      <c r="A24" s="76"/>
      <c r="B24" s="76"/>
      <c r="C24" s="76">
        <f t="shared" si="0"/>
        <v>7237.1</v>
      </c>
      <c r="D24" s="77">
        <v>13</v>
      </c>
      <c r="E24" s="77" t="s">
        <v>760</v>
      </c>
      <c r="F24" s="77" t="s">
        <v>739</v>
      </c>
      <c r="G24" s="76"/>
      <c r="H24" s="76">
        <v>95.360000000000014</v>
      </c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>
        <v>6188.1</v>
      </c>
      <c r="V24" s="76"/>
      <c r="W24" s="76"/>
      <c r="X24" s="76"/>
      <c r="Y24" s="76"/>
      <c r="Z24" s="76"/>
      <c r="AA24" s="76"/>
      <c r="AB24" s="76">
        <v>953.64</v>
      </c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</row>
    <row r="25" spans="1:45" hidden="1" outlineLevel="1" x14ac:dyDescent="0.25">
      <c r="A25" s="76"/>
      <c r="B25" s="76"/>
      <c r="C25" s="76">
        <f t="shared" si="0"/>
        <v>3045.3100000000004</v>
      </c>
      <c r="D25" s="77">
        <v>16</v>
      </c>
      <c r="E25" s="77" t="s">
        <v>741</v>
      </c>
      <c r="F25" s="77" t="s">
        <v>742</v>
      </c>
      <c r="G25" s="76"/>
      <c r="H25" s="76">
        <v>15.91</v>
      </c>
      <c r="I25" s="76"/>
      <c r="J25" s="76">
        <v>4.55</v>
      </c>
      <c r="K25" s="76"/>
      <c r="L25" s="76"/>
      <c r="M25" s="76"/>
      <c r="N25" s="76"/>
      <c r="O25" s="76"/>
      <c r="P25" s="76"/>
      <c r="Q25" s="76"/>
      <c r="R25" s="76"/>
      <c r="S25" s="76">
        <v>2870.34</v>
      </c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>
        <v>154.51</v>
      </c>
    </row>
    <row r="26" spans="1:45" hidden="1" outlineLevel="1" x14ac:dyDescent="0.25">
      <c r="A26" s="76"/>
      <c r="B26" s="76"/>
      <c r="C26" s="76">
        <f t="shared" ref="C26:C28" si="1">SUM(G26:AT26)</f>
        <v>1634</v>
      </c>
      <c r="D26" s="77">
        <v>17</v>
      </c>
      <c r="E26" s="77" t="s">
        <v>715</v>
      </c>
      <c r="F26" s="77" t="s">
        <v>716</v>
      </c>
      <c r="G26" s="76"/>
      <c r="H26" s="76"/>
      <c r="I26" s="76"/>
      <c r="J26" s="76"/>
      <c r="K26" s="76"/>
      <c r="L26" s="76"/>
      <c r="M26" s="76">
        <v>1100</v>
      </c>
      <c r="N26" s="76"/>
      <c r="O26" s="76"/>
      <c r="P26" s="76"/>
      <c r="Q26" s="76"/>
      <c r="R26" s="76"/>
      <c r="S26" s="76">
        <v>534</v>
      </c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</row>
    <row r="27" spans="1:45" hidden="1" outlineLevel="1" x14ac:dyDescent="0.25">
      <c r="A27" s="76"/>
      <c r="B27" s="76"/>
      <c r="C27" s="76">
        <f t="shared" si="1"/>
        <v>341.35</v>
      </c>
      <c r="D27" s="77">
        <v>18</v>
      </c>
      <c r="E27" s="77" t="s">
        <v>720</v>
      </c>
      <c r="F27" s="77" t="s">
        <v>721</v>
      </c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>
        <v>341.35</v>
      </c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</row>
    <row r="28" spans="1:45" hidden="1" outlineLevel="1" x14ac:dyDescent="0.25">
      <c r="A28" s="76"/>
      <c r="B28" s="76"/>
      <c r="C28" s="76">
        <f t="shared" si="1"/>
        <v>59.99</v>
      </c>
      <c r="D28" s="77">
        <v>22</v>
      </c>
      <c r="E28" s="77" t="s">
        <v>773</v>
      </c>
      <c r="F28" s="77" t="s">
        <v>774</v>
      </c>
      <c r="G28" s="76"/>
      <c r="H28" s="76">
        <v>5.45</v>
      </c>
      <c r="I28" s="76"/>
      <c r="J28" s="76"/>
      <c r="K28" s="76"/>
      <c r="L28" s="76"/>
      <c r="M28" s="76"/>
      <c r="N28" s="76"/>
      <c r="O28" s="76"/>
      <c r="P28" s="76"/>
      <c r="Q28" s="76">
        <v>54.54</v>
      </c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</row>
    <row r="29" spans="1:45" hidden="1" outlineLevel="1" x14ac:dyDescent="0.25">
      <c r="A29" s="76"/>
      <c r="B29" s="76"/>
      <c r="C29" s="76">
        <f t="shared" ref="C29:C32" si="2">SUM(G29:AT29)</f>
        <v>3544.59</v>
      </c>
      <c r="D29" s="77">
        <v>26</v>
      </c>
      <c r="E29" s="77" t="s">
        <v>738</v>
      </c>
      <c r="F29" s="77" t="s">
        <v>739</v>
      </c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>
        <v>3544.59</v>
      </c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</row>
    <row r="30" spans="1:45" hidden="1" outlineLevel="1" x14ac:dyDescent="0.25">
      <c r="A30" s="76"/>
      <c r="B30" s="76"/>
      <c r="C30" s="76">
        <f t="shared" si="2"/>
        <v>3544.59</v>
      </c>
      <c r="D30" s="77">
        <v>26</v>
      </c>
      <c r="E30" s="77" t="s">
        <v>740</v>
      </c>
      <c r="F30" s="77" t="s">
        <v>739</v>
      </c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>
        <v>3544.59</v>
      </c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</row>
    <row r="31" spans="1:45" hidden="1" outlineLevel="1" x14ac:dyDescent="0.25">
      <c r="A31" s="76"/>
      <c r="B31" s="76"/>
      <c r="C31" s="76">
        <f t="shared" si="2"/>
        <v>1846</v>
      </c>
      <c r="D31" s="77">
        <v>27</v>
      </c>
      <c r="E31" s="77" t="s">
        <v>789</v>
      </c>
      <c r="F31" s="77" t="s">
        <v>792</v>
      </c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>
        <v>1846</v>
      </c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</row>
    <row r="32" spans="1:45" hidden="1" outlineLevel="1" x14ac:dyDescent="0.25">
      <c r="A32" s="76"/>
      <c r="B32" s="76"/>
      <c r="C32" s="76">
        <f t="shared" si="2"/>
        <v>1127.99</v>
      </c>
      <c r="D32" s="77">
        <v>29</v>
      </c>
      <c r="E32" s="77" t="s">
        <v>713</v>
      </c>
      <c r="F32" s="77" t="s">
        <v>714</v>
      </c>
      <c r="G32" s="76"/>
      <c r="H32" s="76">
        <v>102.54</v>
      </c>
      <c r="I32" s="76"/>
      <c r="J32" s="76"/>
      <c r="K32" s="76"/>
      <c r="L32" s="76"/>
      <c r="M32" s="76"/>
      <c r="N32" s="76"/>
      <c r="O32" s="76"/>
      <c r="P32" s="76">
        <v>1025.45</v>
      </c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</row>
    <row r="33" spans="1:45" hidden="1" outlineLevel="1" x14ac:dyDescent="0.25">
      <c r="A33" s="78"/>
      <c r="B33" s="78"/>
      <c r="C33" s="78">
        <f t="shared" si="0"/>
        <v>1634</v>
      </c>
      <c r="D33" s="79">
        <v>31</v>
      </c>
      <c r="E33" s="79" t="s">
        <v>715</v>
      </c>
      <c r="F33" s="79" t="s">
        <v>716</v>
      </c>
      <c r="G33" s="78"/>
      <c r="H33" s="78"/>
      <c r="I33" s="78"/>
      <c r="J33" s="78"/>
      <c r="K33" s="78"/>
      <c r="L33" s="78"/>
      <c r="M33" s="78">
        <v>1100</v>
      </c>
      <c r="N33" s="78"/>
      <c r="O33" s="78"/>
      <c r="P33" s="78"/>
      <c r="Q33" s="78"/>
      <c r="R33" s="78"/>
      <c r="S33" s="78">
        <v>534</v>
      </c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</row>
    <row r="34" spans="1:45" s="35" customFormat="1" collapsed="1" x14ac:dyDescent="0.25">
      <c r="A34" s="72">
        <f>A3-B34-C34</f>
        <v>42427.260000000017</v>
      </c>
      <c r="B34" s="72">
        <f>-rcpJul</f>
        <v>-109908.82</v>
      </c>
      <c r="C34" s="72">
        <f>SUBTOTAL(9,C5:C33)</f>
        <v>64263.069999999985</v>
      </c>
      <c r="D34" s="73"/>
      <c r="E34" s="73" t="s">
        <v>71</v>
      </c>
      <c r="F34" s="73"/>
      <c r="G34" s="72">
        <f t="shared" ref="G34:AS34" si="3">SUBTOTAL(9,G5:G33)</f>
        <v>0</v>
      </c>
      <c r="H34" s="72">
        <f t="shared" si="3"/>
        <v>856.7199999999998</v>
      </c>
      <c r="I34" s="72">
        <f t="shared" si="3"/>
        <v>0</v>
      </c>
      <c r="J34" s="72">
        <f t="shared" si="3"/>
        <v>4.55</v>
      </c>
      <c r="K34" s="72">
        <f t="shared" si="3"/>
        <v>0</v>
      </c>
      <c r="L34" s="72">
        <f t="shared" si="3"/>
        <v>0</v>
      </c>
      <c r="M34" s="72">
        <f t="shared" si="3"/>
        <v>3450.02</v>
      </c>
      <c r="N34" s="72">
        <f t="shared" si="3"/>
        <v>0</v>
      </c>
      <c r="O34" s="72">
        <f t="shared" si="3"/>
        <v>211.92</v>
      </c>
      <c r="P34" s="72">
        <f t="shared" si="3"/>
        <v>4075.8999999999996</v>
      </c>
      <c r="Q34" s="72">
        <f t="shared" si="3"/>
        <v>77.259999999999991</v>
      </c>
      <c r="R34" s="72">
        <f t="shared" si="3"/>
        <v>0</v>
      </c>
      <c r="S34" s="72">
        <f t="shared" si="3"/>
        <v>7851.43</v>
      </c>
      <c r="T34" s="72">
        <f t="shared" si="3"/>
        <v>5182.46</v>
      </c>
      <c r="U34" s="72">
        <f t="shared" si="3"/>
        <v>6188.1</v>
      </c>
      <c r="V34" s="72">
        <f t="shared" si="3"/>
        <v>7000.2999999999993</v>
      </c>
      <c r="W34" s="72">
        <f t="shared" si="3"/>
        <v>6904.39</v>
      </c>
      <c r="X34" s="72">
        <f t="shared" si="3"/>
        <v>4569.0199999999995</v>
      </c>
      <c r="Y34" s="72">
        <f t="shared" si="3"/>
        <v>5892.65</v>
      </c>
      <c r="Z34" s="72">
        <f t="shared" si="3"/>
        <v>5892.65</v>
      </c>
      <c r="AA34" s="72">
        <f t="shared" si="3"/>
        <v>0</v>
      </c>
      <c r="AB34" s="72">
        <f t="shared" si="3"/>
        <v>4105.1900000000005</v>
      </c>
      <c r="AC34" s="72">
        <f t="shared" si="3"/>
        <v>0</v>
      </c>
      <c r="AD34" s="72">
        <f t="shared" si="3"/>
        <v>1846</v>
      </c>
      <c r="AE34" s="72">
        <f t="shared" si="3"/>
        <v>0</v>
      </c>
      <c r="AF34" s="72">
        <f t="shared" si="3"/>
        <v>0</v>
      </c>
      <c r="AG34" s="72">
        <f t="shared" si="3"/>
        <v>0</v>
      </c>
      <c r="AH34" s="72">
        <f t="shared" si="3"/>
        <v>0</v>
      </c>
      <c r="AI34" s="72">
        <f t="shared" si="3"/>
        <v>0</v>
      </c>
      <c r="AJ34" s="72">
        <f t="shared" si="3"/>
        <v>0</v>
      </c>
      <c r="AK34" s="72">
        <f t="shared" si="3"/>
        <v>0</v>
      </c>
      <c r="AL34" s="72">
        <f t="shared" si="3"/>
        <v>0</v>
      </c>
      <c r="AM34" s="72">
        <f t="shared" si="3"/>
        <v>0</v>
      </c>
      <c r="AN34" s="72">
        <f t="shared" si="3"/>
        <v>0</v>
      </c>
      <c r="AO34" s="72">
        <f t="shared" si="3"/>
        <v>0</v>
      </c>
      <c r="AP34" s="72">
        <f t="shared" si="3"/>
        <v>0</v>
      </c>
      <c r="AQ34" s="72">
        <f t="shared" si="3"/>
        <v>0</v>
      </c>
      <c r="AR34" s="72">
        <f t="shared" si="3"/>
        <v>0</v>
      </c>
      <c r="AS34" s="72">
        <f t="shared" si="3"/>
        <v>154.51</v>
      </c>
    </row>
    <row r="35" spans="1:45" hidden="1" outlineLevel="1" x14ac:dyDescent="0.25">
      <c r="A35" s="74"/>
      <c r="B35" s="74"/>
      <c r="C35" s="74">
        <f t="shared" ref="C35:C57" si="4">SUM(G35:AT35)</f>
        <v>0.42</v>
      </c>
      <c r="D35" s="75">
        <v>1</v>
      </c>
      <c r="E35" s="75" t="s">
        <v>67</v>
      </c>
      <c r="F35" s="75" t="s">
        <v>710</v>
      </c>
      <c r="G35" s="74"/>
      <c r="H35" s="74"/>
      <c r="I35" s="74"/>
      <c r="J35" s="74"/>
      <c r="K35" s="74"/>
      <c r="L35" s="74"/>
      <c r="M35" s="74"/>
      <c r="N35" s="74"/>
      <c r="O35" s="74">
        <v>0.42</v>
      </c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</row>
    <row r="36" spans="1:45" hidden="1" outlineLevel="1" x14ac:dyDescent="0.25">
      <c r="A36" s="76"/>
      <c r="B36" s="76"/>
      <c r="C36" s="76">
        <f t="shared" si="4"/>
        <v>5</v>
      </c>
      <c r="D36" s="77">
        <v>1</v>
      </c>
      <c r="E36" s="77" t="s">
        <v>67</v>
      </c>
      <c r="F36" s="77" t="s">
        <v>709</v>
      </c>
      <c r="G36" s="76"/>
      <c r="H36" s="76"/>
      <c r="I36" s="76"/>
      <c r="J36" s="76"/>
      <c r="K36" s="76"/>
      <c r="L36" s="76"/>
      <c r="M36" s="76"/>
      <c r="N36" s="76"/>
      <c r="O36" s="76">
        <v>5</v>
      </c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</row>
    <row r="37" spans="1:45" hidden="1" outlineLevel="1" x14ac:dyDescent="0.25">
      <c r="A37" s="76"/>
      <c r="B37" s="76"/>
      <c r="C37" s="76">
        <f t="shared" si="4"/>
        <v>5.9</v>
      </c>
      <c r="D37" s="77">
        <v>1</v>
      </c>
      <c r="E37" s="77" t="s">
        <v>67</v>
      </c>
      <c r="F37" s="77" t="s">
        <v>708</v>
      </c>
      <c r="G37" s="76"/>
      <c r="H37" s="76"/>
      <c r="I37" s="76"/>
      <c r="J37" s="76"/>
      <c r="K37" s="76"/>
      <c r="L37" s="76"/>
      <c r="M37" s="76"/>
      <c r="N37" s="76"/>
      <c r="O37" s="76">
        <v>5.9</v>
      </c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</row>
    <row r="38" spans="1:45" hidden="1" outlineLevel="1" x14ac:dyDescent="0.25">
      <c r="A38" s="76"/>
      <c r="B38" s="76"/>
      <c r="C38" s="76">
        <f t="shared" si="4"/>
        <v>681.35</v>
      </c>
      <c r="D38" s="77">
        <v>1</v>
      </c>
      <c r="E38" s="77" t="s">
        <v>720</v>
      </c>
      <c r="F38" s="77" t="s">
        <v>721</v>
      </c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>
        <v>681.35</v>
      </c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</row>
    <row r="39" spans="1:45" hidden="1" outlineLevel="1" x14ac:dyDescent="0.25">
      <c r="A39" s="76"/>
      <c r="B39" s="76"/>
      <c r="C39" s="76">
        <f t="shared" si="4"/>
        <v>3785.72</v>
      </c>
      <c r="D39" s="77">
        <v>9</v>
      </c>
      <c r="E39" s="77" t="s">
        <v>738</v>
      </c>
      <c r="F39" s="77" t="s">
        <v>739</v>
      </c>
      <c r="G39" s="76"/>
      <c r="H39" s="76">
        <v>60.82000000000005</v>
      </c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>
        <v>3116.72</v>
      </c>
      <c r="Z39" s="76"/>
      <c r="AA39" s="76"/>
      <c r="AB39" s="76">
        <v>608.17999999999995</v>
      </c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</row>
    <row r="40" spans="1:45" hidden="1" outlineLevel="1" x14ac:dyDescent="0.25">
      <c r="A40" s="76"/>
      <c r="B40" s="76"/>
      <c r="C40" s="76">
        <f t="shared" si="4"/>
        <v>3791.59</v>
      </c>
      <c r="D40" s="77">
        <v>9</v>
      </c>
      <c r="E40" s="77" t="s">
        <v>740</v>
      </c>
      <c r="F40" s="77" t="s">
        <v>739</v>
      </c>
      <c r="G40" s="76"/>
      <c r="H40" s="76">
        <v>61.82000000000005</v>
      </c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>
        <v>3111.59</v>
      </c>
      <c r="AA40" s="76"/>
      <c r="AB40" s="76">
        <v>618.17999999999995</v>
      </c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</row>
    <row r="41" spans="1:45" hidden="1" outlineLevel="1" x14ac:dyDescent="0.25">
      <c r="A41" s="76"/>
      <c r="B41" s="76"/>
      <c r="C41" s="76">
        <f>SUM(G41:AT41)</f>
        <v>5509.6900000000005</v>
      </c>
      <c r="D41" s="77">
        <v>10</v>
      </c>
      <c r="E41" s="77" t="s">
        <v>741</v>
      </c>
      <c r="F41" s="77" t="s">
        <v>742</v>
      </c>
      <c r="G41" s="76"/>
      <c r="H41" s="76">
        <v>15.282727272727271</v>
      </c>
      <c r="I41" s="76"/>
      <c r="J41" s="76"/>
      <c r="K41" s="76"/>
      <c r="L41" s="76">
        <v>36.74545454545455</v>
      </c>
      <c r="M41" s="76">
        <v>11.336363636363638</v>
      </c>
      <c r="N41" s="76"/>
      <c r="O41" s="76"/>
      <c r="P41" s="76"/>
      <c r="Q41" s="76"/>
      <c r="R41" s="76"/>
      <c r="S41" s="76">
        <v>5341.58</v>
      </c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>
        <v>104.74545454545455</v>
      </c>
    </row>
    <row r="42" spans="1:45" hidden="1" outlineLevel="1" x14ac:dyDescent="0.25">
      <c r="A42" s="76"/>
      <c r="B42" s="76"/>
      <c r="C42" s="76">
        <f>SUM(G42:AT42)</f>
        <v>62799</v>
      </c>
      <c r="D42" s="77">
        <v>12</v>
      </c>
      <c r="E42" s="77" t="s">
        <v>789</v>
      </c>
      <c r="F42" s="77" t="s">
        <v>822</v>
      </c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>
        <v>25338</v>
      </c>
      <c r="AO42" s="76">
        <v>31861</v>
      </c>
      <c r="AP42" s="76">
        <v>5600</v>
      </c>
      <c r="AQ42" s="76"/>
      <c r="AR42" s="76"/>
      <c r="AS42" s="76"/>
    </row>
    <row r="43" spans="1:45" hidden="1" outlineLevel="1" x14ac:dyDescent="0.25">
      <c r="A43" s="76"/>
      <c r="B43" s="76"/>
      <c r="C43" s="76">
        <f t="shared" si="4"/>
        <v>1634</v>
      </c>
      <c r="D43" s="77">
        <v>14</v>
      </c>
      <c r="E43" s="77" t="s">
        <v>715</v>
      </c>
      <c r="F43" s="77" t="s">
        <v>716</v>
      </c>
      <c r="G43" s="76"/>
      <c r="H43" s="76"/>
      <c r="I43" s="76"/>
      <c r="J43" s="76"/>
      <c r="K43" s="76"/>
      <c r="L43" s="76"/>
      <c r="M43" s="76">
        <v>1100</v>
      </c>
      <c r="N43" s="76"/>
      <c r="O43" s="76"/>
      <c r="P43" s="76"/>
      <c r="Q43" s="76"/>
      <c r="R43" s="76"/>
      <c r="S43" s="76">
        <v>534</v>
      </c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</row>
    <row r="44" spans="1:45" hidden="1" outlineLevel="1" x14ac:dyDescent="0.25">
      <c r="A44" s="76"/>
      <c r="B44" s="76"/>
      <c r="C44" s="76">
        <f t="shared" si="4"/>
        <v>1359.82</v>
      </c>
      <c r="D44" s="77">
        <v>14</v>
      </c>
      <c r="E44" s="77" t="s">
        <v>751</v>
      </c>
      <c r="F44" s="77" t="s">
        <v>54</v>
      </c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>
        <v>1359.82</v>
      </c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</row>
    <row r="45" spans="1:45" hidden="1" outlineLevel="1" x14ac:dyDescent="0.25">
      <c r="A45" s="76"/>
      <c r="B45" s="76"/>
      <c r="C45" s="76">
        <f t="shared" si="4"/>
        <v>9647.3799999999992</v>
      </c>
      <c r="D45" s="77">
        <v>14</v>
      </c>
      <c r="E45" s="77" t="s">
        <v>759</v>
      </c>
      <c r="F45" s="77" t="s">
        <v>739</v>
      </c>
      <c r="G45" s="76"/>
      <c r="H45" s="76">
        <v>91.360000000000014</v>
      </c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>
        <v>8642.3799999999992</v>
      </c>
      <c r="U45" s="76"/>
      <c r="V45" s="76"/>
      <c r="W45" s="76"/>
      <c r="X45" s="76"/>
      <c r="Y45" s="76"/>
      <c r="Z45" s="76"/>
      <c r="AA45" s="76"/>
      <c r="AB45" s="76">
        <v>913.64</v>
      </c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</row>
    <row r="46" spans="1:45" hidden="1" outlineLevel="1" x14ac:dyDescent="0.25">
      <c r="A46" s="76"/>
      <c r="B46" s="76"/>
      <c r="C46" s="76">
        <f t="shared" si="4"/>
        <v>7902.88</v>
      </c>
      <c r="D46" s="77">
        <v>14</v>
      </c>
      <c r="E46" s="77" t="s">
        <v>760</v>
      </c>
      <c r="F46" s="77" t="s">
        <v>739</v>
      </c>
      <c r="G46" s="76"/>
      <c r="H46" s="76">
        <v>93.45</v>
      </c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>
        <v>6874.88</v>
      </c>
      <c r="V46" s="76"/>
      <c r="W46" s="76"/>
      <c r="X46" s="76"/>
      <c r="Y46" s="76"/>
      <c r="Z46" s="76"/>
      <c r="AA46" s="76"/>
      <c r="AB46" s="76">
        <v>934.55</v>
      </c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</row>
    <row r="47" spans="1:45" hidden="1" outlineLevel="1" x14ac:dyDescent="0.25">
      <c r="A47" s="76"/>
      <c r="B47" s="76"/>
      <c r="C47" s="76">
        <f t="shared" si="4"/>
        <v>8280.9</v>
      </c>
      <c r="D47" s="77">
        <v>14</v>
      </c>
      <c r="E47" s="77" t="s">
        <v>756</v>
      </c>
      <c r="F47" s="77" t="s">
        <v>739</v>
      </c>
      <c r="G47" s="76"/>
      <c r="H47" s="76">
        <v>16.260000000000002</v>
      </c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>
        <v>8102</v>
      </c>
      <c r="W47" s="76"/>
      <c r="X47" s="76"/>
      <c r="Y47" s="76"/>
      <c r="Z47" s="76"/>
      <c r="AA47" s="76"/>
      <c r="AB47" s="76">
        <v>162.63999999999999</v>
      </c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</row>
    <row r="48" spans="1:45" hidden="1" outlineLevel="1" x14ac:dyDescent="0.25">
      <c r="A48" s="76"/>
      <c r="B48" s="76"/>
      <c r="C48" s="76">
        <f t="shared" si="4"/>
        <v>6940.02</v>
      </c>
      <c r="D48" s="77">
        <v>14</v>
      </c>
      <c r="E48" s="77" t="s">
        <v>757</v>
      </c>
      <c r="F48" s="77" t="s">
        <v>739</v>
      </c>
      <c r="G48" s="76"/>
      <c r="H48" s="76">
        <v>11.46</v>
      </c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>
        <v>6813.92</v>
      </c>
      <c r="X48" s="76"/>
      <c r="Y48" s="76"/>
      <c r="Z48" s="76"/>
      <c r="AA48" s="76"/>
      <c r="AB48" s="76">
        <v>114.64</v>
      </c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</row>
    <row r="49" spans="1:45" hidden="1" outlineLevel="1" x14ac:dyDescent="0.25">
      <c r="A49" s="76"/>
      <c r="B49" s="76"/>
      <c r="C49" s="76">
        <f t="shared" si="4"/>
        <v>4617.4500000000007</v>
      </c>
      <c r="D49" s="77">
        <v>14</v>
      </c>
      <c r="E49" s="77" t="s">
        <v>758</v>
      </c>
      <c r="F49" s="77" t="s">
        <v>739</v>
      </c>
      <c r="G49" s="76"/>
      <c r="H49" s="76">
        <v>5.6</v>
      </c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>
        <v>4555.8500000000004</v>
      </c>
      <c r="Y49" s="76"/>
      <c r="Z49" s="76"/>
      <c r="AA49" s="76"/>
      <c r="AB49" s="76">
        <v>56</v>
      </c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</row>
    <row r="50" spans="1:45" hidden="1" outlineLevel="1" x14ac:dyDescent="0.25">
      <c r="A50" s="76"/>
      <c r="B50" s="76"/>
      <c r="C50" s="76">
        <f t="shared" si="4"/>
        <v>681.35</v>
      </c>
      <c r="D50" s="77">
        <v>15</v>
      </c>
      <c r="E50" s="77" t="s">
        <v>720</v>
      </c>
      <c r="F50" s="77" t="s">
        <v>721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>
        <v>681.35</v>
      </c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</row>
    <row r="51" spans="1:45" hidden="1" outlineLevel="1" x14ac:dyDescent="0.25">
      <c r="A51" s="76"/>
      <c r="B51" s="76"/>
      <c r="C51" s="76">
        <f t="shared" si="4"/>
        <v>59.99</v>
      </c>
      <c r="D51" s="77">
        <v>21</v>
      </c>
      <c r="E51" s="77" t="s">
        <v>773</v>
      </c>
      <c r="F51" s="77" t="s">
        <v>774</v>
      </c>
      <c r="G51" s="76"/>
      <c r="H51" s="76">
        <v>5.45</v>
      </c>
      <c r="I51" s="76"/>
      <c r="J51" s="76"/>
      <c r="K51" s="76"/>
      <c r="L51" s="76"/>
      <c r="M51" s="76"/>
      <c r="N51" s="76"/>
      <c r="O51" s="76"/>
      <c r="P51" s="76"/>
      <c r="Q51" s="76">
        <v>54.54</v>
      </c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</row>
    <row r="52" spans="1:45" hidden="1" outlineLevel="1" x14ac:dyDescent="0.25">
      <c r="A52" s="76"/>
      <c r="B52" s="76"/>
      <c r="C52" s="76">
        <f t="shared" si="4"/>
        <v>3048.32</v>
      </c>
      <c r="D52" s="77">
        <v>23</v>
      </c>
      <c r="E52" s="77" t="s">
        <v>738</v>
      </c>
      <c r="F52" s="77" t="s">
        <v>739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>
        <v>3048.32</v>
      </c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</row>
    <row r="53" spans="1:45" hidden="1" outlineLevel="1" x14ac:dyDescent="0.25">
      <c r="A53" s="76"/>
      <c r="B53" s="76"/>
      <c r="C53" s="76">
        <f t="shared" si="4"/>
        <v>3046.41</v>
      </c>
      <c r="D53" s="77">
        <v>23</v>
      </c>
      <c r="E53" s="77" t="s">
        <v>740</v>
      </c>
      <c r="F53" s="77" t="s">
        <v>739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>
        <v>3046.41</v>
      </c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</row>
    <row r="54" spans="1:45" hidden="1" outlineLevel="1" x14ac:dyDescent="0.25">
      <c r="A54" s="76"/>
      <c r="B54" s="76"/>
      <c r="C54" s="76">
        <f t="shared" ref="C54:C56" si="5">SUM(G54:AT54)</f>
        <v>1815</v>
      </c>
      <c r="D54" s="77">
        <v>25</v>
      </c>
      <c r="E54" s="77" t="s">
        <v>850</v>
      </c>
      <c r="F54" s="77" t="s">
        <v>851</v>
      </c>
      <c r="G54" s="76"/>
      <c r="H54" s="76">
        <v>165</v>
      </c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>
        <v>1650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</row>
    <row r="55" spans="1:45" hidden="1" outlineLevel="1" x14ac:dyDescent="0.25">
      <c r="A55" s="76"/>
      <c r="B55" s="76"/>
      <c r="C55" s="76">
        <f t="shared" si="5"/>
        <v>1634</v>
      </c>
      <c r="D55" s="77">
        <v>28</v>
      </c>
      <c r="E55" s="77" t="s">
        <v>715</v>
      </c>
      <c r="F55" s="77" t="s">
        <v>716</v>
      </c>
      <c r="G55" s="76"/>
      <c r="H55" s="76"/>
      <c r="I55" s="76"/>
      <c r="J55" s="76"/>
      <c r="K55" s="76"/>
      <c r="L55" s="76"/>
      <c r="M55" s="76">
        <v>1100</v>
      </c>
      <c r="N55" s="76"/>
      <c r="O55" s="76"/>
      <c r="P55" s="76"/>
      <c r="Q55" s="76"/>
      <c r="R55" s="76"/>
      <c r="S55" s="76">
        <v>534</v>
      </c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</row>
    <row r="56" spans="1:45" hidden="1" outlineLevel="1" x14ac:dyDescent="0.25">
      <c r="A56" s="76"/>
      <c r="B56" s="76"/>
      <c r="C56" s="76">
        <f t="shared" si="5"/>
        <v>1127.99</v>
      </c>
      <c r="D56" s="77">
        <v>29</v>
      </c>
      <c r="E56" s="77" t="s">
        <v>713</v>
      </c>
      <c r="F56" s="77" t="s">
        <v>714</v>
      </c>
      <c r="G56" s="76"/>
      <c r="H56" s="76">
        <v>102.54</v>
      </c>
      <c r="I56" s="76"/>
      <c r="J56" s="76"/>
      <c r="K56" s="76"/>
      <c r="L56" s="76"/>
      <c r="M56" s="76"/>
      <c r="N56" s="76"/>
      <c r="O56" s="76"/>
      <c r="P56" s="76">
        <v>1025.45</v>
      </c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</row>
    <row r="57" spans="1:45" hidden="1" outlineLevel="1" x14ac:dyDescent="0.25">
      <c r="A57" s="78"/>
      <c r="B57" s="78"/>
      <c r="C57" s="78">
        <f t="shared" si="4"/>
        <v>681.35</v>
      </c>
      <c r="D57" s="79">
        <v>29</v>
      </c>
      <c r="E57" s="79" t="s">
        <v>720</v>
      </c>
      <c r="F57" s="79" t="s">
        <v>721</v>
      </c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>
        <v>681.35</v>
      </c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</row>
    <row r="58" spans="1:45" s="35" customFormat="1" collapsed="1" x14ac:dyDescent="0.25">
      <c r="A58" s="72">
        <f>A34-B58-C58</f>
        <v>19757.369999999981</v>
      </c>
      <c r="B58" s="72">
        <f>-rcpAug</f>
        <v>-106385.64000000001</v>
      </c>
      <c r="C58" s="72">
        <f>SUBTOTAL(9,C35:C57)</f>
        <v>129055.53000000004</v>
      </c>
      <c r="D58" s="73"/>
      <c r="E58" s="73" t="s">
        <v>72</v>
      </c>
      <c r="F58" s="73"/>
      <c r="G58" s="72">
        <f t="shared" ref="G58:AS58" si="6">SUBTOTAL(9,G34:G57)</f>
        <v>0</v>
      </c>
      <c r="H58" s="72">
        <f t="shared" si="6"/>
        <v>629.04272727272735</v>
      </c>
      <c r="I58" s="72">
        <f t="shared" si="6"/>
        <v>0</v>
      </c>
      <c r="J58" s="72">
        <f t="shared" si="6"/>
        <v>0</v>
      </c>
      <c r="K58" s="72">
        <f t="shared" si="6"/>
        <v>0</v>
      </c>
      <c r="L58" s="72">
        <f t="shared" si="6"/>
        <v>36.74545454545455</v>
      </c>
      <c r="M58" s="72">
        <f t="shared" si="6"/>
        <v>2211.3363636363638</v>
      </c>
      <c r="N58" s="72">
        <f t="shared" si="6"/>
        <v>0</v>
      </c>
      <c r="O58" s="72">
        <f t="shared" si="6"/>
        <v>11.32</v>
      </c>
      <c r="P58" s="72">
        <f t="shared" si="6"/>
        <v>1025.45</v>
      </c>
      <c r="Q58" s="72">
        <f t="shared" si="6"/>
        <v>54.54</v>
      </c>
      <c r="R58" s="72">
        <f t="shared" si="6"/>
        <v>0</v>
      </c>
      <c r="S58" s="72">
        <f t="shared" si="6"/>
        <v>9813.4500000000007</v>
      </c>
      <c r="T58" s="72">
        <f t="shared" si="6"/>
        <v>8642.3799999999992</v>
      </c>
      <c r="U58" s="72">
        <f t="shared" si="6"/>
        <v>6874.88</v>
      </c>
      <c r="V58" s="72">
        <f t="shared" si="6"/>
        <v>8102</v>
      </c>
      <c r="W58" s="72">
        <f t="shared" si="6"/>
        <v>6813.92</v>
      </c>
      <c r="X58" s="72">
        <f t="shared" si="6"/>
        <v>4555.8500000000004</v>
      </c>
      <c r="Y58" s="72">
        <f t="shared" si="6"/>
        <v>6165.04</v>
      </c>
      <c r="Z58" s="72">
        <f t="shared" si="6"/>
        <v>6158</v>
      </c>
      <c r="AA58" s="72">
        <f t="shared" si="6"/>
        <v>0</v>
      </c>
      <c r="AB58" s="72">
        <f t="shared" si="6"/>
        <v>3407.83</v>
      </c>
      <c r="AC58" s="72">
        <f t="shared" si="6"/>
        <v>0</v>
      </c>
      <c r="AD58" s="72">
        <f t="shared" si="6"/>
        <v>1650</v>
      </c>
      <c r="AE58" s="72">
        <f t="shared" si="6"/>
        <v>0</v>
      </c>
      <c r="AF58" s="72">
        <f t="shared" si="6"/>
        <v>0</v>
      </c>
      <c r="AG58" s="72">
        <f t="shared" si="6"/>
        <v>0</v>
      </c>
      <c r="AH58" s="72">
        <f t="shared" si="6"/>
        <v>0</v>
      </c>
      <c r="AI58" s="72">
        <f t="shared" si="6"/>
        <v>0</v>
      </c>
      <c r="AJ58" s="72">
        <f t="shared" si="6"/>
        <v>0</v>
      </c>
      <c r="AK58" s="72">
        <f t="shared" si="6"/>
        <v>0</v>
      </c>
      <c r="AL58" s="72">
        <f t="shared" si="6"/>
        <v>0</v>
      </c>
      <c r="AM58" s="72">
        <f t="shared" si="6"/>
        <v>0</v>
      </c>
      <c r="AN58" s="72">
        <f t="shared" si="6"/>
        <v>25338</v>
      </c>
      <c r="AO58" s="72">
        <f t="shared" si="6"/>
        <v>31861</v>
      </c>
      <c r="AP58" s="72">
        <f t="shared" si="6"/>
        <v>5600</v>
      </c>
      <c r="AQ58" s="72">
        <f t="shared" si="6"/>
        <v>0</v>
      </c>
      <c r="AR58" s="72">
        <f t="shared" si="6"/>
        <v>0</v>
      </c>
      <c r="AS58" s="72">
        <f t="shared" si="6"/>
        <v>104.74545454545455</v>
      </c>
    </row>
    <row r="59" spans="1:45" hidden="1" outlineLevel="1" x14ac:dyDescent="0.25">
      <c r="A59" s="74"/>
      <c r="B59" s="74"/>
      <c r="C59" s="74">
        <f t="shared" ref="C59:C88" si="7">SUM(G59:AT59)</f>
        <v>39.020000000000003</v>
      </c>
      <c r="D59" s="75">
        <v>1</v>
      </c>
      <c r="E59" s="75" t="s">
        <v>67</v>
      </c>
      <c r="F59" s="75" t="s">
        <v>710</v>
      </c>
      <c r="G59" s="74"/>
      <c r="H59" s="74"/>
      <c r="I59" s="74"/>
      <c r="J59" s="74"/>
      <c r="K59" s="74"/>
      <c r="L59" s="74"/>
      <c r="M59" s="74"/>
      <c r="N59" s="74"/>
      <c r="O59" s="74">
        <v>39.020000000000003</v>
      </c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</row>
    <row r="60" spans="1:45" hidden="1" outlineLevel="1" x14ac:dyDescent="0.25">
      <c r="A60" s="76"/>
      <c r="B60" s="76"/>
      <c r="C60" s="76">
        <f t="shared" si="7"/>
        <v>5</v>
      </c>
      <c r="D60" s="77">
        <v>1</v>
      </c>
      <c r="E60" s="77" t="s">
        <v>67</v>
      </c>
      <c r="F60" s="77" t="s">
        <v>709</v>
      </c>
      <c r="G60" s="76"/>
      <c r="H60" s="76"/>
      <c r="I60" s="76"/>
      <c r="J60" s="76"/>
      <c r="K60" s="76"/>
      <c r="L60" s="76"/>
      <c r="M60" s="76"/>
      <c r="N60" s="76"/>
      <c r="O60" s="76">
        <v>5</v>
      </c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</row>
    <row r="61" spans="1:45" hidden="1" outlineLevel="1" x14ac:dyDescent="0.25">
      <c r="A61" s="76"/>
      <c r="B61" s="76"/>
      <c r="C61" s="76">
        <f t="shared" si="7"/>
        <v>141.15</v>
      </c>
      <c r="D61" s="77">
        <v>1</v>
      </c>
      <c r="E61" s="77" t="s">
        <v>67</v>
      </c>
      <c r="F61" s="77" t="s">
        <v>863</v>
      </c>
      <c r="G61" s="76"/>
      <c r="H61" s="76"/>
      <c r="I61" s="76"/>
      <c r="J61" s="76"/>
      <c r="K61" s="76"/>
      <c r="L61" s="76"/>
      <c r="M61" s="76"/>
      <c r="N61" s="76"/>
      <c r="O61" s="76">
        <v>141.15</v>
      </c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</row>
    <row r="62" spans="1:45" hidden="1" outlineLevel="1" x14ac:dyDescent="0.25">
      <c r="A62" s="76"/>
      <c r="B62" s="76"/>
      <c r="C62" s="76">
        <f t="shared" si="7"/>
        <v>40</v>
      </c>
      <c r="D62" s="77">
        <v>2</v>
      </c>
      <c r="E62" s="77" t="s">
        <v>865</v>
      </c>
      <c r="F62" s="77" t="s">
        <v>717</v>
      </c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>
        <v>40</v>
      </c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</row>
    <row r="63" spans="1:45" hidden="1" outlineLevel="1" x14ac:dyDescent="0.25">
      <c r="A63" s="76"/>
      <c r="B63" s="76"/>
      <c r="C63" s="76">
        <f t="shared" si="7"/>
        <v>15203</v>
      </c>
      <c r="D63" s="77">
        <v>5</v>
      </c>
      <c r="E63" s="77" t="s">
        <v>789</v>
      </c>
      <c r="F63" s="77" t="s">
        <v>867</v>
      </c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>
        <v>15203</v>
      </c>
      <c r="AP63" s="76"/>
      <c r="AQ63" s="76"/>
      <c r="AR63" s="76"/>
      <c r="AS63" s="76"/>
    </row>
    <row r="64" spans="1:45" hidden="1" outlineLevel="1" x14ac:dyDescent="0.25">
      <c r="A64" s="76"/>
      <c r="B64" s="76"/>
      <c r="C64" s="76">
        <f t="shared" si="7"/>
        <v>3948.24</v>
      </c>
      <c r="D64" s="77">
        <v>5</v>
      </c>
      <c r="E64" s="77" t="s">
        <v>738</v>
      </c>
      <c r="F64" s="77" t="s">
        <v>739</v>
      </c>
      <c r="G64" s="76"/>
      <c r="H64" s="76">
        <v>52.269999999999982</v>
      </c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>
        <v>3373.24</v>
      </c>
      <c r="Z64" s="76"/>
      <c r="AA64" s="76"/>
      <c r="AB64" s="76">
        <v>522.73</v>
      </c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</row>
    <row r="65" spans="1:45" hidden="1" outlineLevel="1" x14ac:dyDescent="0.25">
      <c r="A65" s="76"/>
      <c r="B65" s="76"/>
      <c r="C65" s="76">
        <f t="shared" si="7"/>
        <v>3935.9700000000003</v>
      </c>
      <c r="D65" s="77">
        <v>5</v>
      </c>
      <c r="E65" s="77" t="s">
        <v>740</v>
      </c>
      <c r="F65" s="77" t="s">
        <v>739</v>
      </c>
      <c r="G65" s="76"/>
      <c r="H65" s="76">
        <v>50.089999999999975</v>
      </c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>
        <v>3384.9700000000003</v>
      </c>
      <c r="AA65" s="76"/>
      <c r="AB65" s="76">
        <v>500.91</v>
      </c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</row>
    <row r="66" spans="1:45" hidden="1" outlineLevel="1" x14ac:dyDescent="0.25">
      <c r="A66" s="76"/>
      <c r="B66" s="76"/>
      <c r="C66" s="76">
        <f t="shared" si="7"/>
        <v>1634</v>
      </c>
      <c r="D66" s="77">
        <v>11</v>
      </c>
      <c r="E66" s="77" t="s">
        <v>715</v>
      </c>
      <c r="F66" s="77" t="s">
        <v>716</v>
      </c>
      <c r="G66" s="76"/>
      <c r="H66" s="76"/>
      <c r="I66" s="76"/>
      <c r="J66" s="76"/>
      <c r="K66" s="76"/>
      <c r="L66" s="76"/>
      <c r="M66" s="76">
        <v>1100</v>
      </c>
      <c r="N66" s="76"/>
      <c r="O66" s="76"/>
      <c r="P66" s="76"/>
      <c r="Q66" s="76"/>
      <c r="R66" s="76"/>
      <c r="S66" s="76">
        <v>534</v>
      </c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</row>
    <row r="67" spans="1:45" hidden="1" outlineLevel="1" x14ac:dyDescent="0.25">
      <c r="A67" s="76"/>
      <c r="B67" s="76"/>
      <c r="C67" s="76">
        <f t="shared" si="7"/>
        <v>681.35</v>
      </c>
      <c r="D67" s="77">
        <v>12</v>
      </c>
      <c r="E67" s="77" t="s">
        <v>720</v>
      </c>
      <c r="F67" s="77" t="s">
        <v>721</v>
      </c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>
        <v>681.35</v>
      </c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</row>
    <row r="68" spans="1:45" hidden="1" outlineLevel="1" x14ac:dyDescent="0.25">
      <c r="A68" s="76"/>
      <c r="B68" s="76"/>
      <c r="C68" s="76">
        <f t="shared" si="7"/>
        <v>10229.15</v>
      </c>
      <c r="D68" s="77">
        <v>14</v>
      </c>
      <c r="E68" s="77" t="s">
        <v>759</v>
      </c>
      <c r="F68" s="77" t="s">
        <v>739</v>
      </c>
      <c r="G68" s="76"/>
      <c r="H68" s="76">
        <v>498.27000000000044</v>
      </c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>
        <v>4748.1499999999996</v>
      </c>
      <c r="U68" s="76"/>
      <c r="V68" s="76"/>
      <c r="W68" s="76"/>
      <c r="X68" s="76"/>
      <c r="Y68" s="76"/>
      <c r="Z68" s="76"/>
      <c r="AA68" s="76"/>
      <c r="AB68" s="76">
        <v>4982.7299999999996</v>
      </c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</row>
    <row r="69" spans="1:45" hidden="1" outlineLevel="1" x14ac:dyDescent="0.25">
      <c r="A69" s="76"/>
      <c r="B69" s="76"/>
      <c r="C69" s="76">
        <f t="shared" si="7"/>
        <v>10396.74</v>
      </c>
      <c r="D69" s="77">
        <v>14</v>
      </c>
      <c r="E69" s="77" t="s">
        <v>760</v>
      </c>
      <c r="F69" s="77" t="s">
        <v>739</v>
      </c>
      <c r="G69" s="76"/>
      <c r="H69" s="76">
        <v>141.73000000000002</v>
      </c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>
        <v>8837.74</v>
      </c>
      <c r="V69" s="76"/>
      <c r="W69" s="76"/>
      <c r="X69" s="76"/>
      <c r="Y69" s="76"/>
      <c r="Z69" s="76"/>
      <c r="AA69" s="76"/>
      <c r="AB69" s="76">
        <v>1417.27</v>
      </c>
      <c r="AC69" s="76"/>
      <c r="AD69" s="76"/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</row>
    <row r="70" spans="1:45" hidden="1" outlineLevel="1" x14ac:dyDescent="0.25">
      <c r="A70" s="76"/>
      <c r="B70" s="76"/>
      <c r="C70" s="76">
        <f t="shared" si="7"/>
        <v>9158.01</v>
      </c>
      <c r="D70" s="77">
        <v>14</v>
      </c>
      <c r="E70" s="77" t="s">
        <v>756</v>
      </c>
      <c r="F70" s="77" t="s">
        <v>739</v>
      </c>
      <c r="G70" s="76"/>
      <c r="H70" s="76">
        <v>16.260000000000019</v>
      </c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>
        <v>8979.11</v>
      </c>
      <c r="W70" s="76"/>
      <c r="X70" s="76"/>
      <c r="Y70" s="76"/>
      <c r="Z70" s="76"/>
      <c r="AA70" s="76"/>
      <c r="AB70" s="76">
        <v>162.63999999999999</v>
      </c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</row>
    <row r="71" spans="1:45" hidden="1" outlineLevel="1" x14ac:dyDescent="0.25">
      <c r="A71" s="76"/>
      <c r="B71" s="76"/>
      <c r="C71" s="76">
        <f t="shared" si="7"/>
        <v>8185.16</v>
      </c>
      <c r="D71" s="77">
        <v>14</v>
      </c>
      <c r="E71" s="77" t="s">
        <v>757</v>
      </c>
      <c r="F71" s="77" t="s">
        <v>739</v>
      </c>
      <c r="G71" s="76"/>
      <c r="H71" s="76">
        <v>12.720000000000013</v>
      </c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>
        <v>8045.21</v>
      </c>
      <c r="X71" s="76"/>
      <c r="Y71" s="76"/>
      <c r="Z71" s="76"/>
      <c r="AA71" s="76"/>
      <c r="AB71" s="76">
        <v>127.23</v>
      </c>
      <c r="AC71" s="76"/>
      <c r="AD71" s="76"/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</row>
    <row r="72" spans="1:45" hidden="1" outlineLevel="1" x14ac:dyDescent="0.25">
      <c r="A72" s="76"/>
      <c r="B72" s="76"/>
      <c r="C72" s="76">
        <f t="shared" si="7"/>
        <v>5388.7000000000007</v>
      </c>
      <c r="D72" s="77">
        <v>14</v>
      </c>
      <c r="E72" s="77" t="s">
        <v>758</v>
      </c>
      <c r="F72" s="77" t="s">
        <v>739</v>
      </c>
      <c r="G72" s="76"/>
      <c r="H72" s="76">
        <v>5.6000000000000014</v>
      </c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>
        <v>5327.1</v>
      </c>
      <c r="Y72" s="76"/>
      <c r="Z72" s="76"/>
      <c r="AA72" s="76"/>
      <c r="AB72" s="76">
        <v>56</v>
      </c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</row>
    <row r="73" spans="1:45" hidden="1" outlineLevel="1" x14ac:dyDescent="0.25">
      <c r="A73" s="76"/>
      <c r="B73" s="76"/>
      <c r="C73" s="76">
        <f t="shared" si="7"/>
        <v>384.1</v>
      </c>
      <c r="D73" s="77">
        <v>14</v>
      </c>
      <c r="E73" s="77" t="s">
        <v>751</v>
      </c>
      <c r="F73" s="77" t="s">
        <v>54</v>
      </c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>
        <v>384.1</v>
      </c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</row>
    <row r="74" spans="1:45" hidden="1" outlineLevel="1" x14ac:dyDescent="0.25">
      <c r="A74" s="76"/>
      <c r="B74" s="76"/>
      <c r="C74" s="76">
        <f t="shared" si="7"/>
        <v>3803.9145454545451</v>
      </c>
      <c r="D74" s="77">
        <v>15</v>
      </c>
      <c r="E74" s="77" t="s">
        <v>741</v>
      </c>
      <c r="F74" s="77" t="s">
        <v>742</v>
      </c>
      <c r="G74" s="76"/>
      <c r="H74" s="76">
        <v>15.973636363636361</v>
      </c>
      <c r="I74" s="76"/>
      <c r="J74" s="76"/>
      <c r="K74" s="76"/>
      <c r="L74" s="76"/>
      <c r="M74" s="76">
        <v>4.55</v>
      </c>
      <c r="N74" s="76"/>
      <c r="O74" s="76"/>
      <c r="P74" s="76"/>
      <c r="Q74" s="76"/>
      <c r="R74" s="76"/>
      <c r="S74" s="76">
        <v>3628.2</v>
      </c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>
        <v>155.19090909090909</v>
      </c>
    </row>
    <row r="75" spans="1:45" hidden="1" outlineLevel="1" x14ac:dyDescent="0.25">
      <c r="A75" s="76"/>
      <c r="B75" s="76"/>
      <c r="C75" s="76">
        <f t="shared" ref="C75" si="8">SUM(G75:AT75)</f>
        <v>700</v>
      </c>
      <c r="D75" s="77">
        <v>20</v>
      </c>
      <c r="E75" s="77" t="s">
        <v>722</v>
      </c>
      <c r="F75" s="77" t="s">
        <v>917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>
        <v>700</v>
      </c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</row>
    <row r="76" spans="1:45" hidden="1" outlineLevel="1" x14ac:dyDescent="0.25">
      <c r="A76" s="76"/>
      <c r="B76" s="76"/>
      <c r="C76" s="76">
        <f t="shared" si="7"/>
        <v>3119.47</v>
      </c>
      <c r="D76" s="77">
        <v>20</v>
      </c>
      <c r="E76" s="77" t="s">
        <v>738</v>
      </c>
      <c r="F76" s="77" t="s">
        <v>739</v>
      </c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>
        <v>3119.47</v>
      </c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</row>
    <row r="77" spans="1:45" hidden="1" outlineLevel="1" x14ac:dyDescent="0.25">
      <c r="A77" s="76"/>
      <c r="B77" s="76"/>
      <c r="C77" s="76">
        <f t="shared" si="7"/>
        <v>3120.6</v>
      </c>
      <c r="D77" s="77">
        <v>20</v>
      </c>
      <c r="E77" s="77" t="s">
        <v>740</v>
      </c>
      <c r="F77" s="77" t="s">
        <v>739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>
        <v>3120.6</v>
      </c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</row>
    <row r="78" spans="1:45" hidden="1" outlineLevel="1" x14ac:dyDescent="0.25">
      <c r="A78" s="76"/>
      <c r="B78" s="76"/>
      <c r="C78" s="76">
        <f t="shared" si="7"/>
        <v>-28000</v>
      </c>
      <c r="D78" s="77">
        <v>20</v>
      </c>
      <c r="E78" s="77" t="s">
        <v>851</v>
      </c>
      <c r="F78" s="77" t="s">
        <v>913</v>
      </c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>
        <v>-28000</v>
      </c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</row>
    <row r="79" spans="1:45" hidden="1" outlineLevel="1" x14ac:dyDescent="0.25">
      <c r="A79" s="76"/>
      <c r="B79" s="76"/>
      <c r="C79" s="76">
        <f t="shared" si="7"/>
        <v>59.99</v>
      </c>
      <c r="D79" s="77">
        <v>23</v>
      </c>
      <c r="E79" s="77" t="s">
        <v>773</v>
      </c>
      <c r="F79" s="77" t="s">
        <v>915</v>
      </c>
      <c r="G79" s="76"/>
      <c r="H79" s="76">
        <v>5.45</v>
      </c>
      <c r="I79" s="76"/>
      <c r="J79" s="76"/>
      <c r="K79" s="76"/>
      <c r="L79" s="76"/>
      <c r="M79" s="76"/>
      <c r="N79" s="76"/>
      <c r="O79" s="76"/>
      <c r="P79" s="76"/>
      <c r="Q79" s="76">
        <v>54.54</v>
      </c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</row>
    <row r="80" spans="1:45" hidden="1" outlineLevel="1" x14ac:dyDescent="0.25">
      <c r="A80" s="76"/>
      <c r="B80" s="76"/>
      <c r="C80" s="76">
        <f t="shared" si="7"/>
        <v>1634</v>
      </c>
      <c r="D80" s="77">
        <v>25</v>
      </c>
      <c r="E80" s="77" t="s">
        <v>715</v>
      </c>
      <c r="F80" s="77" t="s">
        <v>716</v>
      </c>
      <c r="G80" s="76"/>
      <c r="H80" s="76"/>
      <c r="I80" s="76"/>
      <c r="J80" s="76"/>
      <c r="K80" s="76"/>
      <c r="L80" s="76"/>
      <c r="M80" s="76">
        <v>1100</v>
      </c>
      <c r="N80" s="76"/>
      <c r="O80" s="76"/>
      <c r="P80" s="76"/>
      <c r="Q80" s="76"/>
      <c r="R80" s="76"/>
      <c r="S80" s="76">
        <v>534</v>
      </c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</row>
    <row r="81" spans="1:45" hidden="1" outlineLevel="1" x14ac:dyDescent="0.25">
      <c r="A81" s="76"/>
      <c r="B81" s="76"/>
      <c r="C81" s="76">
        <f t="shared" si="7"/>
        <v>40</v>
      </c>
      <c r="D81" s="77">
        <v>25</v>
      </c>
      <c r="E81" s="77" t="s">
        <v>68</v>
      </c>
      <c r="F81" s="77" t="s">
        <v>717</v>
      </c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>
        <v>40</v>
      </c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</row>
    <row r="82" spans="1:45" hidden="1" outlineLevel="1" x14ac:dyDescent="0.25">
      <c r="A82" s="76"/>
      <c r="B82" s="76"/>
      <c r="C82" s="76">
        <f t="shared" si="7"/>
        <v>-400</v>
      </c>
      <c r="D82" s="77">
        <v>26</v>
      </c>
      <c r="E82" s="77" t="s">
        <v>68</v>
      </c>
      <c r="F82" s="77" t="s">
        <v>917</v>
      </c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>
        <v>-400</v>
      </c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</row>
    <row r="83" spans="1:45" hidden="1" outlineLevel="1" x14ac:dyDescent="0.25">
      <c r="A83" s="76"/>
      <c r="B83" s="76"/>
      <c r="C83" s="76">
        <f t="shared" si="7"/>
        <v>681.35</v>
      </c>
      <c r="D83" s="77">
        <v>26</v>
      </c>
      <c r="E83" s="77" t="s">
        <v>720</v>
      </c>
      <c r="F83" s="77" t="s">
        <v>721</v>
      </c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>
        <v>681.35</v>
      </c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</row>
    <row r="84" spans="1:45" hidden="1" outlineLevel="1" x14ac:dyDescent="0.25">
      <c r="A84" s="76"/>
      <c r="B84" s="76"/>
      <c r="C84" s="76">
        <f t="shared" si="7"/>
        <v>822.26</v>
      </c>
      <c r="D84" s="77">
        <v>27</v>
      </c>
      <c r="E84" s="77" t="s">
        <v>918</v>
      </c>
      <c r="F84" s="77" t="s">
        <v>482</v>
      </c>
      <c r="G84" s="76"/>
      <c r="H84" s="76">
        <v>74.75</v>
      </c>
      <c r="I84" s="76"/>
      <c r="J84" s="76"/>
      <c r="K84" s="76"/>
      <c r="L84" s="76"/>
      <c r="M84" s="76"/>
      <c r="N84" s="76"/>
      <c r="O84" s="76"/>
      <c r="P84" s="76">
        <v>747.51</v>
      </c>
      <c r="Q84" s="76"/>
      <c r="R84" s="76"/>
      <c r="S84" s="84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</row>
    <row r="85" spans="1:45" hidden="1" outlineLevel="1" x14ac:dyDescent="0.25">
      <c r="A85" s="76"/>
      <c r="B85" s="76"/>
      <c r="C85" s="76">
        <f t="shared" ref="C85" si="9">SUM(G85:AT85)</f>
        <v>-300</v>
      </c>
      <c r="D85" s="77">
        <v>30</v>
      </c>
      <c r="E85" s="77" t="s">
        <v>68</v>
      </c>
      <c r="F85" s="77" t="s">
        <v>916</v>
      </c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>
        <v>-300</v>
      </c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</row>
    <row r="86" spans="1:45" hidden="1" outlineLevel="1" x14ac:dyDescent="0.25">
      <c r="A86" s="76"/>
      <c r="B86" s="76"/>
      <c r="C86" s="76">
        <f t="shared" si="7"/>
        <v>137.5</v>
      </c>
      <c r="D86" s="77">
        <v>30</v>
      </c>
      <c r="E86" s="77"/>
      <c r="F86" s="77" t="s">
        <v>920</v>
      </c>
      <c r="G86" s="76"/>
      <c r="H86" s="76">
        <v>12.5</v>
      </c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>
        <v>125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</row>
    <row r="87" spans="1:45" hidden="1" outlineLevel="1" x14ac:dyDescent="0.25">
      <c r="A87" s="76"/>
      <c r="B87" s="76"/>
      <c r="C87" s="76">
        <f t="shared" si="7"/>
        <v>1430</v>
      </c>
      <c r="D87" s="77">
        <v>30</v>
      </c>
      <c r="E87" s="77" t="s">
        <v>850</v>
      </c>
      <c r="F87" s="77" t="s">
        <v>258</v>
      </c>
      <c r="G87" s="76"/>
      <c r="H87" s="76">
        <v>130</v>
      </c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>
        <v>1300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</row>
    <row r="88" spans="1:45" hidden="1" outlineLevel="1" x14ac:dyDescent="0.25">
      <c r="A88" s="78"/>
      <c r="B88" s="78"/>
      <c r="C88" s="78">
        <f t="shared" si="7"/>
        <v>1127.99</v>
      </c>
      <c r="D88" s="79">
        <v>30</v>
      </c>
      <c r="E88" s="79" t="s">
        <v>713</v>
      </c>
      <c r="F88" s="79" t="s">
        <v>714</v>
      </c>
      <c r="G88" s="78"/>
      <c r="H88" s="78">
        <v>102.54</v>
      </c>
      <c r="I88" s="78"/>
      <c r="J88" s="78"/>
      <c r="K88" s="78"/>
      <c r="L88" s="78"/>
      <c r="M88" s="78"/>
      <c r="N88" s="78"/>
      <c r="O88" s="78"/>
      <c r="P88" s="78">
        <v>1025.45</v>
      </c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</row>
    <row r="89" spans="1:45" s="35" customFormat="1" collapsed="1" x14ac:dyDescent="0.25">
      <c r="A89" s="72">
        <f>A58-B89-C89</f>
        <v>76519.505454545433</v>
      </c>
      <c r="B89" s="72">
        <f>-rcpSep</f>
        <v>-114108.80000000002</v>
      </c>
      <c r="C89" s="72">
        <f>SUBTOTAL(9,C59:C88)</f>
        <v>57346.664545454551</v>
      </c>
      <c r="D89" s="73"/>
      <c r="E89" s="73" t="s">
        <v>73</v>
      </c>
      <c r="F89" s="73"/>
      <c r="G89" s="72">
        <f t="shared" ref="G89:AS89" si="10">SUBTOTAL(9,G59:G88)</f>
        <v>0</v>
      </c>
      <c r="H89" s="72">
        <f t="shared" si="10"/>
        <v>1118.1536363636369</v>
      </c>
      <c r="I89" s="72">
        <f t="shared" si="10"/>
        <v>0</v>
      </c>
      <c r="J89" s="72">
        <f t="shared" si="10"/>
        <v>0</v>
      </c>
      <c r="K89" s="72">
        <f t="shared" si="10"/>
        <v>0</v>
      </c>
      <c r="L89" s="72">
        <f t="shared" si="10"/>
        <v>0</v>
      </c>
      <c r="M89" s="72">
        <f t="shared" si="10"/>
        <v>2204.5500000000002</v>
      </c>
      <c r="N89" s="72">
        <f t="shared" si="10"/>
        <v>0</v>
      </c>
      <c r="O89" s="72">
        <f t="shared" si="10"/>
        <v>185.17000000000002</v>
      </c>
      <c r="P89" s="72">
        <f t="shared" si="10"/>
        <v>1772.96</v>
      </c>
      <c r="Q89" s="72">
        <f t="shared" si="10"/>
        <v>54.54</v>
      </c>
      <c r="R89" s="72">
        <f t="shared" si="10"/>
        <v>0</v>
      </c>
      <c r="S89" s="72">
        <f t="shared" si="10"/>
        <v>-21477</v>
      </c>
      <c r="T89" s="72">
        <f t="shared" si="10"/>
        <v>4748.1499999999996</v>
      </c>
      <c r="U89" s="72">
        <f t="shared" si="10"/>
        <v>8837.74</v>
      </c>
      <c r="V89" s="72">
        <f t="shared" si="10"/>
        <v>8979.11</v>
      </c>
      <c r="W89" s="72">
        <f t="shared" si="10"/>
        <v>8045.21</v>
      </c>
      <c r="X89" s="72">
        <f t="shared" si="10"/>
        <v>5327.1</v>
      </c>
      <c r="Y89" s="72">
        <f t="shared" si="10"/>
        <v>6492.7099999999991</v>
      </c>
      <c r="Z89" s="72">
        <f t="shared" si="10"/>
        <v>6505.57</v>
      </c>
      <c r="AA89" s="72">
        <f t="shared" si="10"/>
        <v>0</v>
      </c>
      <c r="AB89" s="72">
        <f t="shared" si="10"/>
        <v>7769.5099999999993</v>
      </c>
      <c r="AC89" s="72">
        <f t="shared" si="10"/>
        <v>0</v>
      </c>
      <c r="AD89" s="72">
        <f t="shared" si="10"/>
        <v>1425</v>
      </c>
      <c r="AE89" s="72">
        <f t="shared" si="10"/>
        <v>0</v>
      </c>
      <c r="AF89" s="72">
        <f t="shared" si="10"/>
        <v>0</v>
      </c>
      <c r="AG89" s="72">
        <f t="shared" si="10"/>
        <v>0</v>
      </c>
      <c r="AH89" s="72">
        <f t="shared" si="10"/>
        <v>0</v>
      </c>
      <c r="AI89" s="72">
        <f t="shared" si="10"/>
        <v>0</v>
      </c>
      <c r="AJ89" s="72">
        <f t="shared" si="10"/>
        <v>0</v>
      </c>
      <c r="AK89" s="72">
        <f t="shared" si="10"/>
        <v>0</v>
      </c>
      <c r="AL89" s="72">
        <f t="shared" si="10"/>
        <v>0</v>
      </c>
      <c r="AM89" s="72">
        <f t="shared" si="10"/>
        <v>0</v>
      </c>
      <c r="AN89" s="72">
        <f t="shared" si="10"/>
        <v>0</v>
      </c>
      <c r="AO89" s="72">
        <f t="shared" si="10"/>
        <v>15203</v>
      </c>
      <c r="AP89" s="72">
        <f t="shared" si="10"/>
        <v>0</v>
      </c>
      <c r="AQ89" s="72">
        <f t="shared" si="10"/>
        <v>0</v>
      </c>
      <c r="AR89" s="72">
        <f t="shared" si="10"/>
        <v>0</v>
      </c>
      <c r="AS89" s="72">
        <f t="shared" si="10"/>
        <v>155.19090909090909</v>
      </c>
    </row>
    <row r="90" spans="1:45" s="83" customFormat="1" x14ac:dyDescent="0.25">
      <c r="A90" s="80"/>
      <c r="B90" s="44">
        <f>SUBTOTAL(9,B5:B89)</f>
        <v>-330403.26</v>
      </c>
      <c r="C90" s="44">
        <f>SUBTOTAL(9,C5:C89)</f>
        <v>250665.26454545444</v>
      </c>
      <c r="D90" s="80"/>
      <c r="E90" s="81" t="s">
        <v>74</v>
      </c>
      <c r="F90" s="82"/>
      <c r="G90" s="44">
        <f t="shared" ref="G90:AS90" si="11">SUBTOTAL(9,G5:G89)</f>
        <v>0</v>
      </c>
      <c r="H90" s="44">
        <f t="shared" si="11"/>
        <v>2603.9163636363633</v>
      </c>
      <c r="I90" s="44">
        <f t="shared" si="11"/>
        <v>0</v>
      </c>
      <c r="J90" s="44">
        <f t="shared" si="11"/>
        <v>4.55</v>
      </c>
      <c r="K90" s="44">
        <f t="shared" si="11"/>
        <v>0</v>
      </c>
      <c r="L90" s="44">
        <f t="shared" si="11"/>
        <v>36.74545454545455</v>
      </c>
      <c r="M90" s="44">
        <f t="shared" si="11"/>
        <v>7865.9063636363635</v>
      </c>
      <c r="N90" s="44">
        <f t="shared" si="11"/>
        <v>0</v>
      </c>
      <c r="O90" s="44">
        <f t="shared" si="11"/>
        <v>408.40999999999997</v>
      </c>
      <c r="P90" s="44">
        <f t="shared" si="11"/>
        <v>6874.3099999999995</v>
      </c>
      <c r="Q90" s="44">
        <f t="shared" si="11"/>
        <v>186.33999999999997</v>
      </c>
      <c r="R90" s="44">
        <f t="shared" si="11"/>
        <v>0</v>
      </c>
      <c r="S90" s="44">
        <f t="shared" si="11"/>
        <v>-3812.1200000000049</v>
      </c>
      <c r="T90" s="44">
        <f t="shared" si="11"/>
        <v>18572.989999999998</v>
      </c>
      <c r="U90" s="44">
        <f t="shared" si="11"/>
        <v>21900.720000000001</v>
      </c>
      <c r="V90" s="44">
        <f t="shared" si="11"/>
        <v>24081.41</v>
      </c>
      <c r="W90" s="44">
        <f t="shared" si="11"/>
        <v>21763.52</v>
      </c>
      <c r="X90" s="44">
        <f t="shared" si="11"/>
        <v>14451.97</v>
      </c>
      <c r="Y90" s="44">
        <f t="shared" si="11"/>
        <v>18550.399999999998</v>
      </c>
      <c r="Z90" s="44">
        <f t="shared" si="11"/>
        <v>18556.219999999998</v>
      </c>
      <c r="AA90" s="44">
        <f t="shared" si="11"/>
        <v>0</v>
      </c>
      <c r="AB90" s="44">
        <f t="shared" si="11"/>
        <v>15282.53</v>
      </c>
      <c r="AC90" s="44">
        <f t="shared" si="11"/>
        <v>0</v>
      </c>
      <c r="AD90" s="44">
        <f t="shared" si="11"/>
        <v>4921</v>
      </c>
      <c r="AE90" s="44">
        <f t="shared" si="11"/>
        <v>0</v>
      </c>
      <c r="AF90" s="44">
        <f t="shared" si="11"/>
        <v>0</v>
      </c>
      <c r="AG90" s="44">
        <f t="shared" si="11"/>
        <v>0</v>
      </c>
      <c r="AH90" s="44">
        <f t="shared" si="11"/>
        <v>0</v>
      </c>
      <c r="AI90" s="44">
        <f t="shared" si="11"/>
        <v>0</v>
      </c>
      <c r="AJ90" s="44">
        <f t="shared" si="11"/>
        <v>0</v>
      </c>
      <c r="AK90" s="44">
        <f t="shared" si="11"/>
        <v>0</v>
      </c>
      <c r="AL90" s="44">
        <f t="shared" si="11"/>
        <v>0</v>
      </c>
      <c r="AM90" s="44">
        <f t="shared" si="11"/>
        <v>0</v>
      </c>
      <c r="AN90" s="44">
        <f t="shared" si="11"/>
        <v>25338</v>
      </c>
      <c r="AO90" s="44">
        <f t="shared" si="11"/>
        <v>47064</v>
      </c>
      <c r="AP90" s="44">
        <f t="shared" si="11"/>
        <v>5600</v>
      </c>
      <c r="AQ90" s="44">
        <f t="shared" si="11"/>
        <v>0</v>
      </c>
      <c r="AR90" s="44">
        <f t="shared" si="11"/>
        <v>0</v>
      </c>
      <c r="AS90" s="44">
        <f t="shared" si="11"/>
        <v>414.44636363636363</v>
      </c>
    </row>
    <row r="91" spans="1:45" outlineLevel="1" x14ac:dyDescent="0.25">
      <c r="A91" s="74"/>
      <c r="B91" s="74"/>
      <c r="C91" s="74">
        <f t="shared" ref="C91:C110" si="12">SUM(G91:AT91)</f>
        <v>19614</v>
      </c>
      <c r="D91" s="75">
        <v>4</v>
      </c>
      <c r="E91" s="75" t="s">
        <v>789</v>
      </c>
      <c r="F91" s="75" t="s">
        <v>925</v>
      </c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>
        <v>19614</v>
      </c>
      <c r="AP91" s="74"/>
      <c r="AQ91" s="74"/>
      <c r="AR91" s="74"/>
      <c r="AS91" s="74"/>
    </row>
    <row r="92" spans="1:45" outlineLevel="1" x14ac:dyDescent="0.25">
      <c r="A92" s="76"/>
      <c r="B92" s="76"/>
      <c r="C92" s="76">
        <f t="shared" si="12"/>
        <v>3096.05</v>
      </c>
      <c r="D92" s="77">
        <v>4</v>
      </c>
      <c r="E92" s="77" t="s">
        <v>738</v>
      </c>
      <c r="F92" s="77" t="s">
        <v>739</v>
      </c>
      <c r="G92" s="76"/>
      <c r="H92" s="76">
        <v>54.549999999999955</v>
      </c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>
        <v>2496.0500000000002</v>
      </c>
      <c r="Z92" s="76"/>
      <c r="AA92" s="76"/>
      <c r="AB92" s="76">
        <v>545.45000000000005</v>
      </c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</row>
    <row r="93" spans="1:45" outlineLevel="1" x14ac:dyDescent="0.25">
      <c r="A93" s="76"/>
      <c r="B93" s="76"/>
      <c r="C93" s="76">
        <f t="shared" si="12"/>
        <v>3067.32</v>
      </c>
      <c r="D93" s="77">
        <v>4</v>
      </c>
      <c r="E93" s="77" t="s">
        <v>740</v>
      </c>
      <c r="F93" s="77" t="s">
        <v>739</v>
      </c>
      <c r="G93" s="76"/>
      <c r="H93" s="76">
        <v>47.819999999999993</v>
      </c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>
        <v>2541.3200000000002</v>
      </c>
      <c r="Z93" s="76"/>
      <c r="AA93" s="76"/>
      <c r="AB93" s="76">
        <v>478.18</v>
      </c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</row>
    <row r="94" spans="1:45" outlineLevel="1" x14ac:dyDescent="0.25">
      <c r="A94" s="76"/>
      <c r="B94" s="76"/>
      <c r="C94" s="76">
        <f t="shared" si="12"/>
        <v>1634</v>
      </c>
      <c r="D94" s="77">
        <v>9</v>
      </c>
      <c r="E94" s="77" t="s">
        <v>715</v>
      </c>
      <c r="F94" s="77" t="s">
        <v>716</v>
      </c>
      <c r="G94" s="76"/>
      <c r="H94" s="76"/>
      <c r="I94" s="76"/>
      <c r="J94" s="76"/>
      <c r="K94" s="76"/>
      <c r="L94" s="76"/>
      <c r="M94" s="76">
        <v>1100</v>
      </c>
      <c r="N94" s="76"/>
      <c r="O94" s="76"/>
      <c r="P94" s="76"/>
      <c r="Q94" s="76"/>
      <c r="R94" s="76"/>
      <c r="S94" s="76">
        <v>534</v>
      </c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</row>
    <row r="95" spans="1:45" outlineLevel="1" x14ac:dyDescent="0.25">
      <c r="A95" s="76"/>
      <c r="B95" s="76"/>
      <c r="C95" s="76">
        <f t="shared" si="12"/>
        <v>50</v>
      </c>
      <c r="D95" s="77">
        <v>10</v>
      </c>
      <c r="E95" s="77" t="s">
        <v>68</v>
      </c>
      <c r="F95" s="77" t="s">
        <v>717</v>
      </c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>
        <v>50</v>
      </c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84"/>
      <c r="AR95" s="76"/>
      <c r="AS95" s="76"/>
    </row>
    <row r="96" spans="1:45" outlineLevel="1" x14ac:dyDescent="0.25">
      <c r="A96" s="76"/>
      <c r="B96" s="76"/>
      <c r="C96" s="76">
        <f t="shared" si="12"/>
        <v>596.35</v>
      </c>
      <c r="D96" s="77">
        <v>10</v>
      </c>
      <c r="E96" s="77" t="s">
        <v>720</v>
      </c>
      <c r="F96" s="77" t="s">
        <v>721</v>
      </c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>
        <v>596.35</v>
      </c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84"/>
      <c r="AR96" s="76"/>
      <c r="AS96" s="76"/>
    </row>
    <row r="97" spans="1:45" outlineLevel="1" x14ac:dyDescent="0.25">
      <c r="A97" s="76"/>
      <c r="B97" s="76"/>
      <c r="C97" s="76">
        <f t="shared" si="12"/>
        <v>7901.55</v>
      </c>
      <c r="D97" s="77">
        <v>14</v>
      </c>
      <c r="E97" s="77" t="s">
        <v>756</v>
      </c>
      <c r="F97" s="77" t="s">
        <v>739</v>
      </c>
      <c r="G97" s="76"/>
      <c r="H97" s="76">
        <v>16.260000000000019</v>
      </c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>
        <v>7722.65</v>
      </c>
      <c r="W97" s="76"/>
      <c r="X97" s="76"/>
      <c r="Y97" s="76"/>
      <c r="Z97" s="76"/>
      <c r="AA97" s="76"/>
      <c r="AB97" s="76">
        <v>162.63999999999999</v>
      </c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</row>
    <row r="98" spans="1:45" outlineLevel="1" x14ac:dyDescent="0.25">
      <c r="A98" s="76"/>
      <c r="B98" s="76"/>
      <c r="C98" s="76">
        <f t="shared" si="12"/>
        <v>6895.09</v>
      </c>
      <c r="D98" s="77">
        <v>14</v>
      </c>
      <c r="E98" s="77" t="s">
        <v>757</v>
      </c>
      <c r="F98" s="77" t="s">
        <v>739</v>
      </c>
      <c r="G98" s="76"/>
      <c r="H98" s="76">
        <v>16.080000000000013</v>
      </c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>
        <v>6718.1900000000005</v>
      </c>
      <c r="X98" s="76"/>
      <c r="Y98" s="76"/>
      <c r="Z98" s="76"/>
      <c r="AA98" s="76"/>
      <c r="AB98" s="76">
        <v>160.82</v>
      </c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</row>
    <row r="99" spans="1:45" outlineLevel="1" x14ac:dyDescent="0.25">
      <c r="A99" s="76"/>
      <c r="B99" s="76"/>
      <c r="C99" s="76">
        <f t="shared" si="12"/>
        <v>4658.3600000000006</v>
      </c>
      <c r="D99" s="77">
        <v>14</v>
      </c>
      <c r="E99" s="77" t="s">
        <v>758</v>
      </c>
      <c r="F99" s="77" t="s">
        <v>739</v>
      </c>
      <c r="G99" s="76"/>
      <c r="H99" s="76">
        <v>34.100000000000023</v>
      </c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>
        <v>4283.22</v>
      </c>
      <c r="Y99" s="76"/>
      <c r="Z99" s="76"/>
      <c r="AA99" s="76"/>
      <c r="AB99" s="76">
        <v>341.04</v>
      </c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</row>
    <row r="100" spans="1:45" outlineLevel="1" x14ac:dyDescent="0.25">
      <c r="A100" s="76"/>
      <c r="B100" s="76"/>
      <c r="C100" s="76">
        <f t="shared" si="12"/>
        <v>7626.9400000000005</v>
      </c>
      <c r="D100" s="77">
        <v>15</v>
      </c>
      <c r="E100" s="77" t="s">
        <v>759</v>
      </c>
      <c r="F100" s="77" t="s">
        <v>739</v>
      </c>
      <c r="G100" s="76"/>
      <c r="H100" s="76">
        <v>252.26999999999998</v>
      </c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>
        <v>4851.9400000000005</v>
      </c>
      <c r="U100" s="76"/>
      <c r="V100" s="76"/>
      <c r="W100" s="76"/>
      <c r="X100" s="76"/>
      <c r="Y100" s="76"/>
      <c r="Z100" s="76"/>
      <c r="AA100" s="76"/>
      <c r="AB100" s="76">
        <v>2522.73</v>
      </c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</row>
    <row r="101" spans="1:45" outlineLevel="1" x14ac:dyDescent="0.25">
      <c r="A101" s="76"/>
      <c r="B101" s="76"/>
      <c r="C101" s="76">
        <f t="shared" si="12"/>
        <v>6753.67</v>
      </c>
      <c r="D101" s="77">
        <v>15</v>
      </c>
      <c r="E101" s="77" t="s">
        <v>760</v>
      </c>
      <c r="F101" s="77" t="s">
        <v>739</v>
      </c>
      <c r="G101" s="76"/>
      <c r="H101" s="76">
        <v>64</v>
      </c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>
        <v>6049.67</v>
      </c>
      <c r="V101" s="76"/>
      <c r="W101" s="76"/>
      <c r="X101" s="76"/>
      <c r="Y101" s="76"/>
      <c r="Z101" s="76"/>
      <c r="AA101" s="76"/>
      <c r="AB101" s="76">
        <v>640</v>
      </c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</row>
    <row r="102" spans="1:45" outlineLevel="1" x14ac:dyDescent="0.25">
      <c r="A102" s="76"/>
      <c r="B102" s="76"/>
      <c r="C102" s="76">
        <f t="shared" si="12"/>
        <v>9299</v>
      </c>
      <c r="D102" s="77">
        <v>16</v>
      </c>
      <c r="E102" s="77" t="s">
        <v>947</v>
      </c>
      <c r="F102" s="77" t="s">
        <v>948</v>
      </c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>
        <v>9299</v>
      </c>
      <c r="AP102" s="76"/>
      <c r="AQ102" s="76"/>
      <c r="AR102" s="76"/>
      <c r="AS102" s="76"/>
    </row>
    <row r="103" spans="1:45" outlineLevel="1" x14ac:dyDescent="0.25">
      <c r="A103" s="76"/>
      <c r="B103" s="76"/>
      <c r="C103" s="76">
        <f t="shared" si="12"/>
        <v>24655.11</v>
      </c>
      <c r="D103" s="77">
        <v>16</v>
      </c>
      <c r="E103" s="77" t="s">
        <v>949</v>
      </c>
      <c r="F103" s="77" t="s">
        <v>950</v>
      </c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>
        <v>4802.0499999999993</v>
      </c>
      <c r="AF103" s="76">
        <v>3273.38</v>
      </c>
      <c r="AG103" s="76">
        <v>3273.38</v>
      </c>
      <c r="AH103" s="76">
        <v>3346.25</v>
      </c>
      <c r="AI103" s="76">
        <v>2978.9100000000003</v>
      </c>
      <c r="AJ103" s="76">
        <v>1825.78</v>
      </c>
      <c r="AK103" s="76">
        <v>2577.6800000000003</v>
      </c>
      <c r="AL103" s="76">
        <v>2577.6800000000003</v>
      </c>
      <c r="AM103" s="76"/>
      <c r="AN103" s="76"/>
      <c r="AO103" s="76"/>
      <c r="AP103" s="76"/>
      <c r="AQ103" s="76"/>
      <c r="AR103" s="76"/>
      <c r="AS103" s="76"/>
    </row>
    <row r="104" spans="1:45" outlineLevel="1" x14ac:dyDescent="0.25">
      <c r="A104" s="76"/>
      <c r="B104" s="76"/>
      <c r="C104" s="76">
        <f t="shared" si="12"/>
        <v>0</v>
      </c>
      <c r="D104" s="77"/>
      <c r="E104" s="77"/>
      <c r="F104" s="77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</row>
    <row r="105" spans="1:45" outlineLevel="1" x14ac:dyDescent="0.25">
      <c r="A105" s="76"/>
      <c r="B105" s="76"/>
      <c r="C105" s="76">
        <f t="shared" si="12"/>
        <v>0</v>
      </c>
      <c r="D105" s="77"/>
      <c r="E105" s="77"/>
      <c r="F105" s="77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</row>
    <row r="106" spans="1:45" outlineLevel="1" x14ac:dyDescent="0.25">
      <c r="A106" s="76"/>
      <c r="B106" s="76"/>
      <c r="C106" s="76">
        <f t="shared" si="12"/>
        <v>0</v>
      </c>
      <c r="D106" s="77"/>
      <c r="E106" s="77"/>
      <c r="F106" s="77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</row>
    <row r="107" spans="1:45" outlineLevel="1" x14ac:dyDescent="0.25">
      <c r="A107" s="76"/>
      <c r="B107" s="76"/>
      <c r="C107" s="76">
        <f t="shared" si="12"/>
        <v>0</v>
      </c>
      <c r="D107" s="77"/>
      <c r="E107" s="77"/>
      <c r="F107" s="77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</row>
    <row r="108" spans="1:45" outlineLevel="1" x14ac:dyDescent="0.25">
      <c r="A108" s="76"/>
      <c r="B108" s="76"/>
      <c r="C108" s="76">
        <f t="shared" si="12"/>
        <v>0</v>
      </c>
      <c r="D108" s="77"/>
      <c r="E108" s="77"/>
      <c r="F108" s="77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</row>
    <row r="109" spans="1:45" outlineLevel="1" x14ac:dyDescent="0.25">
      <c r="A109" s="76"/>
      <c r="B109" s="76"/>
      <c r="C109" s="76">
        <f t="shared" si="12"/>
        <v>0</v>
      </c>
      <c r="D109" s="77"/>
      <c r="E109" s="77"/>
      <c r="F109" s="77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</row>
    <row r="110" spans="1:45" outlineLevel="1" x14ac:dyDescent="0.25">
      <c r="A110" s="78"/>
      <c r="B110" s="78"/>
      <c r="C110" s="78">
        <f t="shared" si="12"/>
        <v>0</v>
      </c>
      <c r="D110" s="79"/>
      <c r="E110" s="79"/>
      <c r="F110" s="79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</row>
    <row r="111" spans="1:45" s="35" customFormat="1" x14ac:dyDescent="0.25">
      <c r="A111" s="72">
        <f>A89-B111-C111</f>
        <v>39161.385454545438</v>
      </c>
      <c r="B111" s="72">
        <f>-rcpOct</f>
        <v>-58489.320000000007</v>
      </c>
      <c r="C111" s="72">
        <f>SUBTOTAL(9,C91:C110)</f>
        <v>95847.44</v>
      </c>
      <c r="D111" s="73"/>
      <c r="E111" s="73" t="s">
        <v>75</v>
      </c>
      <c r="F111" s="73"/>
      <c r="G111" s="72">
        <f t="shared" ref="G111:AS111" si="13">SUBTOTAL(9,G91:G110)</f>
        <v>0</v>
      </c>
      <c r="H111" s="72">
        <f t="shared" si="13"/>
        <v>485.08</v>
      </c>
      <c r="I111" s="72">
        <f t="shared" si="13"/>
        <v>0</v>
      </c>
      <c r="J111" s="72">
        <f t="shared" si="13"/>
        <v>0</v>
      </c>
      <c r="K111" s="72">
        <f t="shared" si="13"/>
        <v>0</v>
      </c>
      <c r="L111" s="72">
        <f t="shared" si="13"/>
        <v>0</v>
      </c>
      <c r="M111" s="72">
        <f t="shared" si="13"/>
        <v>1100</v>
      </c>
      <c r="N111" s="72">
        <f t="shared" si="13"/>
        <v>0</v>
      </c>
      <c r="O111" s="72">
        <f t="shared" si="13"/>
        <v>0</v>
      </c>
      <c r="P111" s="72">
        <f t="shared" si="13"/>
        <v>0</v>
      </c>
      <c r="Q111" s="72">
        <f t="shared" si="13"/>
        <v>0</v>
      </c>
      <c r="R111" s="72">
        <f t="shared" si="13"/>
        <v>0</v>
      </c>
      <c r="S111" s="72">
        <f t="shared" si="13"/>
        <v>1180.3499999999999</v>
      </c>
      <c r="T111" s="72">
        <f t="shared" si="13"/>
        <v>4851.9400000000005</v>
      </c>
      <c r="U111" s="72">
        <f t="shared" si="13"/>
        <v>6049.67</v>
      </c>
      <c r="V111" s="72">
        <f t="shared" si="13"/>
        <v>7722.65</v>
      </c>
      <c r="W111" s="72">
        <f t="shared" si="13"/>
        <v>6718.1900000000005</v>
      </c>
      <c r="X111" s="72">
        <f t="shared" si="13"/>
        <v>4283.22</v>
      </c>
      <c r="Y111" s="72">
        <f t="shared" si="13"/>
        <v>5037.3700000000008</v>
      </c>
      <c r="Z111" s="72">
        <f t="shared" si="13"/>
        <v>0</v>
      </c>
      <c r="AA111" s="72">
        <f t="shared" si="13"/>
        <v>0</v>
      </c>
      <c r="AB111" s="72">
        <f t="shared" si="13"/>
        <v>4850.8599999999997</v>
      </c>
      <c r="AC111" s="72">
        <f t="shared" si="13"/>
        <v>0</v>
      </c>
      <c r="AD111" s="72">
        <f t="shared" si="13"/>
        <v>0</v>
      </c>
      <c r="AE111" s="72">
        <f t="shared" si="13"/>
        <v>4802.0499999999993</v>
      </c>
      <c r="AF111" s="72">
        <f t="shared" si="13"/>
        <v>3273.38</v>
      </c>
      <c r="AG111" s="72">
        <f t="shared" si="13"/>
        <v>3273.38</v>
      </c>
      <c r="AH111" s="72">
        <f t="shared" si="13"/>
        <v>3346.25</v>
      </c>
      <c r="AI111" s="72">
        <f t="shared" si="13"/>
        <v>2978.9100000000003</v>
      </c>
      <c r="AJ111" s="72">
        <f t="shared" si="13"/>
        <v>1825.78</v>
      </c>
      <c r="AK111" s="72">
        <f t="shared" si="13"/>
        <v>2577.6800000000003</v>
      </c>
      <c r="AL111" s="72">
        <f t="shared" si="13"/>
        <v>2577.6800000000003</v>
      </c>
      <c r="AM111" s="72">
        <f t="shared" si="13"/>
        <v>0</v>
      </c>
      <c r="AN111" s="72">
        <f t="shared" si="13"/>
        <v>0</v>
      </c>
      <c r="AO111" s="72">
        <f t="shared" si="13"/>
        <v>28913</v>
      </c>
      <c r="AP111" s="72">
        <f t="shared" si="13"/>
        <v>0</v>
      </c>
      <c r="AQ111" s="72">
        <f t="shared" si="13"/>
        <v>0</v>
      </c>
      <c r="AR111" s="72">
        <f t="shared" si="13"/>
        <v>0</v>
      </c>
      <c r="AS111" s="72">
        <f t="shared" si="13"/>
        <v>0</v>
      </c>
    </row>
    <row r="112" spans="1:45" hidden="1" outlineLevel="1" x14ac:dyDescent="0.25">
      <c r="A112" s="74"/>
      <c r="B112" s="74"/>
      <c r="C112" s="74">
        <f t="shared" ref="C112:C142" si="14">SUM(G112:AT112)</f>
        <v>0</v>
      </c>
      <c r="D112" s="75"/>
      <c r="E112" s="75"/>
      <c r="F112" s="75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</row>
    <row r="113" spans="1:45" hidden="1" outlineLevel="1" x14ac:dyDescent="0.25">
      <c r="A113" s="76"/>
      <c r="B113" s="76"/>
      <c r="C113" s="76">
        <f t="shared" si="14"/>
        <v>0</v>
      </c>
      <c r="D113" s="77"/>
      <c r="E113" s="77"/>
      <c r="F113" s="77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</row>
    <row r="114" spans="1:45" hidden="1" outlineLevel="1" x14ac:dyDescent="0.25">
      <c r="A114" s="76"/>
      <c r="B114" s="76"/>
      <c r="C114" s="76">
        <f t="shared" si="14"/>
        <v>0</v>
      </c>
      <c r="D114" s="77"/>
      <c r="E114" s="77"/>
      <c r="F114" s="77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</row>
    <row r="115" spans="1:45" hidden="1" outlineLevel="1" x14ac:dyDescent="0.25">
      <c r="A115" s="76"/>
      <c r="B115" s="76"/>
      <c r="C115" s="76">
        <f t="shared" si="14"/>
        <v>0</v>
      </c>
      <c r="D115" s="77"/>
      <c r="E115" s="77"/>
      <c r="F115" s="77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</row>
    <row r="116" spans="1:45" hidden="1" outlineLevel="1" x14ac:dyDescent="0.25">
      <c r="A116" s="76"/>
      <c r="B116" s="76"/>
      <c r="C116" s="76">
        <f t="shared" si="14"/>
        <v>0</v>
      </c>
      <c r="D116" s="77"/>
      <c r="E116" s="77"/>
      <c r="F116" s="77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</row>
    <row r="117" spans="1:45" hidden="1" outlineLevel="1" x14ac:dyDescent="0.25">
      <c r="A117" s="76"/>
      <c r="B117" s="76"/>
      <c r="C117" s="76">
        <f t="shared" si="14"/>
        <v>0</v>
      </c>
      <c r="D117" s="77"/>
      <c r="E117" s="77"/>
      <c r="F117" s="77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</row>
    <row r="118" spans="1:45" hidden="1" outlineLevel="1" x14ac:dyDescent="0.25">
      <c r="A118" s="76"/>
      <c r="B118" s="76"/>
      <c r="C118" s="76">
        <f t="shared" si="14"/>
        <v>0</v>
      </c>
      <c r="D118" s="77"/>
      <c r="E118" s="77"/>
      <c r="F118" s="77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</row>
    <row r="119" spans="1:45" hidden="1" outlineLevel="1" x14ac:dyDescent="0.25">
      <c r="A119" s="76"/>
      <c r="B119" s="76"/>
      <c r="C119" s="76">
        <f t="shared" si="14"/>
        <v>0</v>
      </c>
      <c r="D119" s="77"/>
      <c r="E119" s="77"/>
      <c r="F119" s="77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</row>
    <row r="120" spans="1:45" hidden="1" outlineLevel="1" x14ac:dyDescent="0.25">
      <c r="A120" s="76"/>
      <c r="B120" s="76"/>
      <c r="C120" s="76">
        <f>SUM(G120:AT120)</f>
        <v>0</v>
      </c>
      <c r="D120" s="77"/>
      <c r="E120" s="77"/>
      <c r="F120" s="77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</row>
    <row r="121" spans="1:45" hidden="1" outlineLevel="1" x14ac:dyDescent="0.25">
      <c r="A121" s="76"/>
      <c r="B121" s="76"/>
      <c r="C121" s="76">
        <f>SUM(G121:AT121)</f>
        <v>0</v>
      </c>
      <c r="D121" s="77"/>
      <c r="E121" s="77"/>
      <c r="F121" s="77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</row>
    <row r="122" spans="1:45" hidden="1" outlineLevel="1" x14ac:dyDescent="0.25">
      <c r="A122" s="76"/>
      <c r="B122" s="76"/>
      <c r="C122" s="76">
        <f>SUM(G122:AT122)</f>
        <v>0</v>
      </c>
      <c r="D122" s="77"/>
      <c r="E122" s="77"/>
      <c r="F122" s="77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</row>
    <row r="123" spans="1:45" hidden="1" outlineLevel="1" x14ac:dyDescent="0.25">
      <c r="A123" s="76"/>
      <c r="B123" s="76"/>
      <c r="C123" s="76">
        <f>SUM(G123:AT123)</f>
        <v>0</v>
      </c>
      <c r="D123" s="77"/>
      <c r="E123" s="77"/>
      <c r="F123" s="77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</row>
    <row r="124" spans="1:45" hidden="1" outlineLevel="1" x14ac:dyDescent="0.25">
      <c r="A124" s="76"/>
      <c r="B124" s="76"/>
      <c r="C124" s="76">
        <f>SUM(G124:AT124)</f>
        <v>0</v>
      </c>
      <c r="D124" s="77"/>
      <c r="E124" s="77"/>
      <c r="F124" s="77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</row>
    <row r="125" spans="1:45" hidden="1" outlineLevel="1" x14ac:dyDescent="0.25">
      <c r="A125" s="76"/>
      <c r="B125" s="76"/>
      <c r="C125" s="76">
        <f t="shared" ref="C125:C128" si="15">SUM(G125:AT125)</f>
        <v>0</v>
      </c>
      <c r="D125" s="77"/>
      <c r="E125" s="77"/>
      <c r="F125" s="77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</row>
    <row r="126" spans="1:45" hidden="1" outlineLevel="1" x14ac:dyDescent="0.25">
      <c r="A126" s="76"/>
      <c r="B126" s="76"/>
      <c r="C126" s="76">
        <f t="shared" si="15"/>
        <v>0</v>
      </c>
      <c r="D126" s="77"/>
      <c r="E126" s="77"/>
      <c r="F126" s="77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</row>
    <row r="127" spans="1:45" hidden="1" outlineLevel="1" x14ac:dyDescent="0.25">
      <c r="A127" s="76"/>
      <c r="B127" s="76"/>
      <c r="C127" s="76">
        <f t="shared" si="15"/>
        <v>0</v>
      </c>
      <c r="D127" s="77"/>
      <c r="E127" s="77"/>
      <c r="F127" s="77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</row>
    <row r="128" spans="1:45" hidden="1" outlineLevel="1" x14ac:dyDescent="0.25">
      <c r="A128" s="76"/>
      <c r="B128" s="76"/>
      <c r="C128" s="76">
        <f t="shared" si="15"/>
        <v>0</v>
      </c>
      <c r="D128" s="77"/>
      <c r="E128" s="77"/>
      <c r="F128" s="77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</row>
    <row r="129" spans="1:45" hidden="1" outlineLevel="1" x14ac:dyDescent="0.25">
      <c r="A129" s="76"/>
      <c r="B129" s="76"/>
      <c r="C129" s="76">
        <f>SUM(G129:AT129)</f>
        <v>0</v>
      </c>
      <c r="D129" s="77"/>
      <c r="E129" s="77"/>
      <c r="F129" s="77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</row>
    <row r="130" spans="1:45" hidden="1" outlineLevel="1" x14ac:dyDescent="0.25">
      <c r="A130" s="76"/>
      <c r="B130" s="76"/>
      <c r="C130" s="76">
        <f t="shared" si="14"/>
        <v>0</v>
      </c>
      <c r="D130" s="77"/>
      <c r="E130" s="77"/>
      <c r="F130" s="77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</row>
    <row r="131" spans="1:45" hidden="1" outlineLevel="1" x14ac:dyDescent="0.25">
      <c r="A131" s="76"/>
      <c r="B131" s="76"/>
      <c r="C131" s="76">
        <f t="shared" si="14"/>
        <v>0</v>
      </c>
      <c r="D131" s="77"/>
      <c r="E131" s="77"/>
      <c r="F131" s="77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</row>
    <row r="132" spans="1:45" hidden="1" outlineLevel="1" x14ac:dyDescent="0.25">
      <c r="A132" s="76"/>
      <c r="B132" s="76"/>
      <c r="C132" s="76">
        <f>SUM(G132:AT132)</f>
        <v>0</v>
      </c>
      <c r="D132" s="77"/>
      <c r="E132" s="77"/>
      <c r="F132" s="77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</row>
    <row r="133" spans="1:45" hidden="1" outlineLevel="1" x14ac:dyDescent="0.25">
      <c r="A133" s="76"/>
      <c r="B133" s="76"/>
      <c r="C133" s="76">
        <f t="shared" ref="C133:C134" si="16">SUM(G133:AT133)</f>
        <v>0</v>
      </c>
      <c r="D133" s="77"/>
      <c r="E133" s="77"/>
      <c r="F133" s="77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</row>
    <row r="134" spans="1:45" hidden="1" outlineLevel="1" x14ac:dyDescent="0.25">
      <c r="A134" s="76"/>
      <c r="B134" s="76"/>
      <c r="C134" s="76">
        <f t="shared" si="16"/>
        <v>0</v>
      </c>
      <c r="D134" s="77"/>
      <c r="E134" s="77"/>
      <c r="F134" s="77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</row>
    <row r="135" spans="1:45" hidden="1" outlineLevel="1" x14ac:dyDescent="0.25">
      <c r="A135" s="76"/>
      <c r="B135" s="76"/>
      <c r="C135" s="76">
        <f t="shared" si="14"/>
        <v>0</v>
      </c>
      <c r="D135" s="77"/>
      <c r="E135" s="77"/>
      <c r="F135" s="77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</row>
    <row r="136" spans="1:45" hidden="1" outlineLevel="1" x14ac:dyDescent="0.25">
      <c r="A136" s="76"/>
      <c r="B136" s="76"/>
      <c r="C136" s="76">
        <f t="shared" ref="C136:C138" si="17">SUM(G136:AT136)</f>
        <v>0</v>
      </c>
      <c r="D136" s="77"/>
      <c r="E136" s="77"/>
      <c r="F136" s="77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</row>
    <row r="137" spans="1:45" hidden="1" outlineLevel="1" x14ac:dyDescent="0.25">
      <c r="A137" s="76"/>
      <c r="B137" s="76"/>
      <c r="C137" s="76">
        <f t="shared" si="17"/>
        <v>0</v>
      </c>
      <c r="D137" s="77"/>
      <c r="E137" s="77"/>
      <c r="F137" s="77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</row>
    <row r="138" spans="1:45" hidden="1" outlineLevel="1" x14ac:dyDescent="0.25">
      <c r="A138" s="76"/>
      <c r="B138" s="76"/>
      <c r="C138" s="76">
        <f t="shared" si="17"/>
        <v>0</v>
      </c>
      <c r="D138" s="77"/>
      <c r="E138" s="77"/>
      <c r="F138" s="77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</row>
    <row r="139" spans="1:45" hidden="1" outlineLevel="1" x14ac:dyDescent="0.25">
      <c r="A139" s="76"/>
      <c r="B139" s="76"/>
      <c r="C139" s="76">
        <f t="shared" si="14"/>
        <v>0</v>
      </c>
      <c r="D139" s="77"/>
      <c r="E139" s="77"/>
      <c r="F139" s="77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</row>
    <row r="140" spans="1:45" hidden="1" outlineLevel="1" x14ac:dyDescent="0.25">
      <c r="A140" s="76"/>
      <c r="B140" s="76"/>
      <c r="C140" s="76">
        <f t="shared" si="14"/>
        <v>0</v>
      </c>
      <c r="D140" s="77"/>
      <c r="E140" s="77"/>
      <c r="F140" s="77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</row>
    <row r="141" spans="1:45" hidden="1" outlineLevel="1" x14ac:dyDescent="0.25">
      <c r="A141" s="76"/>
      <c r="B141" s="76"/>
      <c r="C141" s="76">
        <f t="shared" ref="C141" si="18">SUM(G141:AT141)</f>
        <v>0</v>
      </c>
      <c r="D141" s="77"/>
      <c r="E141" s="77"/>
      <c r="F141" s="77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</row>
    <row r="142" spans="1:45" hidden="1" outlineLevel="1" x14ac:dyDescent="0.25">
      <c r="A142" s="78"/>
      <c r="B142" s="78"/>
      <c r="C142" s="78">
        <f t="shared" si="14"/>
        <v>0</v>
      </c>
      <c r="D142" s="79"/>
      <c r="E142" s="79"/>
      <c r="F142" s="79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</row>
    <row r="143" spans="1:45" s="35" customFormat="1" collapsed="1" x14ac:dyDescent="0.25">
      <c r="A143" s="72">
        <f>A111-B143-C143</f>
        <v>39161.385454545438</v>
      </c>
      <c r="B143" s="72">
        <f>-rcpNov</f>
        <v>0</v>
      </c>
      <c r="C143" s="72">
        <f>SUBTOTAL(9,C112:C142)</f>
        <v>0</v>
      </c>
      <c r="D143" s="73"/>
      <c r="E143" s="73" t="s">
        <v>76</v>
      </c>
      <c r="F143" s="73"/>
      <c r="G143" s="72">
        <f t="shared" ref="G143:AS143" si="19">SUBTOTAL(9,G112:G142)</f>
        <v>0</v>
      </c>
      <c r="H143" s="72">
        <f t="shared" si="19"/>
        <v>0</v>
      </c>
      <c r="I143" s="72">
        <f t="shared" si="19"/>
        <v>0</v>
      </c>
      <c r="J143" s="72">
        <f t="shared" si="19"/>
        <v>0</v>
      </c>
      <c r="K143" s="72">
        <f t="shared" si="19"/>
        <v>0</v>
      </c>
      <c r="L143" s="72">
        <f t="shared" si="19"/>
        <v>0</v>
      </c>
      <c r="M143" s="72">
        <f t="shared" si="19"/>
        <v>0</v>
      </c>
      <c r="N143" s="72">
        <f t="shared" si="19"/>
        <v>0</v>
      </c>
      <c r="O143" s="72">
        <f t="shared" si="19"/>
        <v>0</v>
      </c>
      <c r="P143" s="72">
        <f t="shared" si="19"/>
        <v>0</v>
      </c>
      <c r="Q143" s="72">
        <f t="shared" si="19"/>
        <v>0</v>
      </c>
      <c r="R143" s="72">
        <f t="shared" si="19"/>
        <v>0</v>
      </c>
      <c r="S143" s="72">
        <f t="shared" si="19"/>
        <v>0</v>
      </c>
      <c r="T143" s="72">
        <f t="shared" si="19"/>
        <v>0</v>
      </c>
      <c r="U143" s="72">
        <f t="shared" si="19"/>
        <v>0</v>
      </c>
      <c r="V143" s="72">
        <f t="shared" si="19"/>
        <v>0</v>
      </c>
      <c r="W143" s="72">
        <f t="shared" si="19"/>
        <v>0</v>
      </c>
      <c r="X143" s="72">
        <f t="shared" si="19"/>
        <v>0</v>
      </c>
      <c r="Y143" s="72">
        <f t="shared" si="19"/>
        <v>0</v>
      </c>
      <c r="Z143" s="72">
        <f t="shared" si="19"/>
        <v>0</v>
      </c>
      <c r="AA143" s="72">
        <f t="shared" si="19"/>
        <v>0</v>
      </c>
      <c r="AB143" s="72">
        <f t="shared" si="19"/>
        <v>0</v>
      </c>
      <c r="AC143" s="72">
        <f t="shared" si="19"/>
        <v>0</v>
      </c>
      <c r="AD143" s="72">
        <f t="shared" si="19"/>
        <v>0</v>
      </c>
      <c r="AE143" s="72">
        <f t="shared" si="19"/>
        <v>0</v>
      </c>
      <c r="AF143" s="72">
        <f t="shared" si="19"/>
        <v>0</v>
      </c>
      <c r="AG143" s="72">
        <f t="shared" si="19"/>
        <v>0</v>
      </c>
      <c r="AH143" s="72">
        <f t="shared" si="19"/>
        <v>0</v>
      </c>
      <c r="AI143" s="72">
        <f t="shared" si="19"/>
        <v>0</v>
      </c>
      <c r="AJ143" s="72">
        <f t="shared" si="19"/>
        <v>0</v>
      </c>
      <c r="AK143" s="72">
        <f t="shared" si="19"/>
        <v>0</v>
      </c>
      <c r="AL143" s="72">
        <f t="shared" si="19"/>
        <v>0</v>
      </c>
      <c r="AM143" s="72">
        <f t="shared" si="19"/>
        <v>0</v>
      </c>
      <c r="AN143" s="72">
        <f t="shared" si="19"/>
        <v>0</v>
      </c>
      <c r="AO143" s="72">
        <f t="shared" si="19"/>
        <v>0</v>
      </c>
      <c r="AP143" s="72">
        <f t="shared" si="19"/>
        <v>0</v>
      </c>
      <c r="AQ143" s="72">
        <f t="shared" si="19"/>
        <v>0</v>
      </c>
      <c r="AR143" s="72">
        <f t="shared" si="19"/>
        <v>0</v>
      </c>
      <c r="AS143" s="72">
        <f t="shared" si="19"/>
        <v>0</v>
      </c>
    </row>
    <row r="144" spans="1:45" hidden="1" outlineLevel="1" x14ac:dyDescent="0.25">
      <c r="A144" s="74"/>
      <c r="B144" s="74"/>
      <c r="C144" s="74">
        <f t="shared" ref="C144:C172" si="20">SUM(G144:AT144)</f>
        <v>0</v>
      </c>
      <c r="D144" s="75"/>
      <c r="E144" s="75"/>
      <c r="F144" s="75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</row>
    <row r="145" spans="1:45" hidden="1" outlineLevel="1" x14ac:dyDescent="0.25">
      <c r="A145" s="76"/>
      <c r="B145" s="76"/>
      <c r="C145" s="76">
        <f t="shared" si="20"/>
        <v>0</v>
      </c>
      <c r="D145" s="77"/>
      <c r="E145" s="77"/>
      <c r="F145" s="77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</row>
    <row r="146" spans="1:45" hidden="1" outlineLevel="1" x14ac:dyDescent="0.25">
      <c r="A146" s="76"/>
      <c r="B146" s="76"/>
      <c r="C146" s="76">
        <f t="shared" si="20"/>
        <v>0</v>
      </c>
      <c r="D146" s="77"/>
      <c r="E146" s="77"/>
      <c r="F146" s="77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</row>
    <row r="147" spans="1:45" hidden="1" outlineLevel="1" x14ac:dyDescent="0.25">
      <c r="A147" s="76"/>
      <c r="B147" s="76"/>
      <c r="C147" s="76">
        <f t="shared" si="20"/>
        <v>0</v>
      </c>
      <c r="D147" s="77"/>
      <c r="E147" s="77"/>
      <c r="F147" s="77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</row>
    <row r="148" spans="1:45" hidden="1" outlineLevel="1" x14ac:dyDescent="0.25">
      <c r="A148" s="76"/>
      <c r="B148" s="76"/>
      <c r="C148" s="76">
        <f t="shared" si="20"/>
        <v>0</v>
      </c>
      <c r="D148" s="77"/>
      <c r="E148" s="77"/>
      <c r="F148" s="77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</row>
    <row r="149" spans="1:45" hidden="1" outlineLevel="1" x14ac:dyDescent="0.25">
      <c r="A149" s="76"/>
      <c r="B149" s="76"/>
      <c r="C149" s="76">
        <f t="shared" si="20"/>
        <v>0</v>
      </c>
      <c r="D149" s="77"/>
      <c r="E149" s="77"/>
      <c r="F149" s="77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</row>
    <row r="150" spans="1:45" hidden="1" outlineLevel="1" x14ac:dyDescent="0.25">
      <c r="A150" s="76"/>
      <c r="B150" s="76"/>
      <c r="C150" s="76">
        <f t="shared" si="20"/>
        <v>0</v>
      </c>
      <c r="D150" s="77"/>
      <c r="E150" s="77"/>
      <c r="F150" s="77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</row>
    <row r="151" spans="1:45" hidden="1" outlineLevel="1" x14ac:dyDescent="0.25">
      <c r="A151" s="76"/>
      <c r="B151" s="76"/>
      <c r="C151" s="76">
        <f t="shared" si="20"/>
        <v>0</v>
      </c>
      <c r="D151" s="77"/>
      <c r="E151" s="77"/>
      <c r="F151" s="77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</row>
    <row r="152" spans="1:45" hidden="1" outlineLevel="1" x14ac:dyDescent="0.25">
      <c r="A152" s="76"/>
      <c r="B152" s="76"/>
      <c r="C152" s="76">
        <f t="shared" si="20"/>
        <v>0</v>
      </c>
      <c r="D152" s="77"/>
      <c r="E152" s="77"/>
      <c r="F152" s="77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</row>
    <row r="153" spans="1:45" hidden="1" outlineLevel="1" x14ac:dyDescent="0.25">
      <c r="A153" s="76"/>
      <c r="B153" s="76"/>
      <c r="C153" s="76">
        <f t="shared" si="20"/>
        <v>0</v>
      </c>
      <c r="D153" s="77"/>
      <c r="E153" s="77"/>
      <c r="F153" s="77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</row>
    <row r="154" spans="1:45" hidden="1" outlineLevel="1" x14ac:dyDescent="0.25">
      <c r="A154" s="76"/>
      <c r="B154" s="76"/>
      <c r="C154" s="76">
        <f t="shared" si="20"/>
        <v>0</v>
      </c>
      <c r="D154" s="77"/>
      <c r="E154" s="77"/>
      <c r="F154" s="77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</row>
    <row r="155" spans="1:45" hidden="1" outlineLevel="1" x14ac:dyDescent="0.25">
      <c r="A155" s="76"/>
      <c r="B155" s="76"/>
      <c r="C155" s="76">
        <f t="shared" si="20"/>
        <v>0</v>
      </c>
      <c r="D155" s="77"/>
      <c r="E155" s="77"/>
      <c r="F155" s="77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</row>
    <row r="156" spans="1:45" hidden="1" outlineLevel="1" x14ac:dyDescent="0.25">
      <c r="A156" s="76"/>
      <c r="B156" s="76"/>
      <c r="C156" s="76">
        <f t="shared" si="20"/>
        <v>0</v>
      </c>
      <c r="D156" s="77"/>
      <c r="E156" s="77"/>
      <c r="F156" s="77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</row>
    <row r="157" spans="1:45" hidden="1" outlineLevel="1" x14ac:dyDescent="0.25">
      <c r="A157" s="76"/>
      <c r="B157" s="76"/>
      <c r="C157" s="76">
        <f t="shared" si="20"/>
        <v>0</v>
      </c>
      <c r="D157" s="77"/>
      <c r="E157" s="77"/>
      <c r="F157" s="77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</row>
    <row r="158" spans="1:45" hidden="1" outlineLevel="1" x14ac:dyDescent="0.25">
      <c r="A158" s="76"/>
      <c r="B158" s="76"/>
      <c r="C158" s="76">
        <f t="shared" si="20"/>
        <v>0</v>
      </c>
      <c r="D158" s="77"/>
      <c r="E158" s="77"/>
      <c r="F158" s="77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</row>
    <row r="159" spans="1:45" hidden="1" outlineLevel="1" x14ac:dyDescent="0.25">
      <c r="A159" s="76"/>
      <c r="B159" s="76"/>
      <c r="C159" s="76">
        <f t="shared" si="20"/>
        <v>0</v>
      </c>
      <c r="D159" s="77"/>
      <c r="E159" s="77"/>
      <c r="F159" s="77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</row>
    <row r="160" spans="1:45" hidden="1" outlineLevel="1" x14ac:dyDescent="0.25">
      <c r="A160" s="76"/>
      <c r="B160" s="76"/>
      <c r="C160" s="76">
        <f t="shared" si="20"/>
        <v>0</v>
      </c>
      <c r="D160" s="77"/>
      <c r="E160" s="77"/>
      <c r="F160" s="77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</row>
    <row r="161" spans="1:45" hidden="1" outlineLevel="1" x14ac:dyDescent="0.25">
      <c r="A161" s="76"/>
      <c r="B161" s="76"/>
      <c r="C161" s="76">
        <f t="shared" si="20"/>
        <v>0</v>
      </c>
      <c r="D161" s="77"/>
      <c r="E161" s="77"/>
      <c r="F161" s="77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</row>
    <row r="162" spans="1:45" hidden="1" outlineLevel="1" x14ac:dyDescent="0.25">
      <c r="A162" s="76"/>
      <c r="B162" s="76"/>
      <c r="C162" s="76">
        <f t="shared" si="20"/>
        <v>0</v>
      </c>
      <c r="D162" s="77"/>
      <c r="E162" s="77"/>
      <c r="F162" s="77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</row>
    <row r="163" spans="1:45" hidden="1" outlineLevel="1" x14ac:dyDescent="0.25">
      <c r="A163" s="76"/>
      <c r="B163" s="76"/>
      <c r="C163" s="76">
        <f t="shared" si="20"/>
        <v>0</v>
      </c>
      <c r="D163" s="77"/>
      <c r="E163" s="77"/>
      <c r="F163" s="77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</row>
    <row r="164" spans="1:45" hidden="1" outlineLevel="1" x14ac:dyDescent="0.25">
      <c r="A164" s="76"/>
      <c r="B164" s="76"/>
      <c r="C164" s="76">
        <f t="shared" si="20"/>
        <v>0</v>
      </c>
      <c r="D164" s="77"/>
      <c r="E164" s="77"/>
      <c r="F164" s="77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</row>
    <row r="165" spans="1:45" hidden="1" outlineLevel="1" x14ac:dyDescent="0.25">
      <c r="A165" s="76"/>
      <c r="B165" s="76"/>
      <c r="C165" s="76">
        <f t="shared" si="20"/>
        <v>0</v>
      </c>
      <c r="D165" s="77"/>
      <c r="E165" s="77"/>
      <c r="F165" s="77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</row>
    <row r="166" spans="1:45" hidden="1" outlineLevel="1" x14ac:dyDescent="0.25">
      <c r="A166" s="76"/>
      <c r="B166" s="76"/>
      <c r="C166" s="76">
        <f t="shared" ref="C166:C168" si="21">SUM(G166:AT166)</f>
        <v>0</v>
      </c>
      <c r="D166" s="77"/>
      <c r="E166" s="77"/>
      <c r="F166" s="77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</row>
    <row r="167" spans="1:45" hidden="1" outlineLevel="1" x14ac:dyDescent="0.25">
      <c r="A167" s="76"/>
      <c r="B167" s="76"/>
      <c r="C167" s="76">
        <f t="shared" si="21"/>
        <v>0</v>
      </c>
      <c r="D167" s="77"/>
      <c r="E167" s="77"/>
      <c r="F167" s="77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</row>
    <row r="168" spans="1:45" hidden="1" outlineLevel="1" x14ac:dyDescent="0.25">
      <c r="A168" s="76"/>
      <c r="B168" s="76"/>
      <c r="C168" s="76">
        <f t="shared" si="21"/>
        <v>0</v>
      </c>
      <c r="D168" s="77"/>
      <c r="E168" s="77"/>
      <c r="F168" s="77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</row>
    <row r="169" spans="1:45" hidden="1" outlineLevel="1" x14ac:dyDescent="0.25">
      <c r="A169" s="76"/>
      <c r="B169" s="76"/>
      <c r="C169" s="76">
        <f t="shared" si="20"/>
        <v>0</v>
      </c>
      <c r="D169" s="77"/>
      <c r="E169" s="77"/>
      <c r="F169" s="77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</row>
    <row r="170" spans="1:45" hidden="1" outlineLevel="1" x14ac:dyDescent="0.25">
      <c r="A170" s="76"/>
      <c r="B170" s="76"/>
      <c r="C170" s="76">
        <f t="shared" si="20"/>
        <v>0</v>
      </c>
      <c r="D170" s="77"/>
      <c r="E170" s="77"/>
      <c r="F170" s="77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</row>
    <row r="171" spans="1:45" hidden="1" outlineLevel="1" x14ac:dyDescent="0.25">
      <c r="A171" s="76"/>
      <c r="B171" s="76"/>
      <c r="C171" s="76">
        <f t="shared" si="20"/>
        <v>0</v>
      </c>
      <c r="D171" s="77"/>
      <c r="E171" s="77"/>
      <c r="F171" s="77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</row>
    <row r="172" spans="1:45" hidden="1" outlineLevel="1" x14ac:dyDescent="0.25">
      <c r="A172" s="78"/>
      <c r="B172" s="78"/>
      <c r="C172" s="78">
        <f t="shared" si="20"/>
        <v>0</v>
      </c>
      <c r="D172" s="79"/>
      <c r="E172" s="79"/>
      <c r="F172" s="79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</row>
    <row r="173" spans="1:45" s="35" customFormat="1" collapsed="1" x14ac:dyDescent="0.25">
      <c r="A173" s="72">
        <f>A143-B173-C173</f>
        <v>39161.385454545438</v>
      </c>
      <c r="B173" s="72">
        <f>-rcpDec</f>
        <v>0</v>
      </c>
      <c r="C173" s="72">
        <f>SUBTOTAL(9,C144:C172)</f>
        <v>0</v>
      </c>
      <c r="D173" s="73"/>
      <c r="E173" s="73" t="s">
        <v>77</v>
      </c>
      <c r="F173" s="73"/>
      <c r="G173" s="72">
        <f t="shared" ref="G173:AS173" si="22">SUBTOTAL(9,G144:G172)</f>
        <v>0</v>
      </c>
      <c r="H173" s="72">
        <f t="shared" si="22"/>
        <v>0</v>
      </c>
      <c r="I173" s="72">
        <f t="shared" si="22"/>
        <v>0</v>
      </c>
      <c r="J173" s="72">
        <f t="shared" si="22"/>
        <v>0</v>
      </c>
      <c r="K173" s="72">
        <f t="shared" si="22"/>
        <v>0</v>
      </c>
      <c r="L173" s="72">
        <f t="shared" si="22"/>
        <v>0</v>
      </c>
      <c r="M173" s="72">
        <f t="shared" si="22"/>
        <v>0</v>
      </c>
      <c r="N173" s="72">
        <f t="shared" si="22"/>
        <v>0</v>
      </c>
      <c r="O173" s="72">
        <f t="shared" si="22"/>
        <v>0</v>
      </c>
      <c r="P173" s="72">
        <f t="shared" si="22"/>
        <v>0</v>
      </c>
      <c r="Q173" s="72">
        <f t="shared" si="22"/>
        <v>0</v>
      </c>
      <c r="R173" s="72">
        <f t="shared" si="22"/>
        <v>0</v>
      </c>
      <c r="S173" s="72">
        <f t="shared" si="22"/>
        <v>0</v>
      </c>
      <c r="T173" s="72">
        <f t="shared" si="22"/>
        <v>0</v>
      </c>
      <c r="U173" s="72">
        <f t="shared" si="22"/>
        <v>0</v>
      </c>
      <c r="V173" s="72">
        <f t="shared" si="22"/>
        <v>0</v>
      </c>
      <c r="W173" s="72">
        <f t="shared" si="22"/>
        <v>0</v>
      </c>
      <c r="X173" s="72">
        <f t="shared" si="22"/>
        <v>0</v>
      </c>
      <c r="Y173" s="72">
        <f t="shared" si="22"/>
        <v>0</v>
      </c>
      <c r="Z173" s="72">
        <f t="shared" si="22"/>
        <v>0</v>
      </c>
      <c r="AA173" s="72">
        <f t="shared" si="22"/>
        <v>0</v>
      </c>
      <c r="AB173" s="72">
        <f t="shared" si="22"/>
        <v>0</v>
      </c>
      <c r="AC173" s="72">
        <f t="shared" si="22"/>
        <v>0</v>
      </c>
      <c r="AD173" s="72">
        <f t="shared" si="22"/>
        <v>0</v>
      </c>
      <c r="AE173" s="72">
        <f t="shared" si="22"/>
        <v>0</v>
      </c>
      <c r="AF173" s="72">
        <f t="shared" si="22"/>
        <v>0</v>
      </c>
      <c r="AG173" s="72">
        <f t="shared" si="22"/>
        <v>0</v>
      </c>
      <c r="AH173" s="72">
        <f t="shared" si="22"/>
        <v>0</v>
      </c>
      <c r="AI173" s="72">
        <f t="shared" si="22"/>
        <v>0</v>
      </c>
      <c r="AJ173" s="72">
        <f t="shared" si="22"/>
        <v>0</v>
      </c>
      <c r="AK173" s="72">
        <f t="shared" si="22"/>
        <v>0</v>
      </c>
      <c r="AL173" s="72">
        <f t="shared" si="22"/>
        <v>0</v>
      </c>
      <c r="AM173" s="72">
        <f t="shared" si="22"/>
        <v>0</v>
      </c>
      <c r="AN173" s="72">
        <f t="shared" si="22"/>
        <v>0</v>
      </c>
      <c r="AO173" s="72">
        <f t="shared" si="22"/>
        <v>0</v>
      </c>
      <c r="AP173" s="72">
        <f t="shared" si="22"/>
        <v>0</v>
      </c>
      <c r="AQ173" s="72">
        <f t="shared" si="22"/>
        <v>0</v>
      </c>
      <c r="AR173" s="72">
        <f t="shared" si="22"/>
        <v>0</v>
      </c>
      <c r="AS173" s="72">
        <f t="shared" si="22"/>
        <v>0</v>
      </c>
    </row>
    <row r="174" spans="1:45" s="35" customFormat="1" x14ac:dyDescent="0.25">
      <c r="A174" s="80"/>
      <c r="B174" s="44">
        <f>SUBTOTAL(9,B91:B173)</f>
        <v>-58489.320000000007</v>
      </c>
      <c r="C174" s="44">
        <f>SUBTOTAL(9,C91:C173)</f>
        <v>95847.44</v>
      </c>
      <c r="D174" s="82"/>
      <c r="E174" s="81" t="s">
        <v>78</v>
      </c>
      <c r="F174" s="82"/>
      <c r="G174" s="44">
        <f t="shared" ref="G174:AS174" si="23">SUBTOTAL(9,G91:G173)</f>
        <v>0</v>
      </c>
      <c r="H174" s="44">
        <f t="shared" si="23"/>
        <v>485.08</v>
      </c>
      <c r="I174" s="44">
        <f t="shared" si="23"/>
        <v>0</v>
      </c>
      <c r="J174" s="44">
        <f t="shared" si="23"/>
        <v>0</v>
      </c>
      <c r="K174" s="44">
        <f t="shared" si="23"/>
        <v>0</v>
      </c>
      <c r="L174" s="44">
        <f t="shared" si="23"/>
        <v>0</v>
      </c>
      <c r="M174" s="44">
        <f t="shared" si="23"/>
        <v>1100</v>
      </c>
      <c r="N174" s="44">
        <f t="shared" si="23"/>
        <v>0</v>
      </c>
      <c r="O174" s="44">
        <f t="shared" si="23"/>
        <v>0</v>
      </c>
      <c r="P174" s="44">
        <f t="shared" si="23"/>
        <v>0</v>
      </c>
      <c r="Q174" s="44">
        <f t="shared" si="23"/>
        <v>0</v>
      </c>
      <c r="R174" s="44">
        <f t="shared" si="23"/>
        <v>0</v>
      </c>
      <c r="S174" s="44">
        <f t="shared" si="23"/>
        <v>1180.3499999999999</v>
      </c>
      <c r="T174" s="44">
        <f t="shared" si="23"/>
        <v>4851.9400000000005</v>
      </c>
      <c r="U174" s="44">
        <f t="shared" si="23"/>
        <v>6049.67</v>
      </c>
      <c r="V174" s="44">
        <f t="shared" si="23"/>
        <v>7722.65</v>
      </c>
      <c r="W174" s="44">
        <f t="shared" si="23"/>
        <v>6718.1900000000005</v>
      </c>
      <c r="X174" s="44">
        <f t="shared" si="23"/>
        <v>4283.22</v>
      </c>
      <c r="Y174" s="44">
        <f t="shared" si="23"/>
        <v>5037.3700000000008</v>
      </c>
      <c r="Z174" s="44">
        <f t="shared" si="23"/>
        <v>0</v>
      </c>
      <c r="AA174" s="44">
        <f t="shared" si="23"/>
        <v>0</v>
      </c>
      <c r="AB174" s="44">
        <f t="shared" si="23"/>
        <v>4850.8599999999997</v>
      </c>
      <c r="AC174" s="44">
        <f t="shared" si="23"/>
        <v>0</v>
      </c>
      <c r="AD174" s="44">
        <f t="shared" si="23"/>
        <v>0</v>
      </c>
      <c r="AE174" s="44">
        <f t="shared" si="23"/>
        <v>4802.0499999999993</v>
      </c>
      <c r="AF174" s="44">
        <f t="shared" si="23"/>
        <v>3273.38</v>
      </c>
      <c r="AG174" s="44">
        <f t="shared" si="23"/>
        <v>3273.38</v>
      </c>
      <c r="AH174" s="44">
        <f t="shared" si="23"/>
        <v>3346.25</v>
      </c>
      <c r="AI174" s="44">
        <f t="shared" si="23"/>
        <v>2978.9100000000003</v>
      </c>
      <c r="AJ174" s="44">
        <f t="shared" si="23"/>
        <v>1825.78</v>
      </c>
      <c r="AK174" s="44">
        <f t="shared" si="23"/>
        <v>2577.6800000000003</v>
      </c>
      <c r="AL174" s="44">
        <f t="shared" si="23"/>
        <v>2577.6800000000003</v>
      </c>
      <c r="AM174" s="44">
        <f t="shared" si="23"/>
        <v>0</v>
      </c>
      <c r="AN174" s="44">
        <f t="shared" si="23"/>
        <v>0</v>
      </c>
      <c r="AO174" s="44">
        <f t="shared" si="23"/>
        <v>28913</v>
      </c>
      <c r="AP174" s="44">
        <f t="shared" si="23"/>
        <v>0</v>
      </c>
      <c r="AQ174" s="44">
        <f t="shared" si="23"/>
        <v>0</v>
      </c>
      <c r="AR174" s="44">
        <f t="shared" si="23"/>
        <v>0</v>
      </c>
      <c r="AS174" s="44">
        <f t="shared" si="23"/>
        <v>0</v>
      </c>
    </row>
    <row r="175" spans="1:45" hidden="1" outlineLevel="1" x14ac:dyDescent="0.25">
      <c r="A175" s="74"/>
      <c r="B175" s="74"/>
      <c r="C175" s="74">
        <f t="shared" ref="C175:C203" si="24">SUM(G175:AT175)</f>
        <v>0</v>
      </c>
      <c r="D175" s="75"/>
      <c r="E175" s="75"/>
      <c r="F175" s="75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</row>
    <row r="176" spans="1:45" hidden="1" outlineLevel="1" x14ac:dyDescent="0.25">
      <c r="A176" s="76"/>
      <c r="B176" s="76"/>
      <c r="C176" s="76">
        <f t="shared" si="24"/>
        <v>0</v>
      </c>
      <c r="D176" s="77"/>
      <c r="E176" s="77"/>
      <c r="F176" s="77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</row>
    <row r="177" spans="1:45" hidden="1" outlineLevel="1" x14ac:dyDescent="0.25">
      <c r="A177" s="76"/>
      <c r="B177" s="76"/>
      <c r="C177" s="76">
        <f t="shared" si="24"/>
        <v>0</v>
      </c>
      <c r="D177" s="77"/>
      <c r="E177" s="77"/>
      <c r="F177" s="77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</row>
    <row r="178" spans="1:45" hidden="1" outlineLevel="1" x14ac:dyDescent="0.25">
      <c r="A178" s="76"/>
      <c r="B178" s="76"/>
      <c r="C178" s="76">
        <f t="shared" si="24"/>
        <v>0</v>
      </c>
      <c r="D178" s="77"/>
      <c r="E178" s="77"/>
      <c r="F178" s="77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</row>
    <row r="179" spans="1:45" hidden="1" outlineLevel="1" x14ac:dyDescent="0.25">
      <c r="A179" s="76"/>
      <c r="B179" s="76"/>
      <c r="C179" s="76">
        <f t="shared" si="24"/>
        <v>0</v>
      </c>
      <c r="D179" s="77"/>
      <c r="E179" s="77"/>
      <c r="F179" s="77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</row>
    <row r="180" spans="1:45" hidden="1" outlineLevel="1" x14ac:dyDescent="0.25">
      <c r="A180" s="76"/>
      <c r="B180" s="76"/>
      <c r="C180" s="76">
        <f t="shared" si="24"/>
        <v>0</v>
      </c>
      <c r="D180" s="77"/>
      <c r="E180" s="77"/>
      <c r="F180" s="77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</row>
    <row r="181" spans="1:45" hidden="1" outlineLevel="1" x14ac:dyDescent="0.25">
      <c r="A181" s="76"/>
      <c r="B181" s="76"/>
      <c r="C181" s="76">
        <f t="shared" si="24"/>
        <v>0</v>
      </c>
      <c r="D181" s="77"/>
      <c r="E181" s="77"/>
      <c r="F181" s="77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</row>
    <row r="182" spans="1:45" hidden="1" outlineLevel="1" x14ac:dyDescent="0.25">
      <c r="A182" s="76"/>
      <c r="B182" s="76"/>
      <c r="C182" s="76">
        <f t="shared" si="24"/>
        <v>0</v>
      </c>
      <c r="D182" s="77"/>
      <c r="E182" s="77"/>
      <c r="F182" s="77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</row>
    <row r="183" spans="1:45" hidden="1" outlineLevel="1" x14ac:dyDescent="0.25">
      <c r="A183" s="76"/>
      <c r="B183" s="76"/>
      <c r="C183" s="76">
        <f t="shared" si="24"/>
        <v>0</v>
      </c>
      <c r="D183" s="77"/>
      <c r="E183" s="77"/>
      <c r="F183" s="77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</row>
    <row r="184" spans="1:45" hidden="1" outlineLevel="1" x14ac:dyDescent="0.25">
      <c r="A184" s="76"/>
      <c r="B184" s="76"/>
      <c r="C184" s="76">
        <f t="shared" si="24"/>
        <v>0</v>
      </c>
      <c r="D184" s="77"/>
      <c r="E184" s="77"/>
      <c r="F184" s="77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</row>
    <row r="185" spans="1:45" hidden="1" outlineLevel="1" x14ac:dyDescent="0.25">
      <c r="A185" s="76"/>
      <c r="B185" s="76"/>
      <c r="C185" s="76">
        <f t="shared" si="24"/>
        <v>0</v>
      </c>
      <c r="D185" s="77"/>
      <c r="E185" s="77"/>
      <c r="F185" s="77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</row>
    <row r="186" spans="1:45" hidden="1" outlineLevel="1" x14ac:dyDescent="0.25">
      <c r="A186" s="76"/>
      <c r="B186" s="76"/>
      <c r="C186" s="76">
        <f t="shared" si="24"/>
        <v>0</v>
      </c>
      <c r="D186" s="77"/>
      <c r="E186" s="77"/>
      <c r="F186" s="77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</row>
    <row r="187" spans="1:45" hidden="1" outlineLevel="1" x14ac:dyDescent="0.25">
      <c r="A187" s="76"/>
      <c r="B187" s="76"/>
      <c r="C187" s="76">
        <f t="shared" si="24"/>
        <v>0</v>
      </c>
      <c r="D187" s="77"/>
      <c r="E187" s="77"/>
      <c r="F187" s="77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</row>
    <row r="188" spans="1:45" hidden="1" outlineLevel="1" x14ac:dyDescent="0.25">
      <c r="A188" s="76"/>
      <c r="B188" s="76"/>
      <c r="C188" s="76">
        <f t="shared" si="24"/>
        <v>0</v>
      </c>
      <c r="D188" s="77"/>
      <c r="E188" s="77"/>
      <c r="F188" s="77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</row>
    <row r="189" spans="1:45" hidden="1" outlineLevel="1" x14ac:dyDescent="0.25">
      <c r="A189" s="76"/>
      <c r="B189" s="76"/>
      <c r="C189" s="76">
        <f t="shared" si="24"/>
        <v>0</v>
      </c>
      <c r="D189" s="77"/>
      <c r="E189" s="77"/>
      <c r="F189" s="77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</row>
    <row r="190" spans="1:45" hidden="1" outlineLevel="1" x14ac:dyDescent="0.25">
      <c r="A190" s="76"/>
      <c r="B190" s="76"/>
      <c r="C190" s="76">
        <f t="shared" si="24"/>
        <v>0</v>
      </c>
      <c r="D190" s="77"/>
      <c r="E190" s="77"/>
      <c r="F190" s="77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</row>
    <row r="191" spans="1:45" hidden="1" outlineLevel="1" x14ac:dyDescent="0.25">
      <c r="A191" s="76"/>
      <c r="B191" s="76"/>
      <c r="C191" s="76">
        <f t="shared" si="24"/>
        <v>0</v>
      </c>
      <c r="D191" s="77"/>
      <c r="E191" s="77"/>
      <c r="F191" s="77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</row>
    <row r="192" spans="1:45" hidden="1" outlineLevel="1" x14ac:dyDescent="0.25">
      <c r="A192" s="76"/>
      <c r="B192" s="76"/>
      <c r="C192" s="76">
        <f t="shared" si="24"/>
        <v>0</v>
      </c>
      <c r="D192" s="77"/>
      <c r="E192" s="77"/>
      <c r="F192" s="77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</row>
    <row r="193" spans="1:45" hidden="1" outlineLevel="1" x14ac:dyDescent="0.25">
      <c r="A193" s="76"/>
      <c r="B193" s="76"/>
      <c r="C193" s="76">
        <f t="shared" ref="C193:C194" si="25">SUM(G193:AT193)</f>
        <v>0</v>
      </c>
      <c r="D193" s="77"/>
      <c r="E193" s="77"/>
      <c r="F193" s="77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</row>
    <row r="194" spans="1:45" hidden="1" outlineLevel="1" x14ac:dyDescent="0.25">
      <c r="A194" s="76"/>
      <c r="B194" s="76"/>
      <c r="C194" s="76">
        <f t="shared" si="25"/>
        <v>0</v>
      </c>
      <c r="D194" s="77"/>
      <c r="E194" s="77"/>
      <c r="F194" s="77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</row>
    <row r="195" spans="1:45" hidden="1" outlineLevel="1" x14ac:dyDescent="0.25">
      <c r="A195" s="76"/>
      <c r="B195" s="76"/>
      <c r="C195" s="76">
        <f t="shared" ref="C195:C196" si="26">SUM(G195:AT195)</f>
        <v>0</v>
      </c>
      <c r="D195" s="77"/>
      <c r="E195" s="77"/>
      <c r="F195" s="77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</row>
    <row r="196" spans="1:45" hidden="1" outlineLevel="1" x14ac:dyDescent="0.25">
      <c r="A196" s="76"/>
      <c r="B196" s="76"/>
      <c r="C196" s="76">
        <f t="shared" si="26"/>
        <v>0</v>
      </c>
      <c r="D196" s="77"/>
      <c r="E196" s="77"/>
      <c r="F196" s="77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</row>
    <row r="197" spans="1:45" hidden="1" outlineLevel="1" x14ac:dyDescent="0.25">
      <c r="A197" s="76"/>
      <c r="B197" s="76"/>
      <c r="C197" s="76">
        <f t="shared" ref="C197:C198" si="27">SUM(G197:AT197)</f>
        <v>0</v>
      </c>
      <c r="D197" s="77"/>
      <c r="E197" s="77"/>
      <c r="F197" s="231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</row>
    <row r="198" spans="1:45" hidden="1" outlineLevel="1" x14ac:dyDescent="0.25">
      <c r="A198" s="76"/>
      <c r="B198" s="76"/>
      <c r="C198" s="76">
        <f t="shared" si="27"/>
        <v>0</v>
      </c>
      <c r="D198" s="77"/>
      <c r="E198" s="77"/>
      <c r="F198" s="77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</row>
    <row r="199" spans="1:45" hidden="1" outlineLevel="1" x14ac:dyDescent="0.25">
      <c r="A199" s="76"/>
      <c r="B199" s="76"/>
      <c r="C199" s="76">
        <f t="shared" ref="C199:C200" si="28">SUM(G199:AT199)</f>
        <v>0</v>
      </c>
      <c r="D199" s="77"/>
      <c r="E199" s="77"/>
      <c r="F199" s="77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</row>
    <row r="200" spans="1:45" hidden="1" outlineLevel="1" x14ac:dyDescent="0.25">
      <c r="A200" s="76"/>
      <c r="B200" s="76"/>
      <c r="C200" s="76">
        <f t="shared" si="28"/>
        <v>0</v>
      </c>
      <c r="D200" s="77"/>
      <c r="E200" s="77"/>
      <c r="F200" s="77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</row>
    <row r="201" spans="1:45" hidden="1" outlineLevel="1" x14ac:dyDescent="0.25">
      <c r="A201" s="76"/>
      <c r="B201" s="76"/>
      <c r="C201" s="76">
        <f t="shared" si="24"/>
        <v>0</v>
      </c>
      <c r="D201" s="77"/>
      <c r="E201" s="77"/>
      <c r="F201" s="77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</row>
    <row r="202" spans="1:45" hidden="1" outlineLevel="1" x14ac:dyDescent="0.25">
      <c r="A202" s="76"/>
      <c r="B202" s="76"/>
      <c r="C202" s="76">
        <f t="shared" si="24"/>
        <v>0</v>
      </c>
      <c r="D202" s="77"/>
      <c r="E202" s="77"/>
      <c r="F202" s="77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</row>
    <row r="203" spans="1:45" hidden="1" outlineLevel="1" x14ac:dyDescent="0.25">
      <c r="A203" s="78"/>
      <c r="B203" s="78"/>
      <c r="C203" s="78">
        <f t="shared" si="24"/>
        <v>0</v>
      </c>
      <c r="D203" s="79"/>
      <c r="E203" s="79"/>
      <c r="F203" s="79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</row>
    <row r="204" spans="1:45" s="35" customFormat="1" collapsed="1" x14ac:dyDescent="0.25">
      <c r="A204" s="72">
        <f>A173-B204-C204</f>
        <v>39161.385454545438</v>
      </c>
      <c r="B204" s="72">
        <f>-rcpJan</f>
        <v>0</v>
      </c>
      <c r="C204" s="72">
        <f>SUBTOTAL(9,C175:C203)</f>
        <v>0</v>
      </c>
      <c r="D204" s="73"/>
      <c r="E204" s="73" t="s">
        <v>79</v>
      </c>
      <c r="F204" s="73"/>
      <c r="G204" s="72">
        <f t="shared" ref="G204:AS204" si="29">SUBTOTAL(9,G175:G203)</f>
        <v>0</v>
      </c>
      <c r="H204" s="72">
        <f t="shared" si="29"/>
        <v>0</v>
      </c>
      <c r="I204" s="72">
        <f t="shared" si="29"/>
        <v>0</v>
      </c>
      <c r="J204" s="72">
        <f t="shared" si="29"/>
        <v>0</v>
      </c>
      <c r="K204" s="72">
        <f t="shared" si="29"/>
        <v>0</v>
      </c>
      <c r="L204" s="72">
        <f t="shared" si="29"/>
        <v>0</v>
      </c>
      <c r="M204" s="72">
        <f t="shared" si="29"/>
        <v>0</v>
      </c>
      <c r="N204" s="72">
        <f t="shared" si="29"/>
        <v>0</v>
      </c>
      <c r="O204" s="72">
        <f t="shared" si="29"/>
        <v>0</v>
      </c>
      <c r="P204" s="72">
        <f t="shared" si="29"/>
        <v>0</v>
      </c>
      <c r="Q204" s="72">
        <f t="shared" si="29"/>
        <v>0</v>
      </c>
      <c r="R204" s="72">
        <f t="shared" si="29"/>
        <v>0</v>
      </c>
      <c r="S204" s="72">
        <f t="shared" si="29"/>
        <v>0</v>
      </c>
      <c r="T204" s="72">
        <f t="shared" si="29"/>
        <v>0</v>
      </c>
      <c r="U204" s="72">
        <f t="shared" si="29"/>
        <v>0</v>
      </c>
      <c r="V204" s="72">
        <f t="shared" ref="V204:W204" si="30">SUBTOTAL(9,V175:V203)</f>
        <v>0</v>
      </c>
      <c r="W204" s="72">
        <f t="shared" si="30"/>
        <v>0</v>
      </c>
      <c r="X204" s="72">
        <f t="shared" ref="X204:Z204" si="31">SUBTOTAL(9,X175:X203)</f>
        <v>0</v>
      </c>
      <c r="Y204" s="72">
        <f t="shared" si="29"/>
        <v>0</v>
      </c>
      <c r="Z204" s="72">
        <f t="shared" si="31"/>
        <v>0</v>
      </c>
      <c r="AA204" s="72">
        <f t="shared" si="29"/>
        <v>0</v>
      </c>
      <c r="AB204" s="72">
        <f t="shared" si="29"/>
        <v>0</v>
      </c>
      <c r="AC204" s="72">
        <f t="shared" si="29"/>
        <v>0</v>
      </c>
      <c r="AD204" s="72">
        <f>SUBTOTAL(9,AD175:AD203)</f>
        <v>0</v>
      </c>
      <c r="AE204" s="72">
        <f t="shared" si="29"/>
        <v>0</v>
      </c>
      <c r="AF204" s="72">
        <f t="shared" si="29"/>
        <v>0</v>
      </c>
      <c r="AG204" s="72">
        <f t="shared" si="29"/>
        <v>0</v>
      </c>
      <c r="AH204" s="72">
        <f>SUBTOTAL(9,AH175:AH203)</f>
        <v>0</v>
      </c>
      <c r="AI204" s="72">
        <f t="shared" ref="AI204:AJ204" si="32">SUBTOTAL(9,AI175:AI203)</f>
        <v>0</v>
      </c>
      <c r="AJ204" s="72">
        <f t="shared" si="32"/>
        <v>0</v>
      </c>
      <c r="AK204" s="72">
        <f t="shared" si="29"/>
        <v>0</v>
      </c>
      <c r="AL204" s="72">
        <f t="shared" si="29"/>
        <v>0</v>
      </c>
      <c r="AM204" s="72">
        <f t="shared" si="29"/>
        <v>0</v>
      </c>
      <c r="AN204" s="72">
        <f t="shared" si="29"/>
        <v>0</v>
      </c>
      <c r="AO204" s="72">
        <f t="shared" si="29"/>
        <v>0</v>
      </c>
      <c r="AP204" s="72">
        <f t="shared" si="29"/>
        <v>0</v>
      </c>
      <c r="AQ204" s="72">
        <f t="shared" si="29"/>
        <v>0</v>
      </c>
      <c r="AR204" s="72">
        <f t="shared" si="29"/>
        <v>0</v>
      </c>
      <c r="AS204" s="72">
        <f t="shared" si="29"/>
        <v>0</v>
      </c>
    </row>
    <row r="205" spans="1:45" hidden="1" outlineLevel="1" x14ac:dyDescent="0.25">
      <c r="A205" s="74"/>
      <c r="B205" s="74"/>
      <c r="C205" s="74">
        <f t="shared" ref="C205:C225" si="33">SUM(G205:AT205)</f>
        <v>0</v>
      </c>
      <c r="D205" s="75"/>
      <c r="E205" s="75"/>
      <c r="F205" s="75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</row>
    <row r="206" spans="1:45" hidden="1" outlineLevel="1" x14ac:dyDescent="0.25">
      <c r="A206" s="76"/>
      <c r="B206" s="76"/>
      <c r="C206" s="76">
        <f t="shared" si="33"/>
        <v>0</v>
      </c>
      <c r="D206" s="77"/>
      <c r="E206" s="77"/>
      <c r="F206" s="77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</row>
    <row r="207" spans="1:45" hidden="1" outlineLevel="1" x14ac:dyDescent="0.25">
      <c r="A207" s="76"/>
      <c r="B207" s="76"/>
      <c r="C207" s="76">
        <f t="shared" si="33"/>
        <v>0</v>
      </c>
      <c r="D207" s="77"/>
      <c r="E207" s="77"/>
      <c r="F207" s="77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</row>
    <row r="208" spans="1:45" hidden="1" outlineLevel="1" x14ac:dyDescent="0.25">
      <c r="A208" s="76"/>
      <c r="B208" s="76"/>
      <c r="C208" s="76">
        <f t="shared" si="33"/>
        <v>0</v>
      </c>
      <c r="D208" s="77"/>
      <c r="E208" s="77"/>
      <c r="F208" s="77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</row>
    <row r="209" spans="1:45" hidden="1" outlineLevel="1" x14ac:dyDescent="0.25">
      <c r="A209" s="76"/>
      <c r="B209" s="76"/>
      <c r="C209" s="76">
        <f t="shared" si="33"/>
        <v>0</v>
      </c>
      <c r="D209" s="77"/>
      <c r="E209" s="77"/>
      <c r="F209" s="77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</row>
    <row r="210" spans="1:45" hidden="1" outlineLevel="1" x14ac:dyDescent="0.25">
      <c r="A210" s="76"/>
      <c r="B210" s="76"/>
      <c r="C210" s="76">
        <f t="shared" si="33"/>
        <v>0</v>
      </c>
      <c r="D210" s="77"/>
      <c r="E210" s="77"/>
      <c r="F210" s="77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</row>
    <row r="211" spans="1:45" hidden="1" outlineLevel="1" x14ac:dyDescent="0.25">
      <c r="A211" s="76"/>
      <c r="B211" s="76"/>
      <c r="C211" s="76">
        <f t="shared" si="33"/>
        <v>0</v>
      </c>
      <c r="D211" s="77"/>
      <c r="E211" s="77"/>
      <c r="F211" s="77"/>
      <c r="G211" s="84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</row>
    <row r="212" spans="1:45" hidden="1" outlineLevel="1" x14ac:dyDescent="0.25">
      <c r="A212" s="76"/>
      <c r="B212" s="76"/>
      <c r="C212" s="76">
        <f t="shared" si="33"/>
        <v>0</v>
      </c>
      <c r="D212" s="77"/>
      <c r="E212" s="77"/>
      <c r="F212" s="77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</row>
    <row r="213" spans="1:45" hidden="1" outlineLevel="1" x14ac:dyDescent="0.25">
      <c r="A213" s="76"/>
      <c r="B213" s="76"/>
      <c r="C213" s="76">
        <f t="shared" si="33"/>
        <v>0</v>
      </c>
      <c r="D213" s="77"/>
      <c r="E213" s="77"/>
      <c r="F213" s="77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</row>
    <row r="214" spans="1:45" hidden="1" outlineLevel="1" x14ac:dyDescent="0.25">
      <c r="A214" s="76"/>
      <c r="B214" s="76"/>
      <c r="C214" s="76">
        <f>SUM(G214:AT214)</f>
        <v>0</v>
      </c>
      <c r="D214" s="77"/>
      <c r="E214" s="77"/>
      <c r="F214" s="77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</row>
    <row r="215" spans="1:45" hidden="1" outlineLevel="1" x14ac:dyDescent="0.25">
      <c r="A215" s="76"/>
      <c r="B215" s="76"/>
      <c r="C215" s="76">
        <f t="shared" si="33"/>
        <v>0</v>
      </c>
      <c r="D215" s="77"/>
      <c r="E215" s="77"/>
      <c r="F215" s="77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</row>
    <row r="216" spans="1:45" hidden="1" outlineLevel="1" x14ac:dyDescent="0.25">
      <c r="A216" s="76"/>
      <c r="B216" s="76"/>
      <c r="C216" s="76">
        <f t="shared" si="33"/>
        <v>0</v>
      </c>
      <c r="D216" s="77"/>
      <c r="E216" s="77"/>
      <c r="F216" s="77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</row>
    <row r="217" spans="1:45" hidden="1" outlineLevel="1" x14ac:dyDescent="0.25">
      <c r="A217" s="76"/>
      <c r="B217" s="76"/>
      <c r="C217" s="76">
        <f t="shared" si="33"/>
        <v>0</v>
      </c>
      <c r="D217" s="77"/>
      <c r="E217" s="77"/>
      <c r="F217" s="77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</row>
    <row r="218" spans="1:45" hidden="1" outlineLevel="1" x14ac:dyDescent="0.25">
      <c r="A218" s="76"/>
      <c r="B218" s="76"/>
      <c r="C218" s="76">
        <f t="shared" si="33"/>
        <v>0</v>
      </c>
      <c r="D218" s="77"/>
      <c r="E218" s="77"/>
      <c r="F218" s="77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</row>
    <row r="219" spans="1:45" hidden="1" outlineLevel="1" x14ac:dyDescent="0.25">
      <c r="A219" s="76"/>
      <c r="B219" s="76"/>
      <c r="C219" s="76">
        <f t="shared" si="33"/>
        <v>0</v>
      </c>
      <c r="D219" s="77"/>
      <c r="E219" s="77"/>
      <c r="F219" s="77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</row>
    <row r="220" spans="1:45" hidden="1" outlineLevel="1" x14ac:dyDescent="0.25">
      <c r="A220" s="76"/>
      <c r="B220" s="76"/>
      <c r="C220" s="76">
        <f t="shared" si="33"/>
        <v>0</v>
      </c>
      <c r="D220" s="77"/>
      <c r="E220" s="77"/>
      <c r="F220" s="77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</row>
    <row r="221" spans="1:45" hidden="1" outlineLevel="1" x14ac:dyDescent="0.25">
      <c r="A221" s="76"/>
      <c r="B221" s="76"/>
      <c r="C221" s="76">
        <f t="shared" si="33"/>
        <v>0</v>
      </c>
      <c r="D221" s="77"/>
      <c r="E221" s="77"/>
      <c r="F221" s="77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</row>
    <row r="222" spans="1:45" hidden="1" outlineLevel="1" x14ac:dyDescent="0.25">
      <c r="A222" s="76"/>
      <c r="B222" s="76"/>
      <c r="C222" s="76">
        <f t="shared" si="33"/>
        <v>0</v>
      </c>
      <c r="D222" s="77"/>
      <c r="E222" s="77"/>
      <c r="F222" s="77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</row>
    <row r="223" spans="1:45" hidden="1" outlineLevel="1" x14ac:dyDescent="0.25">
      <c r="A223" s="76"/>
      <c r="B223" s="76"/>
      <c r="C223" s="76">
        <f t="shared" si="33"/>
        <v>0</v>
      </c>
      <c r="D223" s="77"/>
      <c r="E223" s="77"/>
      <c r="F223" s="77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</row>
    <row r="224" spans="1:45" hidden="1" outlineLevel="1" x14ac:dyDescent="0.25">
      <c r="A224" s="76"/>
      <c r="B224" s="76"/>
      <c r="C224" s="76">
        <f t="shared" si="33"/>
        <v>0</v>
      </c>
      <c r="D224" s="77"/>
      <c r="E224" s="77"/>
      <c r="F224" s="77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</row>
    <row r="225" spans="1:45" hidden="1" outlineLevel="1" x14ac:dyDescent="0.25">
      <c r="A225" s="78"/>
      <c r="B225" s="78"/>
      <c r="C225" s="78">
        <f t="shared" si="33"/>
        <v>0</v>
      </c>
      <c r="D225" s="79"/>
      <c r="E225" s="79"/>
      <c r="F225" s="79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  <c r="AK225" s="78"/>
      <c r="AL225" s="78"/>
      <c r="AM225" s="78"/>
      <c r="AN225" s="78"/>
      <c r="AO225" s="78"/>
      <c r="AP225" s="78"/>
      <c r="AQ225" s="78"/>
      <c r="AR225" s="78"/>
      <c r="AS225" s="78"/>
    </row>
    <row r="226" spans="1:45" s="35" customFormat="1" collapsed="1" x14ac:dyDescent="0.25">
      <c r="A226" s="72">
        <f>A204-B226-C226</f>
        <v>39161.385454545438</v>
      </c>
      <c r="B226" s="72">
        <f>-rcpFeb</f>
        <v>0</v>
      </c>
      <c r="C226" s="72">
        <f>SUBTOTAL(9,C205:C225)</f>
        <v>0</v>
      </c>
      <c r="D226" s="73"/>
      <c r="E226" s="73" t="s">
        <v>80</v>
      </c>
      <c r="F226" s="73"/>
      <c r="G226" s="72">
        <f t="shared" ref="G226:AS226" si="34">SUBTOTAL(9,G205:G225)</f>
        <v>0</v>
      </c>
      <c r="H226" s="72">
        <f t="shared" si="34"/>
        <v>0</v>
      </c>
      <c r="I226" s="72">
        <f t="shared" si="34"/>
        <v>0</v>
      </c>
      <c r="J226" s="72">
        <f t="shared" si="34"/>
        <v>0</v>
      </c>
      <c r="K226" s="72">
        <f t="shared" si="34"/>
        <v>0</v>
      </c>
      <c r="L226" s="72">
        <f t="shared" si="34"/>
        <v>0</v>
      </c>
      <c r="M226" s="72">
        <f t="shared" si="34"/>
        <v>0</v>
      </c>
      <c r="N226" s="72">
        <f t="shared" si="34"/>
        <v>0</v>
      </c>
      <c r="O226" s="72">
        <f t="shared" si="34"/>
        <v>0</v>
      </c>
      <c r="P226" s="72">
        <f t="shared" si="34"/>
        <v>0</v>
      </c>
      <c r="Q226" s="72">
        <f t="shared" si="34"/>
        <v>0</v>
      </c>
      <c r="R226" s="72">
        <f t="shared" si="34"/>
        <v>0</v>
      </c>
      <c r="S226" s="72">
        <f t="shared" si="34"/>
        <v>0</v>
      </c>
      <c r="T226" s="72">
        <f t="shared" si="34"/>
        <v>0</v>
      </c>
      <c r="U226" s="72">
        <f t="shared" si="34"/>
        <v>0</v>
      </c>
      <c r="V226" s="72">
        <f t="shared" si="34"/>
        <v>0</v>
      </c>
      <c r="W226" s="72">
        <f t="shared" si="34"/>
        <v>0</v>
      </c>
      <c r="X226" s="72">
        <f t="shared" si="34"/>
        <v>0</v>
      </c>
      <c r="Y226" s="72">
        <f t="shared" si="34"/>
        <v>0</v>
      </c>
      <c r="Z226" s="72">
        <f t="shared" si="34"/>
        <v>0</v>
      </c>
      <c r="AA226" s="72">
        <f t="shared" si="34"/>
        <v>0</v>
      </c>
      <c r="AB226" s="72">
        <f t="shared" si="34"/>
        <v>0</v>
      </c>
      <c r="AC226" s="72">
        <f t="shared" si="34"/>
        <v>0</v>
      </c>
      <c r="AD226" s="72">
        <f t="shared" si="34"/>
        <v>0</v>
      </c>
      <c r="AE226" s="72">
        <f t="shared" si="34"/>
        <v>0</v>
      </c>
      <c r="AF226" s="72">
        <f t="shared" si="34"/>
        <v>0</v>
      </c>
      <c r="AG226" s="72">
        <f t="shared" si="34"/>
        <v>0</v>
      </c>
      <c r="AH226" s="72">
        <f t="shared" si="34"/>
        <v>0</v>
      </c>
      <c r="AI226" s="72">
        <f t="shared" si="34"/>
        <v>0</v>
      </c>
      <c r="AJ226" s="72">
        <f t="shared" si="34"/>
        <v>0</v>
      </c>
      <c r="AK226" s="72">
        <f t="shared" si="34"/>
        <v>0</v>
      </c>
      <c r="AL226" s="72">
        <f t="shared" si="34"/>
        <v>0</v>
      </c>
      <c r="AM226" s="72">
        <f t="shared" si="34"/>
        <v>0</v>
      </c>
      <c r="AN226" s="72">
        <f t="shared" si="34"/>
        <v>0</v>
      </c>
      <c r="AO226" s="72">
        <f t="shared" si="34"/>
        <v>0</v>
      </c>
      <c r="AP226" s="72">
        <f t="shared" si="34"/>
        <v>0</v>
      </c>
      <c r="AQ226" s="72">
        <f t="shared" si="34"/>
        <v>0</v>
      </c>
      <c r="AR226" s="72">
        <f t="shared" si="34"/>
        <v>0</v>
      </c>
      <c r="AS226" s="72">
        <f t="shared" si="34"/>
        <v>0</v>
      </c>
    </row>
    <row r="227" spans="1:45" hidden="1" outlineLevel="1" x14ac:dyDescent="0.25">
      <c r="A227" s="74"/>
      <c r="B227" s="74"/>
      <c r="C227" s="74">
        <f t="shared" ref="C227:C251" si="35">SUM(G227:AT227)</f>
        <v>0</v>
      </c>
      <c r="D227" s="75"/>
      <c r="E227" s="75"/>
      <c r="F227" s="75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</row>
    <row r="228" spans="1:45" hidden="1" outlineLevel="1" x14ac:dyDescent="0.25">
      <c r="A228" s="76"/>
      <c r="B228" s="76"/>
      <c r="C228" s="76">
        <f t="shared" si="35"/>
        <v>0</v>
      </c>
      <c r="D228" s="77"/>
      <c r="E228" s="77"/>
      <c r="F228" s="77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</row>
    <row r="229" spans="1:45" hidden="1" outlineLevel="1" x14ac:dyDescent="0.25">
      <c r="A229" s="76"/>
      <c r="B229" s="76"/>
      <c r="C229" s="76">
        <f t="shared" si="35"/>
        <v>0</v>
      </c>
      <c r="D229" s="77"/>
      <c r="E229" s="77"/>
      <c r="F229" s="77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</row>
    <row r="230" spans="1:45" hidden="1" outlineLevel="1" x14ac:dyDescent="0.25">
      <c r="A230" s="76"/>
      <c r="B230" s="76"/>
      <c r="C230" s="76">
        <f t="shared" si="35"/>
        <v>0</v>
      </c>
      <c r="D230" s="77"/>
      <c r="E230" s="77"/>
      <c r="F230" s="77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</row>
    <row r="231" spans="1:45" hidden="1" outlineLevel="1" x14ac:dyDescent="0.25">
      <c r="A231" s="76"/>
      <c r="B231" s="76"/>
      <c r="C231" s="76">
        <f t="shared" si="35"/>
        <v>0</v>
      </c>
      <c r="D231" s="77"/>
      <c r="E231" s="77"/>
      <c r="F231" s="77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</row>
    <row r="232" spans="1:45" hidden="1" outlineLevel="1" x14ac:dyDescent="0.25">
      <c r="A232" s="76"/>
      <c r="B232" s="76"/>
      <c r="C232" s="76">
        <f t="shared" si="35"/>
        <v>0</v>
      </c>
      <c r="D232" s="77"/>
      <c r="E232" s="77"/>
      <c r="F232" s="77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</row>
    <row r="233" spans="1:45" hidden="1" outlineLevel="1" x14ac:dyDescent="0.25">
      <c r="A233" s="76"/>
      <c r="B233" s="76"/>
      <c r="C233" s="76">
        <f t="shared" si="35"/>
        <v>0</v>
      </c>
      <c r="D233" s="77"/>
      <c r="E233" s="77"/>
      <c r="F233" s="77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</row>
    <row r="234" spans="1:45" hidden="1" outlineLevel="1" x14ac:dyDescent="0.25">
      <c r="A234" s="76"/>
      <c r="B234" s="76"/>
      <c r="C234" s="76">
        <f t="shared" si="35"/>
        <v>0</v>
      </c>
      <c r="D234" s="77"/>
      <c r="E234" s="77"/>
      <c r="F234" s="77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336"/>
      <c r="AP234" s="76"/>
      <c r="AQ234" s="76"/>
      <c r="AR234" s="76"/>
      <c r="AS234" s="76"/>
    </row>
    <row r="235" spans="1:45" hidden="1" outlineLevel="1" x14ac:dyDescent="0.25">
      <c r="A235" s="76"/>
      <c r="B235" s="76"/>
      <c r="C235" s="76">
        <f t="shared" si="35"/>
        <v>0</v>
      </c>
      <c r="D235" s="77"/>
      <c r="E235" s="77"/>
      <c r="F235" s="77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</row>
    <row r="236" spans="1:45" hidden="1" outlineLevel="1" x14ac:dyDescent="0.25">
      <c r="A236" s="76"/>
      <c r="B236" s="76"/>
      <c r="C236" s="76">
        <f>SUM(G236:AT236)</f>
        <v>0</v>
      </c>
      <c r="D236" s="77"/>
      <c r="E236" s="77"/>
      <c r="F236" s="77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</row>
    <row r="237" spans="1:45" hidden="1" outlineLevel="1" x14ac:dyDescent="0.25">
      <c r="A237" s="76"/>
      <c r="B237" s="76"/>
      <c r="C237" s="76">
        <f t="shared" si="35"/>
        <v>0</v>
      </c>
      <c r="D237" s="77"/>
      <c r="E237" s="77"/>
      <c r="F237" s="77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</row>
    <row r="238" spans="1:45" hidden="1" outlineLevel="1" x14ac:dyDescent="0.25">
      <c r="A238" s="76"/>
      <c r="B238" s="76"/>
      <c r="C238" s="76">
        <f>SUM(G238:AT238)</f>
        <v>0</v>
      </c>
      <c r="D238" s="77"/>
      <c r="E238" s="77"/>
      <c r="F238" s="77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</row>
    <row r="239" spans="1:45" hidden="1" outlineLevel="1" x14ac:dyDescent="0.25">
      <c r="A239" s="76"/>
      <c r="B239" s="76"/>
      <c r="C239" s="76">
        <f>SUM(G239:AT239)</f>
        <v>0</v>
      </c>
      <c r="D239" s="77"/>
      <c r="E239" s="77"/>
      <c r="F239" s="77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</row>
    <row r="240" spans="1:45" hidden="1" outlineLevel="1" x14ac:dyDescent="0.25">
      <c r="A240" s="76"/>
      <c r="B240" s="76"/>
      <c r="C240" s="76">
        <f>SUM(G240:AT240)</f>
        <v>0</v>
      </c>
      <c r="D240" s="77"/>
      <c r="E240" s="77"/>
      <c r="F240" s="77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</row>
    <row r="241" spans="1:45" hidden="1" outlineLevel="1" x14ac:dyDescent="0.25">
      <c r="A241" s="76"/>
      <c r="B241" s="76"/>
      <c r="C241" s="76">
        <f>SUM(G241:AT241)</f>
        <v>0</v>
      </c>
      <c r="D241" s="77"/>
      <c r="E241" s="77"/>
      <c r="F241" s="77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</row>
    <row r="242" spans="1:45" hidden="1" outlineLevel="1" x14ac:dyDescent="0.25">
      <c r="A242" s="76"/>
      <c r="B242" s="76"/>
      <c r="C242" s="76">
        <f t="shared" si="35"/>
        <v>0</v>
      </c>
      <c r="D242" s="77"/>
      <c r="E242" s="77"/>
      <c r="F242" s="77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</row>
    <row r="243" spans="1:45" hidden="1" outlineLevel="1" x14ac:dyDescent="0.25">
      <c r="A243" s="76"/>
      <c r="B243" s="76"/>
      <c r="C243" s="76">
        <f t="shared" si="35"/>
        <v>0</v>
      </c>
      <c r="D243" s="77"/>
      <c r="E243" s="77"/>
      <c r="F243" s="77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</row>
    <row r="244" spans="1:45" hidden="1" outlineLevel="1" x14ac:dyDescent="0.25">
      <c r="A244" s="76"/>
      <c r="B244" s="76"/>
      <c r="C244" s="76">
        <f t="shared" si="35"/>
        <v>0</v>
      </c>
      <c r="D244" s="77"/>
      <c r="E244" s="77"/>
      <c r="F244" s="77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</row>
    <row r="245" spans="1:45" hidden="1" outlineLevel="1" x14ac:dyDescent="0.25">
      <c r="A245" s="76"/>
      <c r="B245" s="76"/>
      <c r="C245" s="76">
        <f t="shared" si="35"/>
        <v>0</v>
      </c>
      <c r="D245" s="77"/>
      <c r="E245" s="77"/>
      <c r="F245" s="77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</row>
    <row r="246" spans="1:45" hidden="1" outlineLevel="1" x14ac:dyDescent="0.25">
      <c r="A246" s="76"/>
      <c r="B246" s="76"/>
      <c r="C246" s="76">
        <f t="shared" si="35"/>
        <v>0</v>
      </c>
      <c r="D246" s="77"/>
      <c r="E246" s="77"/>
      <c r="F246" s="77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</row>
    <row r="247" spans="1:45" hidden="1" outlineLevel="1" x14ac:dyDescent="0.25">
      <c r="A247" s="76"/>
      <c r="B247" s="76"/>
      <c r="C247" s="76">
        <f>SUM(G247:AT247)</f>
        <v>0</v>
      </c>
      <c r="D247" s="77"/>
      <c r="E247" s="77"/>
      <c r="F247" s="77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</row>
    <row r="248" spans="1:45" hidden="1" outlineLevel="1" x14ac:dyDescent="0.25">
      <c r="A248" s="76"/>
      <c r="B248" s="76"/>
      <c r="C248" s="76">
        <f>SUM(G248:AT248)</f>
        <v>0</v>
      </c>
      <c r="D248" s="77"/>
      <c r="E248" s="77"/>
      <c r="F248" s="77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</row>
    <row r="249" spans="1:45" hidden="1" outlineLevel="1" x14ac:dyDescent="0.25">
      <c r="A249" s="76"/>
      <c r="B249" s="76"/>
      <c r="C249" s="76">
        <f t="shared" si="35"/>
        <v>0</v>
      </c>
      <c r="D249" s="77"/>
      <c r="E249" s="77"/>
      <c r="F249" s="77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</row>
    <row r="250" spans="1:45" hidden="1" outlineLevel="1" x14ac:dyDescent="0.25">
      <c r="A250" s="76"/>
      <c r="B250" s="76"/>
      <c r="C250" s="76">
        <f t="shared" si="35"/>
        <v>0</v>
      </c>
      <c r="D250" s="77"/>
      <c r="E250" s="77"/>
      <c r="F250" s="77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</row>
    <row r="251" spans="1:45" hidden="1" outlineLevel="1" x14ac:dyDescent="0.25">
      <c r="A251" s="78"/>
      <c r="B251" s="78"/>
      <c r="C251" s="78">
        <f t="shared" si="35"/>
        <v>0</v>
      </c>
      <c r="D251" s="79"/>
      <c r="E251" s="79"/>
      <c r="F251" s="79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78"/>
      <c r="AS251" s="78"/>
    </row>
    <row r="252" spans="1:45" s="35" customFormat="1" collapsed="1" x14ac:dyDescent="0.25">
      <c r="A252" s="72">
        <f>A226-B252-C252</f>
        <v>39161.385454545438</v>
      </c>
      <c r="B252" s="72">
        <f>-rcpMar</f>
        <v>0</v>
      </c>
      <c r="C252" s="72">
        <f>SUBTOTAL(9,C227:C251)</f>
        <v>0</v>
      </c>
      <c r="D252" s="73"/>
      <c r="E252" s="73" t="s">
        <v>81</v>
      </c>
      <c r="F252" s="73"/>
      <c r="G252" s="72">
        <f t="shared" ref="G252:AS252" si="36">SUBTOTAL(9,G227:G251)</f>
        <v>0</v>
      </c>
      <c r="H252" s="72">
        <f t="shared" si="36"/>
        <v>0</v>
      </c>
      <c r="I252" s="72">
        <f t="shared" si="36"/>
        <v>0</v>
      </c>
      <c r="J252" s="72">
        <f t="shared" si="36"/>
        <v>0</v>
      </c>
      <c r="K252" s="72">
        <f t="shared" si="36"/>
        <v>0</v>
      </c>
      <c r="L252" s="72">
        <f t="shared" si="36"/>
        <v>0</v>
      </c>
      <c r="M252" s="72">
        <f t="shared" si="36"/>
        <v>0</v>
      </c>
      <c r="N252" s="72">
        <f t="shared" si="36"/>
        <v>0</v>
      </c>
      <c r="O252" s="72">
        <f t="shared" si="36"/>
        <v>0</v>
      </c>
      <c r="P252" s="72">
        <f t="shared" si="36"/>
        <v>0</v>
      </c>
      <c r="Q252" s="72">
        <f t="shared" si="36"/>
        <v>0</v>
      </c>
      <c r="R252" s="72">
        <f t="shared" si="36"/>
        <v>0</v>
      </c>
      <c r="S252" s="72">
        <f t="shared" si="36"/>
        <v>0</v>
      </c>
      <c r="T252" s="72">
        <f t="shared" si="36"/>
        <v>0</v>
      </c>
      <c r="U252" s="72">
        <f t="shared" si="36"/>
        <v>0</v>
      </c>
      <c r="V252" s="72">
        <f t="shared" si="36"/>
        <v>0</v>
      </c>
      <c r="W252" s="72">
        <f t="shared" si="36"/>
        <v>0</v>
      </c>
      <c r="X252" s="72">
        <f t="shared" si="36"/>
        <v>0</v>
      </c>
      <c r="Y252" s="72">
        <f t="shared" si="36"/>
        <v>0</v>
      </c>
      <c r="Z252" s="72">
        <f t="shared" si="36"/>
        <v>0</v>
      </c>
      <c r="AA252" s="72">
        <f t="shared" si="36"/>
        <v>0</v>
      </c>
      <c r="AB252" s="72">
        <f t="shared" si="36"/>
        <v>0</v>
      </c>
      <c r="AC252" s="72">
        <f t="shared" si="36"/>
        <v>0</v>
      </c>
      <c r="AD252" s="72">
        <f t="shared" si="36"/>
        <v>0</v>
      </c>
      <c r="AE252" s="72">
        <f t="shared" si="36"/>
        <v>0</v>
      </c>
      <c r="AF252" s="72">
        <f t="shared" si="36"/>
        <v>0</v>
      </c>
      <c r="AG252" s="72">
        <f t="shared" si="36"/>
        <v>0</v>
      </c>
      <c r="AH252" s="72">
        <f t="shared" si="36"/>
        <v>0</v>
      </c>
      <c r="AI252" s="72">
        <f t="shared" si="36"/>
        <v>0</v>
      </c>
      <c r="AJ252" s="72">
        <f t="shared" si="36"/>
        <v>0</v>
      </c>
      <c r="AK252" s="72">
        <f t="shared" si="36"/>
        <v>0</v>
      </c>
      <c r="AL252" s="72">
        <f t="shared" si="36"/>
        <v>0</v>
      </c>
      <c r="AM252" s="72">
        <f t="shared" si="36"/>
        <v>0</v>
      </c>
      <c r="AN252" s="72">
        <f t="shared" si="36"/>
        <v>0</v>
      </c>
      <c r="AO252" s="72">
        <f t="shared" si="36"/>
        <v>0</v>
      </c>
      <c r="AP252" s="72">
        <f t="shared" si="36"/>
        <v>0</v>
      </c>
      <c r="AQ252" s="72">
        <f t="shared" si="36"/>
        <v>0</v>
      </c>
      <c r="AR252" s="72">
        <f t="shared" si="36"/>
        <v>0</v>
      </c>
      <c r="AS252" s="72">
        <f t="shared" si="36"/>
        <v>0</v>
      </c>
    </row>
    <row r="253" spans="1:45" s="35" customFormat="1" x14ac:dyDescent="0.25">
      <c r="A253" s="80"/>
      <c r="B253" s="44">
        <f>SUBTOTAL(9,B175:B252)</f>
        <v>0</v>
      </c>
      <c r="C253" s="44">
        <f>SUBTOTAL(9,C175:C252)</f>
        <v>0</v>
      </c>
      <c r="D253" s="82"/>
      <c r="E253" s="81" t="s">
        <v>82</v>
      </c>
      <c r="F253" s="82"/>
      <c r="G253" s="44">
        <f t="shared" ref="G253:AS253" si="37">SUBTOTAL(9,G175:G252)</f>
        <v>0</v>
      </c>
      <c r="H253" s="44">
        <f t="shared" si="37"/>
        <v>0</v>
      </c>
      <c r="I253" s="44">
        <f t="shared" si="37"/>
        <v>0</v>
      </c>
      <c r="J253" s="44">
        <f t="shared" si="37"/>
        <v>0</v>
      </c>
      <c r="K253" s="44">
        <f t="shared" si="37"/>
        <v>0</v>
      </c>
      <c r="L253" s="44">
        <f t="shared" si="37"/>
        <v>0</v>
      </c>
      <c r="M253" s="44">
        <f t="shared" si="37"/>
        <v>0</v>
      </c>
      <c r="N253" s="44">
        <f t="shared" si="37"/>
        <v>0</v>
      </c>
      <c r="O253" s="44">
        <f t="shared" si="37"/>
        <v>0</v>
      </c>
      <c r="P253" s="44">
        <f t="shared" si="37"/>
        <v>0</v>
      </c>
      <c r="Q253" s="44">
        <f t="shared" si="37"/>
        <v>0</v>
      </c>
      <c r="R253" s="44">
        <f t="shared" si="37"/>
        <v>0</v>
      </c>
      <c r="S253" s="44">
        <f t="shared" si="37"/>
        <v>0</v>
      </c>
      <c r="T253" s="44">
        <f t="shared" si="37"/>
        <v>0</v>
      </c>
      <c r="U253" s="44">
        <f t="shared" si="37"/>
        <v>0</v>
      </c>
      <c r="V253" s="44">
        <f t="shared" si="37"/>
        <v>0</v>
      </c>
      <c r="W253" s="44">
        <f t="shared" si="37"/>
        <v>0</v>
      </c>
      <c r="X253" s="44">
        <f t="shared" si="37"/>
        <v>0</v>
      </c>
      <c r="Y253" s="44">
        <f t="shared" si="37"/>
        <v>0</v>
      </c>
      <c r="Z253" s="44">
        <f t="shared" si="37"/>
        <v>0</v>
      </c>
      <c r="AA253" s="44">
        <f t="shared" si="37"/>
        <v>0</v>
      </c>
      <c r="AB253" s="44">
        <f t="shared" si="37"/>
        <v>0</v>
      </c>
      <c r="AC253" s="44">
        <f t="shared" si="37"/>
        <v>0</v>
      </c>
      <c r="AD253" s="44">
        <f t="shared" si="37"/>
        <v>0</v>
      </c>
      <c r="AE253" s="44">
        <f t="shared" si="37"/>
        <v>0</v>
      </c>
      <c r="AF253" s="44">
        <f t="shared" si="37"/>
        <v>0</v>
      </c>
      <c r="AG253" s="44">
        <f t="shared" si="37"/>
        <v>0</v>
      </c>
      <c r="AH253" s="44">
        <f t="shared" si="37"/>
        <v>0</v>
      </c>
      <c r="AI253" s="44">
        <f t="shared" si="37"/>
        <v>0</v>
      </c>
      <c r="AJ253" s="44">
        <f t="shared" si="37"/>
        <v>0</v>
      </c>
      <c r="AK253" s="44">
        <f t="shared" si="37"/>
        <v>0</v>
      </c>
      <c r="AL253" s="44">
        <f t="shared" si="37"/>
        <v>0</v>
      </c>
      <c r="AM253" s="44">
        <f t="shared" si="37"/>
        <v>0</v>
      </c>
      <c r="AN253" s="44">
        <f t="shared" si="37"/>
        <v>0</v>
      </c>
      <c r="AO253" s="44">
        <f t="shared" si="37"/>
        <v>0</v>
      </c>
      <c r="AP253" s="44">
        <f t="shared" si="37"/>
        <v>0</v>
      </c>
      <c r="AQ253" s="44">
        <f t="shared" si="37"/>
        <v>0</v>
      </c>
      <c r="AR253" s="44">
        <f t="shared" si="37"/>
        <v>0</v>
      </c>
      <c r="AS253" s="44">
        <f t="shared" si="37"/>
        <v>0</v>
      </c>
    </row>
    <row r="254" spans="1:45" hidden="1" outlineLevel="1" x14ac:dyDescent="0.25">
      <c r="A254" s="76"/>
      <c r="B254" s="76"/>
      <c r="C254" s="74">
        <f t="shared" ref="C254:C275" si="38">SUM(G254:AT254)</f>
        <v>0</v>
      </c>
      <c r="D254" s="77"/>
      <c r="E254" s="77"/>
      <c r="F254" s="77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  <c r="AF254" s="76"/>
      <c r="AG254" s="76"/>
      <c r="AH254" s="76"/>
      <c r="AI254" s="76"/>
      <c r="AJ254" s="76"/>
      <c r="AK254" s="76"/>
      <c r="AL254" s="76"/>
      <c r="AM254" s="76"/>
      <c r="AN254" s="76"/>
      <c r="AO254" s="76"/>
      <c r="AP254" s="76"/>
      <c r="AQ254" s="76"/>
      <c r="AR254" s="76"/>
      <c r="AS254" s="76"/>
    </row>
    <row r="255" spans="1:45" hidden="1" outlineLevel="1" x14ac:dyDescent="0.25">
      <c r="A255" s="76"/>
      <c r="B255" s="76"/>
      <c r="C255" s="76">
        <f t="shared" si="38"/>
        <v>0</v>
      </c>
      <c r="D255" s="77"/>
      <c r="E255" s="77"/>
      <c r="F255" s="77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  <c r="AF255" s="76"/>
      <c r="AG255" s="76"/>
      <c r="AH255" s="76"/>
      <c r="AI255" s="76"/>
      <c r="AJ255" s="76"/>
      <c r="AK255" s="76"/>
      <c r="AL255" s="76"/>
      <c r="AM255" s="76"/>
      <c r="AN255" s="76"/>
      <c r="AO255" s="76"/>
      <c r="AP255" s="76"/>
      <c r="AQ255" s="76"/>
      <c r="AR255" s="76"/>
      <c r="AS255" s="76"/>
    </row>
    <row r="256" spans="1:45" hidden="1" outlineLevel="1" x14ac:dyDescent="0.25">
      <c r="A256" s="76"/>
      <c r="B256" s="76"/>
      <c r="C256" s="76">
        <f t="shared" si="38"/>
        <v>0</v>
      </c>
      <c r="D256" s="77"/>
      <c r="E256" s="77"/>
      <c r="F256" s="77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  <c r="AF256" s="76"/>
      <c r="AG256" s="76"/>
      <c r="AH256" s="76"/>
      <c r="AI256" s="76"/>
      <c r="AJ256" s="76"/>
      <c r="AK256" s="76"/>
      <c r="AL256" s="76"/>
      <c r="AM256" s="76"/>
      <c r="AN256" s="76"/>
      <c r="AO256" s="76"/>
      <c r="AP256" s="76"/>
      <c r="AQ256" s="76"/>
      <c r="AR256" s="76"/>
      <c r="AS256" s="76"/>
    </row>
    <row r="257" spans="1:45" hidden="1" outlineLevel="1" x14ac:dyDescent="0.25">
      <c r="A257" s="76"/>
      <c r="B257" s="76"/>
      <c r="C257" s="76">
        <f t="shared" si="38"/>
        <v>0</v>
      </c>
      <c r="D257" s="77"/>
      <c r="E257" s="77"/>
      <c r="F257" s="77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  <c r="AF257" s="76"/>
      <c r="AG257" s="76"/>
      <c r="AH257" s="76"/>
      <c r="AI257" s="76"/>
      <c r="AJ257" s="76"/>
      <c r="AK257" s="76"/>
      <c r="AL257" s="76"/>
      <c r="AM257" s="76"/>
      <c r="AN257" s="76"/>
      <c r="AO257" s="76"/>
      <c r="AP257" s="76"/>
      <c r="AQ257" s="76"/>
      <c r="AR257" s="76"/>
      <c r="AS257" s="76"/>
    </row>
    <row r="258" spans="1:45" hidden="1" outlineLevel="1" x14ac:dyDescent="0.25">
      <c r="A258" s="76"/>
      <c r="B258" s="76"/>
      <c r="C258" s="76">
        <f t="shared" si="38"/>
        <v>0</v>
      </c>
      <c r="D258" s="77"/>
      <c r="E258" s="77"/>
      <c r="F258" s="77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  <c r="AL258" s="76"/>
      <c r="AM258" s="76"/>
      <c r="AN258" s="76"/>
      <c r="AO258" s="76"/>
      <c r="AP258" s="76"/>
      <c r="AQ258" s="76"/>
      <c r="AR258" s="76"/>
      <c r="AS258" s="76"/>
    </row>
    <row r="259" spans="1:45" hidden="1" outlineLevel="1" x14ac:dyDescent="0.25">
      <c r="A259" s="76"/>
      <c r="B259" s="76"/>
      <c r="C259" s="76">
        <f t="shared" si="38"/>
        <v>0</v>
      </c>
      <c r="D259" s="77"/>
      <c r="E259" s="77"/>
      <c r="F259" s="77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</row>
    <row r="260" spans="1:45" hidden="1" outlineLevel="1" x14ac:dyDescent="0.25">
      <c r="A260" s="76"/>
      <c r="B260" s="76"/>
      <c r="C260" s="76">
        <f t="shared" si="38"/>
        <v>0</v>
      </c>
      <c r="D260" s="77"/>
      <c r="E260" s="77"/>
      <c r="F260" s="77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  <c r="AF260" s="76"/>
      <c r="AG260" s="76"/>
      <c r="AH260" s="76"/>
      <c r="AI260" s="76"/>
      <c r="AJ260" s="76"/>
      <c r="AK260" s="76"/>
      <c r="AL260" s="76"/>
      <c r="AM260" s="76"/>
      <c r="AN260" s="76"/>
      <c r="AO260" s="76"/>
      <c r="AP260" s="76"/>
      <c r="AQ260" s="76"/>
      <c r="AR260" s="76"/>
      <c r="AS260" s="76"/>
    </row>
    <row r="261" spans="1:45" hidden="1" outlineLevel="1" x14ac:dyDescent="0.25">
      <c r="A261" s="76"/>
      <c r="B261" s="76"/>
      <c r="C261" s="76">
        <f t="shared" si="38"/>
        <v>0</v>
      </c>
      <c r="D261" s="77"/>
      <c r="E261" s="77"/>
      <c r="F261" s="77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76"/>
      <c r="AF261" s="76"/>
      <c r="AG261" s="76"/>
      <c r="AH261" s="76"/>
      <c r="AI261" s="76"/>
      <c r="AJ261" s="76"/>
      <c r="AK261" s="76"/>
      <c r="AL261" s="76"/>
      <c r="AM261" s="76"/>
      <c r="AN261" s="76"/>
      <c r="AO261" s="76"/>
      <c r="AP261" s="76"/>
      <c r="AQ261" s="76"/>
      <c r="AR261" s="76"/>
      <c r="AS261" s="76"/>
    </row>
    <row r="262" spans="1:45" hidden="1" outlineLevel="1" x14ac:dyDescent="0.25">
      <c r="A262" s="76"/>
      <c r="B262" s="76"/>
      <c r="C262" s="76">
        <f t="shared" si="38"/>
        <v>0</v>
      </c>
      <c r="D262" s="77"/>
      <c r="E262" s="77"/>
      <c r="F262" s="77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  <c r="AF262" s="76"/>
      <c r="AG262" s="76"/>
      <c r="AH262" s="76"/>
      <c r="AI262" s="76"/>
      <c r="AJ262" s="76"/>
      <c r="AK262" s="76"/>
      <c r="AL262" s="76"/>
      <c r="AM262" s="76"/>
      <c r="AN262" s="76"/>
      <c r="AO262" s="76"/>
      <c r="AP262" s="76"/>
      <c r="AQ262" s="76"/>
      <c r="AR262" s="76"/>
      <c r="AS262" s="76"/>
    </row>
    <row r="263" spans="1:45" hidden="1" outlineLevel="1" x14ac:dyDescent="0.25">
      <c r="A263" s="76"/>
      <c r="B263" s="76"/>
      <c r="C263" s="76">
        <f t="shared" si="38"/>
        <v>0</v>
      </c>
      <c r="D263" s="77"/>
      <c r="E263" s="77"/>
      <c r="F263" s="77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</row>
    <row r="264" spans="1:45" hidden="1" outlineLevel="1" x14ac:dyDescent="0.25">
      <c r="A264" s="76"/>
      <c r="B264" s="76"/>
      <c r="C264" s="76">
        <f t="shared" si="38"/>
        <v>0</v>
      </c>
      <c r="D264" s="77"/>
      <c r="E264" s="77"/>
      <c r="F264" s="77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</row>
    <row r="265" spans="1:45" hidden="1" outlineLevel="1" x14ac:dyDescent="0.25">
      <c r="A265" s="76"/>
      <c r="B265" s="76"/>
      <c r="C265" s="76">
        <f t="shared" si="38"/>
        <v>0</v>
      </c>
      <c r="D265" s="77"/>
      <c r="E265" s="77"/>
      <c r="F265" s="77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/>
      <c r="AI265" s="76"/>
      <c r="AJ265" s="76"/>
      <c r="AK265" s="76"/>
      <c r="AL265" s="76"/>
      <c r="AM265" s="76"/>
      <c r="AN265" s="76"/>
      <c r="AO265" s="76"/>
      <c r="AP265" s="76"/>
      <c r="AQ265" s="76"/>
      <c r="AR265" s="76"/>
      <c r="AS265" s="76"/>
    </row>
    <row r="266" spans="1:45" hidden="1" outlineLevel="1" x14ac:dyDescent="0.25">
      <c r="A266" s="76"/>
      <c r="B266" s="76"/>
      <c r="C266" s="76">
        <f t="shared" si="38"/>
        <v>0</v>
      </c>
      <c r="D266" s="77"/>
      <c r="E266" s="77"/>
      <c r="F266" s="77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</row>
    <row r="267" spans="1:45" hidden="1" outlineLevel="1" x14ac:dyDescent="0.25">
      <c r="A267" s="76"/>
      <c r="B267" s="76"/>
      <c r="C267" s="76">
        <f t="shared" si="38"/>
        <v>0</v>
      </c>
      <c r="D267" s="77"/>
      <c r="E267" s="77"/>
      <c r="F267" s="77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/>
      <c r="AC267" s="76"/>
      <c r="AD267" s="76"/>
      <c r="AE267" s="76"/>
      <c r="AF267" s="76"/>
      <c r="AG267" s="76"/>
      <c r="AH267" s="76"/>
      <c r="AI267" s="76"/>
      <c r="AJ267" s="76"/>
      <c r="AK267" s="76"/>
      <c r="AL267" s="76"/>
      <c r="AM267" s="76"/>
      <c r="AN267" s="76"/>
      <c r="AO267" s="76"/>
      <c r="AP267" s="76"/>
      <c r="AQ267" s="76"/>
      <c r="AR267" s="76"/>
      <c r="AS267" s="76"/>
    </row>
    <row r="268" spans="1:45" hidden="1" outlineLevel="1" x14ac:dyDescent="0.25">
      <c r="A268" s="76"/>
      <c r="B268" s="76"/>
      <c r="C268" s="76">
        <f t="shared" si="38"/>
        <v>0</v>
      </c>
      <c r="D268" s="77"/>
      <c r="E268" s="77"/>
      <c r="F268" s="77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/>
      <c r="AC268" s="76"/>
      <c r="AD268" s="76"/>
      <c r="AE268" s="76"/>
      <c r="AF268" s="76"/>
      <c r="AG268" s="76"/>
      <c r="AH268" s="76"/>
      <c r="AI268" s="76"/>
      <c r="AJ268" s="76"/>
      <c r="AK268" s="76"/>
      <c r="AL268" s="76"/>
      <c r="AM268" s="76"/>
      <c r="AN268" s="76"/>
      <c r="AO268" s="76"/>
      <c r="AP268" s="76"/>
      <c r="AQ268" s="76"/>
      <c r="AR268" s="76"/>
      <c r="AS268" s="76"/>
    </row>
    <row r="269" spans="1:45" hidden="1" outlineLevel="1" x14ac:dyDescent="0.25">
      <c r="A269" s="76"/>
      <c r="B269" s="76"/>
      <c r="C269" s="76">
        <f t="shared" si="38"/>
        <v>0</v>
      </c>
      <c r="D269" s="77"/>
      <c r="E269" s="77"/>
      <c r="F269" s="77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/>
      <c r="AG269" s="76"/>
      <c r="AH269" s="76"/>
      <c r="AI269" s="76"/>
      <c r="AJ269" s="76"/>
      <c r="AK269" s="76"/>
      <c r="AL269" s="76"/>
      <c r="AM269" s="76"/>
      <c r="AN269" s="76"/>
      <c r="AO269" s="76"/>
      <c r="AP269" s="76"/>
      <c r="AQ269" s="76"/>
      <c r="AR269" s="76"/>
      <c r="AS269" s="76"/>
    </row>
    <row r="270" spans="1:45" hidden="1" outlineLevel="1" x14ac:dyDescent="0.25">
      <c r="A270" s="76"/>
      <c r="B270" s="76"/>
      <c r="C270" s="76">
        <f t="shared" si="38"/>
        <v>0</v>
      </c>
      <c r="D270" s="77"/>
      <c r="E270" s="77"/>
      <c r="F270" s="77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/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/>
      <c r="AQ270" s="76"/>
      <c r="AR270" s="76"/>
      <c r="AS270" s="76"/>
    </row>
    <row r="271" spans="1:45" hidden="1" outlineLevel="1" x14ac:dyDescent="0.25">
      <c r="A271" s="76"/>
      <c r="B271" s="76"/>
      <c r="C271" s="76">
        <f t="shared" si="38"/>
        <v>0</v>
      </c>
      <c r="D271" s="77"/>
      <c r="E271" s="77"/>
      <c r="F271" s="77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/>
      <c r="AC271" s="76"/>
      <c r="AD271" s="76"/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76"/>
      <c r="AP271" s="76"/>
      <c r="AQ271" s="76"/>
      <c r="AR271" s="76"/>
      <c r="AS271" s="76"/>
    </row>
    <row r="272" spans="1:45" hidden="1" outlineLevel="1" x14ac:dyDescent="0.25">
      <c r="A272" s="76"/>
      <c r="B272" s="76"/>
      <c r="C272" s="76">
        <f t="shared" si="38"/>
        <v>0</v>
      </c>
      <c r="D272" s="77"/>
      <c r="E272" s="77"/>
      <c r="F272" s="77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/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76"/>
      <c r="AP272" s="76"/>
      <c r="AQ272" s="76"/>
      <c r="AR272" s="76"/>
      <c r="AS272" s="76"/>
    </row>
    <row r="273" spans="1:45" hidden="1" outlineLevel="1" x14ac:dyDescent="0.25">
      <c r="A273" s="76"/>
      <c r="B273" s="76"/>
      <c r="C273" s="76">
        <f t="shared" si="38"/>
        <v>0</v>
      </c>
      <c r="D273" s="77"/>
      <c r="E273" s="77"/>
      <c r="F273" s="77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6"/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/>
      <c r="AQ273" s="76"/>
      <c r="AR273" s="76"/>
      <c r="AS273" s="76"/>
    </row>
    <row r="274" spans="1:45" hidden="1" outlineLevel="1" x14ac:dyDescent="0.25">
      <c r="A274" s="76"/>
      <c r="B274" s="76"/>
      <c r="C274" s="76">
        <f t="shared" si="38"/>
        <v>0</v>
      </c>
      <c r="D274" s="77"/>
      <c r="E274" s="77"/>
      <c r="F274" s="77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/>
      <c r="AQ274" s="76"/>
      <c r="AR274" s="76"/>
      <c r="AS274" s="76"/>
    </row>
    <row r="275" spans="1:45" hidden="1" outlineLevel="1" x14ac:dyDescent="0.25">
      <c r="A275" s="78"/>
      <c r="B275" s="78"/>
      <c r="C275" s="78">
        <f t="shared" si="38"/>
        <v>0</v>
      </c>
      <c r="D275" s="79"/>
      <c r="E275" s="79"/>
      <c r="F275" s="79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78"/>
      <c r="AG275" s="78"/>
      <c r="AH275" s="78"/>
      <c r="AI275" s="78"/>
      <c r="AJ275" s="78"/>
      <c r="AK275" s="78"/>
      <c r="AL275" s="78"/>
      <c r="AM275" s="78"/>
      <c r="AN275" s="78"/>
      <c r="AO275" s="78"/>
      <c r="AP275" s="78"/>
      <c r="AQ275" s="78"/>
      <c r="AR275" s="78"/>
      <c r="AS275" s="78"/>
    </row>
    <row r="276" spans="1:45" s="35" customFormat="1" collapsed="1" x14ac:dyDescent="0.25">
      <c r="A276" s="72">
        <f>A252-B276-C276</f>
        <v>39161.385454545438</v>
      </c>
      <c r="B276" s="72">
        <f>-rcpApr</f>
        <v>0</v>
      </c>
      <c r="C276" s="72">
        <f>SUBTOTAL(9,C254:C275)</f>
        <v>0</v>
      </c>
      <c r="D276" s="73"/>
      <c r="E276" s="73" t="s">
        <v>83</v>
      </c>
      <c r="F276" s="73"/>
      <c r="G276" s="72">
        <f t="shared" ref="G276:AS276" si="39">SUBTOTAL(9,G254:G275)</f>
        <v>0</v>
      </c>
      <c r="H276" s="72">
        <f t="shared" si="39"/>
        <v>0</v>
      </c>
      <c r="I276" s="72">
        <f t="shared" si="39"/>
        <v>0</v>
      </c>
      <c r="J276" s="72">
        <f t="shared" si="39"/>
        <v>0</v>
      </c>
      <c r="K276" s="72">
        <f t="shared" si="39"/>
        <v>0</v>
      </c>
      <c r="L276" s="72">
        <f t="shared" si="39"/>
        <v>0</v>
      </c>
      <c r="M276" s="72">
        <f t="shared" si="39"/>
        <v>0</v>
      </c>
      <c r="N276" s="72">
        <f t="shared" si="39"/>
        <v>0</v>
      </c>
      <c r="O276" s="72">
        <f t="shared" si="39"/>
        <v>0</v>
      </c>
      <c r="P276" s="72">
        <f t="shared" si="39"/>
        <v>0</v>
      </c>
      <c r="Q276" s="72">
        <f t="shared" si="39"/>
        <v>0</v>
      </c>
      <c r="R276" s="72">
        <f t="shared" si="39"/>
        <v>0</v>
      </c>
      <c r="S276" s="72">
        <f t="shared" si="39"/>
        <v>0</v>
      </c>
      <c r="T276" s="72">
        <f t="shared" si="39"/>
        <v>0</v>
      </c>
      <c r="U276" s="72">
        <f t="shared" si="39"/>
        <v>0</v>
      </c>
      <c r="V276" s="72">
        <f t="shared" si="39"/>
        <v>0</v>
      </c>
      <c r="W276" s="72">
        <f t="shared" si="39"/>
        <v>0</v>
      </c>
      <c r="X276" s="72">
        <f t="shared" si="39"/>
        <v>0</v>
      </c>
      <c r="Y276" s="72">
        <f t="shared" si="39"/>
        <v>0</v>
      </c>
      <c r="Z276" s="72">
        <f t="shared" si="39"/>
        <v>0</v>
      </c>
      <c r="AA276" s="72">
        <f t="shared" si="39"/>
        <v>0</v>
      </c>
      <c r="AB276" s="72">
        <f t="shared" si="39"/>
        <v>0</v>
      </c>
      <c r="AC276" s="72">
        <f t="shared" si="39"/>
        <v>0</v>
      </c>
      <c r="AD276" s="72">
        <f t="shared" si="39"/>
        <v>0</v>
      </c>
      <c r="AE276" s="72">
        <f t="shared" si="39"/>
        <v>0</v>
      </c>
      <c r="AF276" s="72">
        <f t="shared" si="39"/>
        <v>0</v>
      </c>
      <c r="AG276" s="72">
        <f t="shared" si="39"/>
        <v>0</v>
      </c>
      <c r="AH276" s="72">
        <f t="shared" si="39"/>
        <v>0</v>
      </c>
      <c r="AI276" s="72">
        <f t="shared" si="39"/>
        <v>0</v>
      </c>
      <c r="AJ276" s="72">
        <f t="shared" si="39"/>
        <v>0</v>
      </c>
      <c r="AK276" s="72">
        <f t="shared" si="39"/>
        <v>0</v>
      </c>
      <c r="AL276" s="72">
        <f t="shared" si="39"/>
        <v>0</v>
      </c>
      <c r="AM276" s="72">
        <f t="shared" si="39"/>
        <v>0</v>
      </c>
      <c r="AN276" s="72">
        <f t="shared" si="39"/>
        <v>0</v>
      </c>
      <c r="AO276" s="72">
        <f t="shared" si="39"/>
        <v>0</v>
      </c>
      <c r="AP276" s="72">
        <f t="shared" si="39"/>
        <v>0</v>
      </c>
      <c r="AQ276" s="72">
        <f t="shared" si="39"/>
        <v>0</v>
      </c>
      <c r="AR276" s="72">
        <f t="shared" si="39"/>
        <v>0</v>
      </c>
      <c r="AS276" s="72">
        <f t="shared" si="39"/>
        <v>0</v>
      </c>
    </row>
    <row r="277" spans="1:45" hidden="1" outlineLevel="1" x14ac:dyDescent="0.25">
      <c r="A277" s="74"/>
      <c r="B277" s="74"/>
      <c r="C277" s="74">
        <f t="shared" ref="C277:C295" si="40">SUM(G277:AT277)</f>
        <v>0</v>
      </c>
      <c r="D277" s="75"/>
      <c r="E277" s="75"/>
      <c r="F277" s="75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</row>
    <row r="278" spans="1:45" hidden="1" outlineLevel="1" x14ac:dyDescent="0.25">
      <c r="A278" s="76"/>
      <c r="B278" s="76"/>
      <c r="C278" s="76">
        <f t="shared" si="40"/>
        <v>0</v>
      </c>
      <c r="D278" s="77"/>
      <c r="E278" s="77"/>
      <c r="F278" s="77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  <c r="AF278" s="76"/>
      <c r="AG278" s="76"/>
      <c r="AH278" s="76"/>
      <c r="AI278" s="76"/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</row>
    <row r="279" spans="1:45" hidden="1" outlineLevel="1" x14ac:dyDescent="0.25">
      <c r="A279" s="76"/>
      <c r="B279" s="76"/>
      <c r="C279" s="76">
        <f t="shared" si="40"/>
        <v>0</v>
      </c>
      <c r="D279" s="77"/>
      <c r="E279" s="77"/>
      <c r="F279" s="77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/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</row>
    <row r="280" spans="1:45" hidden="1" outlineLevel="1" x14ac:dyDescent="0.25">
      <c r="A280" s="76"/>
      <c r="B280" s="76"/>
      <c r="C280" s="76">
        <f t="shared" si="40"/>
        <v>0</v>
      </c>
      <c r="D280" s="77"/>
      <c r="E280" s="77"/>
      <c r="F280" s="77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6"/>
      <c r="AC280" s="76"/>
      <c r="AD280" s="76"/>
      <c r="AE280" s="76"/>
      <c r="AF280" s="76"/>
      <c r="AG280" s="76"/>
      <c r="AH280" s="76"/>
      <c r="AI280" s="76"/>
      <c r="AJ280" s="76"/>
      <c r="AK280" s="76"/>
      <c r="AL280" s="76"/>
      <c r="AM280" s="76"/>
      <c r="AN280" s="76"/>
      <c r="AO280" s="76"/>
      <c r="AP280" s="76"/>
      <c r="AQ280" s="76"/>
      <c r="AR280" s="76"/>
      <c r="AS280" s="76"/>
    </row>
    <row r="281" spans="1:45" hidden="1" outlineLevel="1" x14ac:dyDescent="0.25">
      <c r="A281" s="76"/>
      <c r="B281" s="76"/>
      <c r="C281" s="76">
        <f t="shared" si="40"/>
        <v>0</v>
      </c>
      <c r="D281" s="77"/>
      <c r="E281" s="77"/>
      <c r="F281" s="77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  <c r="Z281" s="76"/>
      <c r="AA281" s="76"/>
      <c r="AB281" s="76"/>
      <c r="AC281" s="76"/>
      <c r="AD281" s="76"/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/>
      <c r="AP281" s="76"/>
      <c r="AQ281" s="76"/>
      <c r="AR281" s="76"/>
      <c r="AS281" s="76"/>
    </row>
    <row r="282" spans="1:45" hidden="1" outlineLevel="1" x14ac:dyDescent="0.25">
      <c r="A282" s="76"/>
      <c r="B282" s="76"/>
      <c r="C282" s="76">
        <f t="shared" si="40"/>
        <v>0</v>
      </c>
      <c r="D282" s="77"/>
      <c r="E282" s="77"/>
      <c r="F282" s="77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  <c r="Z282" s="76"/>
      <c r="AA282" s="76"/>
      <c r="AB282" s="76"/>
      <c r="AC282" s="76"/>
      <c r="AD282" s="76"/>
      <c r="AE282" s="76"/>
      <c r="AF282" s="76"/>
      <c r="AG282" s="76"/>
      <c r="AH282" s="76"/>
      <c r="AI282" s="76"/>
      <c r="AJ282" s="76"/>
      <c r="AK282" s="76"/>
      <c r="AL282" s="76"/>
      <c r="AM282" s="76"/>
      <c r="AN282" s="76"/>
      <c r="AO282" s="76"/>
      <c r="AP282" s="76"/>
      <c r="AQ282" s="76"/>
      <c r="AR282" s="76"/>
      <c r="AS282" s="76"/>
    </row>
    <row r="283" spans="1:45" hidden="1" outlineLevel="1" x14ac:dyDescent="0.25">
      <c r="A283" s="76"/>
      <c r="B283" s="76"/>
      <c r="C283" s="76">
        <f t="shared" si="40"/>
        <v>0</v>
      </c>
      <c r="D283" s="77"/>
      <c r="E283" s="77"/>
      <c r="F283" s="77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6"/>
      <c r="AC283" s="76"/>
      <c r="AD283" s="76"/>
      <c r="AE283" s="76"/>
      <c r="AF283" s="76"/>
      <c r="AG283" s="76"/>
      <c r="AH283" s="76"/>
      <c r="AI283" s="76"/>
      <c r="AJ283" s="76"/>
      <c r="AK283" s="76"/>
      <c r="AL283" s="76"/>
      <c r="AM283" s="76"/>
      <c r="AN283" s="76"/>
      <c r="AO283" s="76"/>
      <c r="AP283" s="76"/>
      <c r="AQ283" s="76"/>
      <c r="AR283" s="76"/>
      <c r="AS283" s="76"/>
    </row>
    <row r="284" spans="1:45" hidden="1" outlineLevel="1" x14ac:dyDescent="0.25">
      <c r="A284" s="76"/>
      <c r="B284" s="76"/>
      <c r="C284" s="76">
        <f t="shared" si="40"/>
        <v>0</v>
      </c>
      <c r="D284" s="77"/>
      <c r="E284" s="77"/>
      <c r="F284" s="77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6"/>
      <c r="AC284" s="76"/>
      <c r="AD284" s="76"/>
      <c r="AE284" s="76"/>
      <c r="AF284" s="76"/>
      <c r="AG284" s="76"/>
      <c r="AH284" s="76"/>
      <c r="AI284" s="76"/>
      <c r="AJ284" s="76"/>
      <c r="AK284" s="76"/>
      <c r="AL284" s="76"/>
      <c r="AM284" s="76"/>
      <c r="AN284" s="76"/>
      <c r="AO284" s="76"/>
      <c r="AP284" s="76"/>
      <c r="AQ284" s="76"/>
      <c r="AR284" s="76"/>
      <c r="AS284" s="76"/>
    </row>
    <row r="285" spans="1:45" hidden="1" outlineLevel="1" x14ac:dyDescent="0.25">
      <c r="A285" s="76"/>
      <c r="B285" s="76"/>
      <c r="C285" s="76">
        <f t="shared" si="40"/>
        <v>0</v>
      </c>
      <c r="D285" s="77"/>
      <c r="E285" s="77"/>
      <c r="F285" s="77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6"/>
      <c r="AC285" s="76"/>
      <c r="AD285" s="76"/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/>
      <c r="AP285" s="76"/>
      <c r="AQ285" s="76"/>
      <c r="AR285" s="76"/>
      <c r="AS285" s="76"/>
    </row>
    <row r="286" spans="1:45" hidden="1" outlineLevel="1" x14ac:dyDescent="0.25">
      <c r="A286" s="76"/>
      <c r="B286" s="76"/>
      <c r="C286" s="76">
        <f t="shared" si="40"/>
        <v>0</v>
      </c>
      <c r="D286" s="77"/>
      <c r="E286" s="77"/>
      <c r="F286" s="77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6"/>
      <c r="AC286" s="76"/>
      <c r="AD286" s="76"/>
      <c r="AE286" s="76"/>
      <c r="AF286" s="76"/>
      <c r="AG286" s="76"/>
      <c r="AH286" s="76"/>
      <c r="AI286" s="76"/>
      <c r="AJ286" s="76"/>
      <c r="AK286" s="76"/>
      <c r="AL286" s="76"/>
      <c r="AM286" s="76"/>
      <c r="AN286" s="76"/>
      <c r="AO286" s="76"/>
      <c r="AP286" s="76"/>
      <c r="AQ286" s="76"/>
      <c r="AR286" s="76"/>
      <c r="AS286" s="76"/>
    </row>
    <row r="287" spans="1:45" hidden="1" outlineLevel="1" x14ac:dyDescent="0.25">
      <c r="A287" s="76"/>
      <c r="B287" s="76"/>
      <c r="C287" s="76">
        <f t="shared" si="40"/>
        <v>0</v>
      </c>
      <c r="D287" s="77"/>
      <c r="E287" s="77"/>
      <c r="F287" s="77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/>
      <c r="AA287" s="76"/>
      <c r="AB287" s="76"/>
      <c r="AC287" s="76"/>
      <c r="AD287" s="76"/>
      <c r="AE287" s="76"/>
      <c r="AF287" s="76"/>
      <c r="AG287" s="76"/>
      <c r="AH287" s="76"/>
      <c r="AI287" s="76"/>
      <c r="AJ287" s="76"/>
      <c r="AK287" s="76"/>
      <c r="AL287" s="76"/>
      <c r="AM287" s="76"/>
      <c r="AN287" s="76"/>
      <c r="AO287" s="76"/>
      <c r="AP287" s="76"/>
      <c r="AQ287" s="76"/>
      <c r="AR287" s="76"/>
      <c r="AS287" s="76"/>
    </row>
    <row r="288" spans="1:45" hidden="1" outlineLevel="1" x14ac:dyDescent="0.25">
      <c r="A288" s="76"/>
      <c r="B288" s="76"/>
      <c r="C288" s="76">
        <f t="shared" si="40"/>
        <v>0</v>
      </c>
      <c r="D288" s="77"/>
      <c r="E288" s="77"/>
      <c r="F288" s="77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6"/>
      <c r="AC288" s="76"/>
      <c r="AD288" s="76"/>
      <c r="AE288" s="76"/>
      <c r="AF288" s="76"/>
      <c r="AG288" s="76"/>
      <c r="AH288" s="76"/>
      <c r="AI288" s="76"/>
      <c r="AJ288" s="76"/>
      <c r="AK288" s="76"/>
      <c r="AL288" s="76"/>
      <c r="AM288" s="76"/>
      <c r="AN288" s="76"/>
      <c r="AO288" s="76"/>
      <c r="AP288" s="76"/>
      <c r="AQ288" s="76"/>
      <c r="AR288" s="76"/>
      <c r="AS288" s="76"/>
    </row>
    <row r="289" spans="1:45" hidden="1" outlineLevel="1" x14ac:dyDescent="0.25">
      <c r="A289" s="76"/>
      <c r="B289" s="76"/>
      <c r="C289" s="76">
        <f t="shared" si="40"/>
        <v>0</v>
      </c>
      <c r="D289" s="77"/>
      <c r="E289" s="77"/>
      <c r="F289" s="77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6"/>
      <c r="AC289" s="76"/>
      <c r="AD289" s="76"/>
      <c r="AE289" s="76"/>
      <c r="AF289" s="76"/>
      <c r="AG289" s="76"/>
      <c r="AH289" s="76"/>
      <c r="AI289" s="76"/>
      <c r="AJ289" s="76"/>
      <c r="AK289" s="76"/>
      <c r="AL289" s="76"/>
      <c r="AM289" s="76"/>
      <c r="AN289" s="76"/>
      <c r="AO289" s="76"/>
      <c r="AP289" s="76"/>
      <c r="AQ289" s="76"/>
      <c r="AR289" s="76"/>
      <c r="AS289" s="76"/>
    </row>
    <row r="290" spans="1:45" hidden="1" outlineLevel="1" x14ac:dyDescent="0.25">
      <c r="A290" s="76"/>
      <c r="B290" s="76"/>
      <c r="C290" s="76">
        <f t="shared" si="40"/>
        <v>0</v>
      </c>
      <c r="D290" s="77"/>
      <c r="E290" s="77"/>
      <c r="F290" s="77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/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76"/>
      <c r="AP290" s="76"/>
      <c r="AQ290" s="76"/>
      <c r="AR290" s="76"/>
      <c r="AS290" s="76"/>
    </row>
    <row r="291" spans="1:45" hidden="1" outlineLevel="1" x14ac:dyDescent="0.25">
      <c r="A291" s="76"/>
      <c r="B291" s="76"/>
      <c r="C291" s="76">
        <f t="shared" si="40"/>
        <v>0</v>
      </c>
      <c r="D291" s="77"/>
      <c r="E291" s="77"/>
      <c r="F291" s="77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/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</row>
    <row r="292" spans="1:45" hidden="1" outlineLevel="1" x14ac:dyDescent="0.25">
      <c r="A292" s="76"/>
      <c r="B292" s="76"/>
      <c r="C292" s="76">
        <f t="shared" si="40"/>
        <v>0</v>
      </c>
      <c r="D292" s="77"/>
      <c r="E292" s="77"/>
      <c r="F292" s="77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6"/>
      <c r="AC292" s="76"/>
      <c r="AD292" s="76"/>
      <c r="AE292" s="76"/>
      <c r="AF292" s="76"/>
      <c r="AG292" s="76"/>
      <c r="AH292" s="76"/>
      <c r="AI292" s="76"/>
      <c r="AJ292" s="76"/>
      <c r="AK292" s="76"/>
      <c r="AL292" s="76"/>
      <c r="AM292" s="76"/>
      <c r="AN292" s="76"/>
      <c r="AO292" s="76"/>
      <c r="AP292" s="76"/>
      <c r="AQ292" s="76"/>
      <c r="AR292" s="76"/>
      <c r="AS292" s="76"/>
    </row>
    <row r="293" spans="1:45" hidden="1" outlineLevel="1" x14ac:dyDescent="0.25">
      <c r="A293" s="76"/>
      <c r="B293" s="76"/>
      <c r="C293" s="76">
        <f t="shared" si="40"/>
        <v>0</v>
      </c>
      <c r="D293" s="77"/>
      <c r="E293" s="77"/>
      <c r="F293" s="77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/>
      <c r="AC293" s="76"/>
      <c r="AD293" s="76"/>
      <c r="AE293" s="76"/>
      <c r="AF293" s="76"/>
      <c r="AG293" s="76"/>
      <c r="AH293" s="76"/>
      <c r="AI293" s="76"/>
      <c r="AJ293" s="76"/>
      <c r="AK293" s="76"/>
      <c r="AL293" s="76"/>
      <c r="AM293" s="76"/>
      <c r="AN293" s="76"/>
      <c r="AO293" s="76"/>
      <c r="AP293" s="76"/>
      <c r="AQ293" s="76"/>
      <c r="AR293" s="76"/>
      <c r="AS293" s="76"/>
    </row>
    <row r="294" spans="1:45" hidden="1" outlineLevel="1" x14ac:dyDescent="0.25">
      <c r="A294" s="76"/>
      <c r="B294" s="76"/>
      <c r="C294" s="76">
        <f t="shared" si="40"/>
        <v>0</v>
      </c>
      <c r="D294" s="77"/>
      <c r="E294" s="77"/>
      <c r="F294" s="77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/>
      <c r="AC294" s="76"/>
      <c r="AD294" s="76"/>
      <c r="AE294" s="76"/>
      <c r="AF294" s="76"/>
      <c r="AG294" s="76"/>
      <c r="AH294" s="76"/>
      <c r="AI294" s="76"/>
      <c r="AJ294" s="76"/>
      <c r="AK294" s="76"/>
      <c r="AL294" s="76"/>
      <c r="AM294" s="76"/>
      <c r="AN294" s="76"/>
      <c r="AO294" s="76"/>
      <c r="AP294" s="76"/>
      <c r="AQ294" s="76"/>
      <c r="AR294" s="76"/>
      <c r="AS294" s="76"/>
    </row>
    <row r="295" spans="1:45" hidden="1" outlineLevel="1" x14ac:dyDescent="0.25">
      <c r="A295" s="76"/>
      <c r="B295" s="76"/>
      <c r="C295" s="76">
        <f t="shared" si="40"/>
        <v>0</v>
      </c>
      <c r="D295" s="77"/>
      <c r="E295" s="77"/>
      <c r="F295" s="77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/>
      <c r="AC295" s="76"/>
      <c r="AD295" s="76"/>
      <c r="AE295" s="76"/>
      <c r="AF295" s="76"/>
      <c r="AG295" s="76"/>
      <c r="AH295" s="76"/>
      <c r="AI295" s="76"/>
      <c r="AJ295" s="76"/>
      <c r="AK295" s="76"/>
      <c r="AL295" s="76"/>
      <c r="AM295" s="76"/>
      <c r="AN295" s="76"/>
      <c r="AO295" s="76"/>
      <c r="AP295" s="76"/>
      <c r="AQ295" s="76"/>
      <c r="AR295" s="76"/>
      <c r="AS295" s="76"/>
    </row>
    <row r="296" spans="1:45" hidden="1" outlineLevel="1" x14ac:dyDescent="0.25">
      <c r="A296" s="76"/>
      <c r="B296" s="76"/>
      <c r="C296" s="76">
        <f t="shared" ref="C296:C299" si="41">SUM(G296:AT296)</f>
        <v>0</v>
      </c>
      <c r="D296" s="77"/>
      <c r="E296" s="77"/>
      <c r="F296" s="77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6"/>
      <c r="AC296" s="76"/>
      <c r="AD296" s="76"/>
      <c r="AE296" s="76"/>
      <c r="AF296" s="76"/>
      <c r="AG296" s="76"/>
      <c r="AH296" s="76"/>
      <c r="AI296" s="76"/>
      <c r="AJ296" s="76"/>
      <c r="AK296" s="76"/>
      <c r="AL296" s="76"/>
      <c r="AM296" s="76"/>
      <c r="AN296" s="76"/>
      <c r="AO296" s="76"/>
      <c r="AP296" s="76"/>
      <c r="AQ296" s="76"/>
      <c r="AR296" s="76"/>
      <c r="AS296" s="76"/>
    </row>
    <row r="297" spans="1:45" hidden="1" outlineLevel="1" x14ac:dyDescent="0.25">
      <c r="A297" s="76"/>
      <c r="B297" s="76"/>
      <c r="C297" s="76">
        <f t="shared" si="41"/>
        <v>0</v>
      </c>
      <c r="D297" s="77"/>
      <c r="E297" s="77"/>
      <c r="F297" s="77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6"/>
      <c r="AC297" s="76"/>
      <c r="AD297" s="76"/>
      <c r="AE297" s="76"/>
      <c r="AF297" s="76"/>
      <c r="AG297" s="76"/>
      <c r="AH297" s="76"/>
      <c r="AI297" s="76"/>
      <c r="AJ297" s="76"/>
      <c r="AK297" s="76"/>
      <c r="AL297" s="76"/>
      <c r="AM297" s="76"/>
      <c r="AN297" s="76"/>
      <c r="AO297" s="76"/>
      <c r="AP297" s="76"/>
      <c r="AQ297" s="76"/>
      <c r="AR297" s="76"/>
      <c r="AS297" s="76"/>
    </row>
    <row r="298" spans="1:45" hidden="1" outlineLevel="1" x14ac:dyDescent="0.25">
      <c r="A298" s="76"/>
      <c r="B298" s="76"/>
      <c r="C298" s="76">
        <f>SUM(G298:AT298)</f>
        <v>0</v>
      </c>
      <c r="D298" s="77"/>
      <c r="E298" s="77"/>
      <c r="F298" s="77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6"/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/>
      <c r="AQ298" s="76"/>
      <c r="AR298" s="76"/>
      <c r="AS298" s="76"/>
    </row>
    <row r="299" spans="1:45" hidden="1" outlineLevel="1" x14ac:dyDescent="0.25">
      <c r="A299" s="76"/>
      <c r="B299" s="76"/>
      <c r="C299" s="76">
        <f t="shared" si="41"/>
        <v>0</v>
      </c>
      <c r="D299" s="77"/>
      <c r="E299" s="77"/>
      <c r="F299" s="77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6"/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/>
      <c r="AS299" s="76"/>
    </row>
    <row r="300" spans="1:45" hidden="1" outlineLevel="1" x14ac:dyDescent="0.25">
      <c r="A300" s="78"/>
      <c r="B300" s="78"/>
      <c r="C300" s="78">
        <f t="shared" ref="C300" si="42">SUM(G300:AT300)</f>
        <v>0</v>
      </c>
      <c r="D300" s="79"/>
      <c r="E300" s="79"/>
      <c r="F300" s="79"/>
      <c r="G300" s="78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  <c r="AF300" s="78"/>
      <c r="AG300" s="78"/>
      <c r="AH300" s="78"/>
      <c r="AI300" s="78"/>
      <c r="AJ300" s="78"/>
      <c r="AK300" s="78"/>
      <c r="AL300" s="78"/>
      <c r="AM300" s="78"/>
      <c r="AN300" s="78"/>
      <c r="AO300" s="78"/>
      <c r="AP300" s="78"/>
      <c r="AQ300" s="78"/>
      <c r="AR300" s="78"/>
      <c r="AS300" s="78"/>
    </row>
    <row r="301" spans="1:45" s="35" customFormat="1" collapsed="1" x14ac:dyDescent="0.25">
      <c r="A301" s="72">
        <f>A276-B301-C301</f>
        <v>39161.385454545438</v>
      </c>
      <c r="B301" s="72">
        <f>-rcpMay</f>
        <v>0</v>
      </c>
      <c r="C301" s="72">
        <f>SUBTOTAL(9,C277:C300)</f>
        <v>0</v>
      </c>
      <c r="D301" s="73"/>
      <c r="E301" s="73" t="s">
        <v>84</v>
      </c>
      <c r="F301" s="73"/>
      <c r="G301" s="72">
        <f t="shared" ref="G301:AS301" si="43">SUBTOTAL(9,G277:G300)</f>
        <v>0</v>
      </c>
      <c r="H301" s="72">
        <f t="shared" si="43"/>
        <v>0</v>
      </c>
      <c r="I301" s="72">
        <f t="shared" si="43"/>
        <v>0</v>
      </c>
      <c r="J301" s="72">
        <f t="shared" si="43"/>
        <v>0</v>
      </c>
      <c r="K301" s="72">
        <f t="shared" si="43"/>
        <v>0</v>
      </c>
      <c r="L301" s="72">
        <f t="shared" si="43"/>
        <v>0</v>
      </c>
      <c r="M301" s="72">
        <f t="shared" si="43"/>
        <v>0</v>
      </c>
      <c r="N301" s="72">
        <f t="shared" si="43"/>
        <v>0</v>
      </c>
      <c r="O301" s="72">
        <f t="shared" si="43"/>
        <v>0</v>
      </c>
      <c r="P301" s="72">
        <f t="shared" si="43"/>
        <v>0</v>
      </c>
      <c r="Q301" s="72">
        <f t="shared" si="43"/>
        <v>0</v>
      </c>
      <c r="R301" s="72">
        <f t="shared" si="43"/>
        <v>0</v>
      </c>
      <c r="S301" s="72">
        <f t="shared" si="43"/>
        <v>0</v>
      </c>
      <c r="T301" s="72">
        <f t="shared" si="43"/>
        <v>0</v>
      </c>
      <c r="U301" s="72">
        <f t="shared" si="43"/>
        <v>0</v>
      </c>
      <c r="V301" s="72">
        <f t="shared" si="43"/>
        <v>0</v>
      </c>
      <c r="W301" s="72">
        <f t="shared" si="43"/>
        <v>0</v>
      </c>
      <c r="X301" s="72">
        <f t="shared" si="43"/>
        <v>0</v>
      </c>
      <c r="Y301" s="72">
        <f t="shared" si="43"/>
        <v>0</v>
      </c>
      <c r="Z301" s="72">
        <f t="shared" si="43"/>
        <v>0</v>
      </c>
      <c r="AA301" s="72">
        <f t="shared" si="43"/>
        <v>0</v>
      </c>
      <c r="AB301" s="72">
        <f t="shared" si="43"/>
        <v>0</v>
      </c>
      <c r="AC301" s="72">
        <f t="shared" si="43"/>
        <v>0</v>
      </c>
      <c r="AD301" s="72">
        <f t="shared" si="43"/>
        <v>0</v>
      </c>
      <c r="AE301" s="72">
        <f t="shared" si="43"/>
        <v>0</v>
      </c>
      <c r="AF301" s="72">
        <f t="shared" si="43"/>
        <v>0</v>
      </c>
      <c r="AG301" s="72">
        <f t="shared" si="43"/>
        <v>0</v>
      </c>
      <c r="AH301" s="72">
        <f t="shared" si="43"/>
        <v>0</v>
      </c>
      <c r="AI301" s="72">
        <f t="shared" si="43"/>
        <v>0</v>
      </c>
      <c r="AJ301" s="72">
        <f t="shared" si="43"/>
        <v>0</v>
      </c>
      <c r="AK301" s="72">
        <f t="shared" si="43"/>
        <v>0</v>
      </c>
      <c r="AL301" s="72">
        <f t="shared" si="43"/>
        <v>0</v>
      </c>
      <c r="AM301" s="72">
        <f t="shared" si="43"/>
        <v>0</v>
      </c>
      <c r="AN301" s="72">
        <f t="shared" si="43"/>
        <v>0</v>
      </c>
      <c r="AO301" s="72">
        <f t="shared" si="43"/>
        <v>0</v>
      </c>
      <c r="AP301" s="72">
        <f t="shared" si="43"/>
        <v>0</v>
      </c>
      <c r="AQ301" s="72">
        <f t="shared" si="43"/>
        <v>0</v>
      </c>
      <c r="AR301" s="72">
        <f t="shared" si="43"/>
        <v>0</v>
      </c>
      <c r="AS301" s="72">
        <f t="shared" si="43"/>
        <v>0</v>
      </c>
    </row>
    <row r="302" spans="1:45" hidden="1" outlineLevel="1" x14ac:dyDescent="0.25">
      <c r="A302" s="74"/>
      <c r="B302" s="74"/>
      <c r="C302" s="74">
        <f t="shared" ref="C302:C322" si="44">SUM(G302:AT302)</f>
        <v>0</v>
      </c>
      <c r="D302" s="75"/>
      <c r="E302" s="75"/>
      <c r="F302" s="75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</row>
    <row r="303" spans="1:45" hidden="1" outlineLevel="1" x14ac:dyDescent="0.25">
      <c r="A303" s="76"/>
      <c r="B303" s="76"/>
      <c r="C303" s="76">
        <f t="shared" si="44"/>
        <v>0</v>
      </c>
      <c r="D303" s="77"/>
      <c r="E303" s="77"/>
      <c r="F303" s="77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/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</row>
    <row r="304" spans="1:45" hidden="1" outlineLevel="1" x14ac:dyDescent="0.25">
      <c r="A304" s="76"/>
      <c r="B304" s="76"/>
      <c r="C304" s="76">
        <f t="shared" si="44"/>
        <v>0</v>
      </c>
      <c r="D304" s="77"/>
      <c r="E304" s="77"/>
      <c r="F304" s="77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</row>
    <row r="305" spans="1:45" hidden="1" outlineLevel="1" x14ac:dyDescent="0.25">
      <c r="A305" s="76"/>
      <c r="B305" s="76"/>
      <c r="C305" s="76">
        <f t="shared" si="44"/>
        <v>0</v>
      </c>
      <c r="D305" s="77"/>
      <c r="E305" s="77"/>
      <c r="F305" s="77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/>
      <c r="AC305" s="76"/>
      <c r="AD305" s="76"/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</row>
    <row r="306" spans="1:45" hidden="1" outlineLevel="1" x14ac:dyDescent="0.25">
      <c r="A306" s="76"/>
      <c r="B306" s="76"/>
      <c r="C306" s="76">
        <f t="shared" si="44"/>
        <v>0</v>
      </c>
      <c r="D306" s="77"/>
      <c r="E306" s="77"/>
      <c r="F306" s="77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6"/>
      <c r="AC306" s="76"/>
      <c r="AD306" s="76"/>
      <c r="AE306" s="76"/>
      <c r="AF306" s="76"/>
      <c r="AG306" s="76"/>
      <c r="AH306" s="76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</row>
    <row r="307" spans="1:45" hidden="1" outlineLevel="1" x14ac:dyDescent="0.25">
      <c r="A307" s="76"/>
      <c r="B307" s="76"/>
      <c r="C307" s="76">
        <f t="shared" si="44"/>
        <v>0</v>
      </c>
      <c r="D307" s="77"/>
      <c r="E307" s="77"/>
      <c r="F307" s="77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6"/>
      <c r="AC307" s="76"/>
      <c r="AD307" s="76"/>
      <c r="AE307" s="76"/>
      <c r="AF307" s="76"/>
      <c r="AG307" s="76"/>
      <c r="AH307" s="76"/>
      <c r="AI307" s="76"/>
      <c r="AJ307" s="76"/>
      <c r="AK307" s="76"/>
      <c r="AL307" s="76"/>
      <c r="AM307" s="76"/>
      <c r="AN307" s="76"/>
      <c r="AO307" s="76"/>
      <c r="AP307" s="76"/>
      <c r="AQ307" s="76"/>
      <c r="AR307" s="76"/>
      <c r="AS307" s="76"/>
    </row>
    <row r="308" spans="1:45" hidden="1" outlineLevel="1" x14ac:dyDescent="0.25">
      <c r="A308" s="76"/>
      <c r="B308" s="76"/>
      <c r="C308" s="76">
        <f t="shared" si="44"/>
        <v>0</v>
      </c>
      <c r="D308" s="77"/>
      <c r="E308" s="77"/>
      <c r="F308" s="77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/>
      <c r="AC308" s="76"/>
      <c r="AD308" s="76"/>
      <c r="AE308" s="76"/>
      <c r="AF308" s="76"/>
      <c r="AG308" s="76"/>
      <c r="AH308" s="76"/>
      <c r="AI308" s="76"/>
      <c r="AJ308" s="76"/>
      <c r="AK308" s="76"/>
      <c r="AL308" s="76"/>
      <c r="AM308" s="76"/>
      <c r="AN308" s="76"/>
      <c r="AO308" s="76"/>
      <c r="AP308" s="76"/>
      <c r="AQ308" s="76"/>
      <c r="AR308" s="76"/>
      <c r="AS308" s="76"/>
    </row>
    <row r="309" spans="1:45" hidden="1" outlineLevel="1" x14ac:dyDescent="0.25">
      <c r="A309" s="76"/>
      <c r="B309" s="76"/>
      <c r="C309" s="76">
        <f t="shared" si="44"/>
        <v>0</v>
      </c>
      <c r="D309" s="77"/>
      <c r="E309" s="77"/>
      <c r="F309" s="77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  <c r="Z309" s="76"/>
      <c r="AA309" s="76"/>
      <c r="AB309" s="76"/>
      <c r="AC309" s="76"/>
      <c r="AD309" s="76"/>
      <c r="AE309" s="76"/>
      <c r="AF309" s="76"/>
      <c r="AG309" s="76"/>
      <c r="AH309" s="76"/>
      <c r="AI309" s="76"/>
      <c r="AJ309" s="76"/>
      <c r="AK309" s="76"/>
      <c r="AL309" s="76"/>
      <c r="AM309" s="76"/>
      <c r="AN309" s="76"/>
      <c r="AO309" s="76"/>
      <c r="AP309" s="76"/>
      <c r="AQ309" s="76"/>
      <c r="AR309" s="76"/>
      <c r="AS309" s="76"/>
    </row>
    <row r="310" spans="1:45" hidden="1" outlineLevel="1" x14ac:dyDescent="0.25">
      <c r="A310" s="76"/>
      <c r="B310" s="76"/>
      <c r="C310" s="76">
        <f t="shared" si="44"/>
        <v>0</v>
      </c>
      <c r="D310" s="77"/>
      <c r="E310" s="77"/>
      <c r="F310" s="77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6"/>
      <c r="AC310" s="76"/>
      <c r="AD310" s="76"/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</row>
    <row r="311" spans="1:45" hidden="1" outlineLevel="1" x14ac:dyDescent="0.25">
      <c r="A311" s="76"/>
      <c r="B311" s="76"/>
      <c r="C311" s="76">
        <f t="shared" si="44"/>
        <v>0</v>
      </c>
      <c r="D311" s="77"/>
      <c r="E311" s="77"/>
      <c r="F311" s="77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/>
      <c r="AC311" s="76"/>
      <c r="AD311" s="76"/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/>
      <c r="AP311" s="76"/>
      <c r="AQ311" s="76"/>
      <c r="AR311" s="76"/>
      <c r="AS311" s="76"/>
    </row>
    <row r="312" spans="1:45" hidden="1" outlineLevel="1" x14ac:dyDescent="0.25">
      <c r="A312" s="76"/>
      <c r="B312" s="76"/>
      <c r="C312" s="76">
        <f t="shared" si="44"/>
        <v>0</v>
      </c>
      <c r="D312" s="77"/>
      <c r="E312" s="77"/>
      <c r="F312" s="77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6"/>
      <c r="AC312" s="76"/>
      <c r="AD312" s="76"/>
      <c r="AE312" s="76"/>
      <c r="AF312" s="76"/>
      <c r="AG312" s="76"/>
      <c r="AH312" s="76"/>
      <c r="AI312" s="76"/>
      <c r="AJ312" s="76"/>
      <c r="AK312" s="76"/>
      <c r="AL312" s="76"/>
      <c r="AM312" s="76"/>
      <c r="AN312" s="76"/>
      <c r="AO312" s="76"/>
      <c r="AP312" s="76"/>
      <c r="AQ312" s="76"/>
      <c r="AR312" s="76"/>
      <c r="AS312" s="76"/>
    </row>
    <row r="313" spans="1:45" hidden="1" outlineLevel="1" x14ac:dyDescent="0.25">
      <c r="A313" s="76"/>
      <c r="B313" s="76"/>
      <c r="C313" s="76">
        <f t="shared" si="44"/>
        <v>0</v>
      </c>
      <c r="D313" s="77"/>
      <c r="E313" s="77"/>
      <c r="F313" s="77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  <c r="Z313" s="76"/>
      <c r="AA313" s="76"/>
      <c r="AB313" s="76"/>
      <c r="AC313" s="76"/>
      <c r="AD313" s="76"/>
      <c r="AE313" s="76"/>
      <c r="AF313" s="76"/>
      <c r="AG313" s="76"/>
      <c r="AH313" s="76"/>
      <c r="AI313" s="76"/>
      <c r="AJ313" s="76"/>
      <c r="AK313" s="76"/>
      <c r="AL313" s="76"/>
      <c r="AM313" s="76"/>
      <c r="AN313" s="76"/>
      <c r="AO313" s="76"/>
      <c r="AP313" s="76"/>
      <c r="AQ313" s="76"/>
      <c r="AR313" s="76"/>
      <c r="AS313" s="76"/>
    </row>
    <row r="314" spans="1:45" hidden="1" outlineLevel="1" x14ac:dyDescent="0.25">
      <c r="A314" s="76"/>
      <c r="B314" s="76"/>
      <c r="C314" s="76">
        <f t="shared" si="44"/>
        <v>0</v>
      </c>
      <c r="D314" s="77"/>
      <c r="E314" s="77"/>
      <c r="F314" s="77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/>
      <c r="AC314" s="76"/>
      <c r="AD314" s="76"/>
      <c r="AE314" s="76"/>
      <c r="AF314" s="76"/>
      <c r="AG314" s="76"/>
      <c r="AH314" s="76"/>
      <c r="AI314" s="76"/>
      <c r="AJ314" s="76"/>
      <c r="AK314" s="76"/>
      <c r="AL314" s="76"/>
      <c r="AM314" s="76"/>
      <c r="AN314" s="76"/>
      <c r="AO314" s="76"/>
      <c r="AP314" s="76"/>
      <c r="AQ314" s="76"/>
      <c r="AR314" s="76"/>
      <c r="AS314" s="76"/>
    </row>
    <row r="315" spans="1:45" hidden="1" outlineLevel="1" x14ac:dyDescent="0.25">
      <c r="A315" s="76"/>
      <c r="B315" s="76"/>
      <c r="C315" s="76">
        <f t="shared" si="44"/>
        <v>0</v>
      </c>
      <c r="D315" s="77"/>
      <c r="E315" s="77"/>
      <c r="F315" s="77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  <c r="Z315" s="76"/>
      <c r="AA315" s="76"/>
      <c r="AB315" s="76"/>
      <c r="AC315" s="76"/>
      <c r="AD315" s="76"/>
      <c r="AE315" s="76"/>
      <c r="AF315" s="76"/>
      <c r="AG315" s="76"/>
      <c r="AH315" s="76"/>
      <c r="AI315" s="76"/>
      <c r="AJ315" s="76"/>
      <c r="AK315" s="76"/>
      <c r="AL315" s="76"/>
      <c r="AM315" s="76"/>
      <c r="AN315" s="76"/>
      <c r="AO315" s="76"/>
      <c r="AP315" s="76"/>
      <c r="AQ315" s="76"/>
      <c r="AR315" s="76"/>
      <c r="AS315" s="76"/>
    </row>
    <row r="316" spans="1:45" hidden="1" outlineLevel="1" x14ac:dyDescent="0.25">
      <c r="A316" s="76"/>
      <c r="B316" s="76"/>
      <c r="C316" s="76">
        <f t="shared" si="44"/>
        <v>0</v>
      </c>
      <c r="D316" s="77"/>
      <c r="E316" s="77"/>
      <c r="F316" s="77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  <c r="Z316" s="76"/>
      <c r="AA316" s="76"/>
      <c r="AB316" s="76"/>
      <c r="AC316" s="76"/>
      <c r="AD316" s="76"/>
      <c r="AE316" s="76"/>
      <c r="AF316" s="76"/>
      <c r="AG316" s="76"/>
      <c r="AH316" s="76"/>
      <c r="AI316" s="76"/>
      <c r="AJ316" s="76"/>
      <c r="AK316" s="76"/>
      <c r="AL316" s="76"/>
      <c r="AM316" s="76"/>
      <c r="AN316" s="76"/>
      <c r="AO316" s="76"/>
      <c r="AP316" s="76"/>
      <c r="AQ316" s="76"/>
      <c r="AR316" s="76"/>
      <c r="AS316" s="76"/>
    </row>
    <row r="317" spans="1:45" hidden="1" outlineLevel="1" x14ac:dyDescent="0.25">
      <c r="A317" s="76"/>
      <c r="B317" s="76"/>
      <c r="C317" s="76">
        <f t="shared" si="44"/>
        <v>0</v>
      </c>
      <c r="D317" s="77"/>
      <c r="E317" s="77"/>
      <c r="F317" s="77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/>
      <c r="AC317" s="76"/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</row>
    <row r="318" spans="1:45" hidden="1" outlineLevel="1" x14ac:dyDescent="0.25">
      <c r="A318" s="76"/>
      <c r="B318" s="76"/>
      <c r="C318" s="76">
        <f t="shared" si="44"/>
        <v>0</v>
      </c>
      <c r="D318" s="77"/>
      <c r="E318" s="77"/>
      <c r="F318" s="77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6"/>
      <c r="AC318" s="76"/>
      <c r="AD318" s="76"/>
      <c r="AE318" s="76"/>
      <c r="AF318" s="76"/>
      <c r="AG318" s="76"/>
      <c r="AH318" s="76"/>
      <c r="AI318" s="76"/>
      <c r="AJ318" s="76"/>
      <c r="AK318" s="76"/>
      <c r="AL318" s="76"/>
      <c r="AM318" s="76"/>
      <c r="AN318" s="76"/>
      <c r="AO318" s="76"/>
      <c r="AP318" s="76"/>
      <c r="AQ318" s="76"/>
      <c r="AR318" s="76"/>
      <c r="AS318" s="76"/>
    </row>
    <row r="319" spans="1:45" hidden="1" outlineLevel="1" x14ac:dyDescent="0.25">
      <c r="A319" s="76"/>
      <c r="B319" s="76"/>
      <c r="C319" s="76">
        <f t="shared" si="44"/>
        <v>0</v>
      </c>
      <c r="D319" s="77"/>
      <c r="E319" s="77"/>
      <c r="F319" s="77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6"/>
      <c r="AC319" s="76"/>
      <c r="AD319" s="76"/>
      <c r="AE319" s="76"/>
      <c r="AF319" s="76"/>
      <c r="AG319" s="76"/>
      <c r="AH319" s="76"/>
      <c r="AI319" s="76"/>
      <c r="AJ319" s="76"/>
      <c r="AK319" s="76"/>
      <c r="AL319" s="76"/>
      <c r="AM319" s="76"/>
      <c r="AN319" s="76"/>
      <c r="AO319" s="76"/>
      <c r="AP319" s="76"/>
      <c r="AQ319" s="76"/>
      <c r="AR319" s="76"/>
      <c r="AS319" s="76"/>
    </row>
    <row r="320" spans="1:45" hidden="1" outlineLevel="1" x14ac:dyDescent="0.25">
      <c r="A320" s="76"/>
      <c r="B320" s="76"/>
      <c r="C320" s="76">
        <f t="shared" si="44"/>
        <v>0</v>
      </c>
      <c r="D320" s="77"/>
      <c r="E320" s="77"/>
      <c r="F320" s="77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/>
      <c r="AC320" s="76"/>
      <c r="AD320" s="76"/>
      <c r="AE320" s="76"/>
      <c r="AF320" s="76"/>
      <c r="AG320" s="76"/>
      <c r="AH320" s="76"/>
      <c r="AI320" s="76"/>
      <c r="AJ320" s="76"/>
      <c r="AK320" s="76"/>
      <c r="AL320" s="76"/>
      <c r="AM320" s="76"/>
      <c r="AN320" s="76"/>
      <c r="AO320" s="76"/>
      <c r="AP320" s="76"/>
      <c r="AQ320" s="76"/>
      <c r="AR320" s="76"/>
      <c r="AS320" s="76"/>
    </row>
    <row r="321" spans="1:45" hidden="1" outlineLevel="1" x14ac:dyDescent="0.25">
      <c r="A321" s="76"/>
      <c r="B321" s="76"/>
      <c r="C321" s="76">
        <f t="shared" si="44"/>
        <v>0</v>
      </c>
      <c r="D321" s="77"/>
      <c r="E321" s="77"/>
      <c r="F321" s="77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/>
      <c r="AE321" s="76"/>
      <c r="AF321" s="76"/>
      <c r="AG321" s="76"/>
      <c r="AH321" s="76"/>
      <c r="AI321" s="76"/>
      <c r="AJ321" s="76"/>
      <c r="AK321" s="76"/>
      <c r="AL321" s="76"/>
      <c r="AM321" s="76"/>
      <c r="AN321" s="76"/>
      <c r="AO321" s="76"/>
      <c r="AP321" s="76"/>
      <c r="AQ321" s="76"/>
      <c r="AR321" s="76"/>
      <c r="AS321" s="76"/>
    </row>
    <row r="322" spans="1:45" hidden="1" outlineLevel="1" x14ac:dyDescent="0.25">
      <c r="A322" s="78"/>
      <c r="B322" s="78"/>
      <c r="C322" s="78">
        <f t="shared" si="44"/>
        <v>0</v>
      </c>
      <c r="D322" s="79"/>
      <c r="E322" s="79"/>
      <c r="F322" s="79"/>
      <c r="G322" s="78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  <c r="AF322" s="78"/>
      <c r="AG322" s="78"/>
      <c r="AH322" s="78"/>
      <c r="AI322" s="78"/>
      <c r="AJ322" s="78"/>
      <c r="AK322" s="78"/>
      <c r="AL322" s="78"/>
      <c r="AM322" s="78"/>
      <c r="AN322" s="78"/>
      <c r="AO322" s="78"/>
      <c r="AP322" s="78"/>
      <c r="AQ322" s="78"/>
      <c r="AR322" s="78"/>
      <c r="AS322" s="78"/>
    </row>
    <row r="323" spans="1:45" s="35" customFormat="1" collapsed="1" x14ac:dyDescent="0.25">
      <c r="A323" s="72">
        <f>A301-B323-C323</f>
        <v>39161.385454545438</v>
      </c>
      <c r="B323" s="72">
        <f>-rcpJun</f>
        <v>0</v>
      </c>
      <c r="C323" s="72">
        <f>SUBTOTAL(9,C302:C322)</f>
        <v>0</v>
      </c>
      <c r="D323" s="73"/>
      <c r="E323" s="73" t="s">
        <v>85</v>
      </c>
      <c r="F323" s="73"/>
      <c r="G323" s="72">
        <f t="shared" ref="G323:AS323" si="45">SUBTOTAL(9,G302:G322)</f>
        <v>0</v>
      </c>
      <c r="H323" s="72">
        <f t="shared" si="45"/>
        <v>0</v>
      </c>
      <c r="I323" s="72">
        <f t="shared" si="45"/>
        <v>0</v>
      </c>
      <c r="J323" s="72">
        <f t="shared" si="45"/>
        <v>0</v>
      </c>
      <c r="K323" s="72">
        <f t="shared" si="45"/>
        <v>0</v>
      </c>
      <c r="L323" s="72">
        <f t="shared" si="45"/>
        <v>0</v>
      </c>
      <c r="M323" s="72">
        <f t="shared" si="45"/>
        <v>0</v>
      </c>
      <c r="N323" s="72">
        <f t="shared" si="45"/>
        <v>0</v>
      </c>
      <c r="O323" s="72">
        <f t="shared" si="45"/>
        <v>0</v>
      </c>
      <c r="P323" s="72">
        <f t="shared" si="45"/>
        <v>0</v>
      </c>
      <c r="Q323" s="72">
        <f t="shared" si="45"/>
        <v>0</v>
      </c>
      <c r="R323" s="72">
        <f t="shared" si="45"/>
        <v>0</v>
      </c>
      <c r="S323" s="72">
        <f t="shared" si="45"/>
        <v>0</v>
      </c>
      <c r="T323" s="72">
        <f t="shared" si="45"/>
        <v>0</v>
      </c>
      <c r="U323" s="72">
        <f t="shared" si="45"/>
        <v>0</v>
      </c>
      <c r="V323" s="72">
        <f t="shared" ref="V323:W323" si="46">SUBTOTAL(9,V302:V322)</f>
        <v>0</v>
      </c>
      <c r="W323" s="72">
        <f t="shared" si="46"/>
        <v>0</v>
      </c>
      <c r="X323" s="72">
        <f t="shared" ref="X323:Z323" si="47">SUBTOTAL(9,X302:X322)</f>
        <v>0</v>
      </c>
      <c r="Y323" s="72">
        <f t="shared" si="45"/>
        <v>0</v>
      </c>
      <c r="Z323" s="72">
        <f t="shared" si="47"/>
        <v>0</v>
      </c>
      <c r="AA323" s="72">
        <f t="shared" si="45"/>
        <v>0</v>
      </c>
      <c r="AB323" s="72">
        <f t="shared" si="45"/>
        <v>0</v>
      </c>
      <c r="AC323" s="72">
        <f t="shared" si="45"/>
        <v>0</v>
      </c>
      <c r="AD323" s="72">
        <f>SUBTOTAL(9,AD302:AD322)</f>
        <v>0</v>
      </c>
      <c r="AE323" s="72">
        <f t="shared" si="45"/>
        <v>0</v>
      </c>
      <c r="AF323" s="72">
        <f t="shared" si="45"/>
        <v>0</v>
      </c>
      <c r="AG323" s="72">
        <f t="shared" si="45"/>
        <v>0</v>
      </c>
      <c r="AH323" s="72">
        <f>SUBTOTAL(9,AH302:AH322)</f>
        <v>0</v>
      </c>
      <c r="AI323" s="72">
        <f t="shared" ref="AI323:AJ323" si="48">SUBTOTAL(9,AI302:AI322)</f>
        <v>0</v>
      </c>
      <c r="AJ323" s="72">
        <f t="shared" si="48"/>
        <v>0</v>
      </c>
      <c r="AK323" s="72">
        <f t="shared" si="45"/>
        <v>0</v>
      </c>
      <c r="AL323" s="72">
        <f t="shared" si="45"/>
        <v>0</v>
      </c>
      <c r="AM323" s="72">
        <f t="shared" si="45"/>
        <v>0</v>
      </c>
      <c r="AN323" s="72">
        <f t="shared" si="45"/>
        <v>0</v>
      </c>
      <c r="AO323" s="72">
        <f t="shared" si="45"/>
        <v>0</v>
      </c>
      <c r="AP323" s="72">
        <f t="shared" si="45"/>
        <v>0</v>
      </c>
      <c r="AQ323" s="72">
        <f t="shared" si="45"/>
        <v>0</v>
      </c>
      <c r="AR323" s="72">
        <f t="shared" si="45"/>
        <v>0</v>
      </c>
      <c r="AS323" s="72">
        <f t="shared" si="45"/>
        <v>0</v>
      </c>
    </row>
    <row r="324" spans="1:45" s="35" customFormat="1" x14ac:dyDescent="0.25">
      <c r="A324" s="80"/>
      <c r="B324" s="44">
        <f>SUBTOTAL(9,B254:B323)</f>
        <v>0</v>
      </c>
      <c r="C324" s="44">
        <f>SUBTOTAL(9,C254:C323)</f>
        <v>0</v>
      </c>
      <c r="D324" s="82"/>
      <c r="E324" s="81" t="s">
        <v>86</v>
      </c>
      <c r="F324" s="82"/>
      <c r="G324" s="44">
        <f t="shared" ref="G324:AS324" si="49">SUBTOTAL(9,G254:G323)</f>
        <v>0</v>
      </c>
      <c r="H324" s="44">
        <f t="shared" si="49"/>
        <v>0</v>
      </c>
      <c r="I324" s="44">
        <f t="shared" si="49"/>
        <v>0</v>
      </c>
      <c r="J324" s="44">
        <f t="shared" si="49"/>
        <v>0</v>
      </c>
      <c r="K324" s="44">
        <f t="shared" si="49"/>
        <v>0</v>
      </c>
      <c r="L324" s="44">
        <f t="shared" si="49"/>
        <v>0</v>
      </c>
      <c r="M324" s="44">
        <f t="shared" si="49"/>
        <v>0</v>
      </c>
      <c r="N324" s="44">
        <f t="shared" si="49"/>
        <v>0</v>
      </c>
      <c r="O324" s="44">
        <f t="shared" si="49"/>
        <v>0</v>
      </c>
      <c r="P324" s="44">
        <f t="shared" si="49"/>
        <v>0</v>
      </c>
      <c r="Q324" s="44">
        <f t="shared" si="49"/>
        <v>0</v>
      </c>
      <c r="R324" s="44">
        <f t="shared" si="49"/>
        <v>0</v>
      </c>
      <c r="S324" s="44">
        <f t="shared" si="49"/>
        <v>0</v>
      </c>
      <c r="T324" s="44">
        <f t="shared" si="49"/>
        <v>0</v>
      </c>
      <c r="U324" s="44">
        <f t="shared" si="49"/>
        <v>0</v>
      </c>
      <c r="V324" s="44">
        <f t="shared" si="49"/>
        <v>0</v>
      </c>
      <c r="W324" s="44">
        <f t="shared" si="49"/>
        <v>0</v>
      </c>
      <c r="X324" s="44">
        <f t="shared" si="49"/>
        <v>0</v>
      </c>
      <c r="Y324" s="44">
        <f t="shared" si="49"/>
        <v>0</v>
      </c>
      <c r="Z324" s="44">
        <f t="shared" si="49"/>
        <v>0</v>
      </c>
      <c r="AA324" s="44">
        <f t="shared" si="49"/>
        <v>0</v>
      </c>
      <c r="AB324" s="44">
        <f t="shared" si="49"/>
        <v>0</v>
      </c>
      <c r="AC324" s="44">
        <f t="shared" si="49"/>
        <v>0</v>
      </c>
      <c r="AD324" s="44">
        <f t="shared" si="49"/>
        <v>0</v>
      </c>
      <c r="AE324" s="44">
        <f t="shared" si="49"/>
        <v>0</v>
      </c>
      <c r="AF324" s="44">
        <f t="shared" si="49"/>
        <v>0</v>
      </c>
      <c r="AG324" s="44">
        <f t="shared" si="49"/>
        <v>0</v>
      </c>
      <c r="AH324" s="44">
        <f t="shared" si="49"/>
        <v>0</v>
      </c>
      <c r="AI324" s="44">
        <f t="shared" si="49"/>
        <v>0</v>
      </c>
      <c r="AJ324" s="44">
        <f t="shared" si="49"/>
        <v>0</v>
      </c>
      <c r="AK324" s="44">
        <f t="shared" si="49"/>
        <v>0</v>
      </c>
      <c r="AL324" s="44">
        <f t="shared" si="49"/>
        <v>0</v>
      </c>
      <c r="AM324" s="44">
        <f t="shared" si="49"/>
        <v>0</v>
      </c>
      <c r="AN324" s="44">
        <f t="shared" si="49"/>
        <v>0</v>
      </c>
      <c r="AO324" s="44">
        <f t="shared" si="49"/>
        <v>0</v>
      </c>
      <c r="AP324" s="44">
        <f t="shared" si="49"/>
        <v>0</v>
      </c>
      <c r="AQ324" s="44">
        <f t="shared" si="49"/>
        <v>0</v>
      </c>
      <c r="AR324" s="44">
        <f t="shared" si="49"/>
        <v>0</v>
      </c>
      <c r="AS324" s="44">
        <f t="shared" si="49"/>
        <v>0</v>
      </c>
    </row>
    <row r="325" spans="1:45" ht="13.8" thickBot="1" x14ac:dyDescent="0.3">
      <c r="A325" s="85">
        <f>A3-B325-C325</f>
        <v>39161.385454545671</v>
      </c>
      <c r="B325" s="86">
        <f>SUBTOTAL(9,B5:B323)</f>
        <v>-388892.58</v>
      </c>
      <c r="C325" s="86">
        <f>SUBTOTAL(9,C5:C323)</f>
        <v>346512.70454545435</v>
      </c>
      <c r="D325" s="87" t="s">
        <v>87</v>
      </c>
      <c r="E325" s="87"/>
      <c r="F325" s="87"/>
      <c r="G325" s="86">
        <f t="shared" ref="G325:AJ325" si="50">SUBTOTAL(9,G5:G322)</f>
        <v>0</v>
      </c>
      <c r="H325" s="86">
        <f t="shared" si="50"/>
        <v>3088.9963636363632</v>
      </c>
      <c r="I325" s="86">
        <f t="shared" si="50"/>
        <v>0</v>
      </c>
      <c r="J325" s="86">
        <f t="shared" si="50"/>
        <v>4.55</v>
      </c>
      <c r="K325" s="86">
        <f t="shared" si="50"/>
        <v>0</v>
      </c>
      <c r="L325" s="86">
        <f t="shared" si="50"/>
        <v>36.74545454545455</v>
      </c>
      <c r="M325" s="86">
        <f t="shared" si="50"/>
        <v>8965.9063636363644</v>
      </c>
      <c r="N325" s="86">
        <f t="shared" si="50"/>
        <v>0</v>
      </c>
      <c r="O325" s="86">
        <f t="shared" si="50"/>
        <v>408.40999999999997</v>
      </c>
      <c r="P325" s="86">
        <f t="shared" si="50"/>
        <v>6874.3099999999995</v>
      </c>
      <c r="Q325" s="86">
        <f t="shared" si="50"/>
        <v>186.33999999999997</v>
      </c>
      <c r="R325" s="86">
        <f t="shared" si="50"/>
        <v>0</v>
      </c>
      <c r="S325" s="86">
        <f t="shared" si="50"/>
        <v>-2631.770000000005</v>
      </c>
      <c r="T325" s="86">
        <f t="shared" si="50"/>
        <v>23424.93</v>
      </c>
      <c r="U325" s="86">
        <f t="shared" si="50"/>
        <v>27950.39</v>
      </c>
      <c r="V325" s="86">
        <f t="shared" si="50"/>
        <v>31804.059999999998</v>
      </c>
      <c r="W325" s="86">
        <f t="shared" si="50"/>
        <v>28481.71</v>
      </c>
      <c r="X325" s="86">
        <f t="shared" si="50"/>
        <v>18735.189999999999</v>
      </c>
      <c r="Y325" s="86">
        <f t="shared" si="50"/>
        <v>23587.769999999997</v>
      </c>
      <c r="Z325" s="86">
        <f t="shared" si="50"/>
        <v>18556.219999999998</v>
      </c>
      <c r="AA325" s="86">
        <f t="shared" si="50"/>
        <v>0</v>
      </c>
      <c r="AB325" s="86">
        <f t="shared" si="50"/>
        <v>20133.390000000003</v>
      </c>
      <c r="AC325" s="86">
        <f t="shared" si="50"/>
        <v>0</v>
      </c>
      <c r="AD325" s="86">
        <f t="shared" si="50"/>
        <v>4921</v>
      </c>
      <c r="AE325" s="86">
        <f t="shared" si="50"/>
        <v>4802.0499999999993</v>
      </c>
      <c r="AF325" s="86">
        <f t="shared" si="50"/>
        <v>3273.38</v>
      </c>
      <c r="AG325" s="86">
        <f t="shared" si="50"/>
        <v>3273.38</v>
      </c>
      <c r="AH325" s="86">
        <f t="shared" si="50"/>
        <v>3346.25</v>
      </c>
      <c r="AI325" s="86">
        <f t="shared" si="50"/>
        <v>2978.9100000000003</v>
      </c>
      <c r="AJ325" s="86">
        <f t="shared" si="50"/>
        <v>1825.78</v>
      </c>
      <c r="AK325" s="86">
        <f t="shared" ref="AK325:AS325" si="51">SUBTOTAL(9,AK5:AK322)</f>
        <v>2577.6800000000003</v>
      </c>
      <c r="AL325" s="86">
        <f t="shared" si="51"/>
        <v>2577.6800000000003</v>
      </c>
      <c r="AM325" s="86">
        <f t="shared" si="51"/>
        <v>0</v>
      </c>
      <c r="AN325" s="86">
        <f t="shared" si="51"/>
        <v>25338</v>
      </c>
      <c r="AO325" s="86">
        <f t="shared" si="51"/>
        <v>75977</v>
      </c>
      <c r="AP325" s="86">
        <f t="shared" si="51"/>
        <v>5600</v>
      </c>
      <c r="AQ325" s="86">
        <f t="shared" si="51"/>
        <v>0</v>
      </c>
      <c r="AR325" s="86">
        <f t="shared" si="51"/>
        <v>0</v>
      </c>
      <c r="AS325" s="86">
        <f t="shared" si="51"/>
        <v>414.44636363636363</v>
      </c>
    </row>
    <row r="326" spans="1:45" x14ac:dyDescent="0.25">
      <c r="B326" s="61"/>
      <c r="C326" s="61"/>
      <c r="D326" s="61"/>
      <c r="AA326" s="62" t="s">
        <v>88</v>
      </c>
      <c r="AB326" s="62" t="s">
        <v>88</v>
      </c>
    </row>
  </sheetData>
  <conditionalFormatting sqref="G324:U324 G253:U253 G174:U174 G90:U90 Y90 Y174 Y253 Y324 AA324:AH324 AA253:AH253 AA174:AH174 AA90:AH90 AK90:AS90 AK174:AS174 AK253:AS253 AK324:AS324">
    <cfRule type="cellIs" dxfId="99" priority="12" operator="greaterThanOrEqual">
      <formula>0</formula>
    </cfRule>
    <cfRule type="cellIs" dxfId="98" priority="13" operator="lessThan">
      <formula>0</formula>
    </cfRule>
  </conditionalFormatting>
  <conditionalFormatting sqref="V90 V174 V253 V324">
    <cfRule type="cellIs" dxfId="97" priority="10" operator="greaterThanOrEqual">
      <formula>0</formula>
    </cfRule>
    <cfRule type="cellIs" dxfId="96" priority="11" operator="lessThan">
      <formula>0</formula>
    </cfRule>
  </conditionalFormatting>
  <conditionalFormatting sqref="Z90 Z174 Z253 Z324">
    <cfRule type="cellIs" dxfId="95" priority="8" operator="greaterThanOrEqual">
      <formula>0</formula>
    </cfRule>
    <cfRule type="cellIs" dxfId="94" priority="9" operator="lessThan">
      <formula>0</formula>
    </cfRule>
  </conditionalFormatting>
  <conditionalFormatting sqref="AI90:AJ90 AI174:AJ174 AI253:AJ253 AI324:AJ324">
    <cfRule type="cellIs" dxfId="93" priority="5" operator="greaterThanOrEqual">
      <formula>0</formula>
    </cfRule>
    <cfRule type="cellIs" dxfId="92" priority="6" operator="lessThan">
      <formula>0</formula>
    </cfRule>
  </conditionalFormatting>
  <conditionalFormatting sqref="W90 W174 W253 W324">
    <cfRule type="cellIs" dxfId="91" priority="3" operator="greaterThanOrEqual">
      <formula>0</formula>
    </cfRule>
    <cfRule type="cellIs" dxfId="90" priority="4" operator="lessThan">
      <formula>0</formula>
    </cfRule>
  </conditionalFormatting>
  <conditionalFormatting sqref="X90 X174 X253 X324">
    <cfRule type="cellIs" dxfId="89" priority="1" operator="greaterThanOrEqual">
      <formula>0</formula>
    </cfRule>
    <cfRule type="cellIs" dxfId="88" priority="2" operator="lessThan">
      <formula>0</formula>
    </cfRule>
  </conditionalFormatting>
  <pageMargins left="0.75" right="0.75" top="1" bottom="1" header="0.51180555555555496" footer="0.51180555555555496"/>
  <pageSetup paperSize="9" firstPageNumber="0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MK29"/>
  <sheetViews>
    <sheetView showZeros="0" zoomScale="95" zoomScaleNormal="95" workbookViewId="0">
      <selection activeCell="O7" sqref="O7"/>
    </sheetView>
  </sheetViews>
  <sheetFormatPr defaultRowHeight="13.2" x14ac:dyDescent="0.25"/>
  <cols>
    <col min="1" max="1" width="5" style="88"/>
    <col min="2" max="2" width="12.44140625" style="88"/>
    <col min="3" max="6" width="10.5546875" style="88"/>
    <col min="7" max="7" width="11.5546875" style="88"/>
    <col min="8" max="8" width="14.5546875" style="88"/>
    <col min="9" max="9" width="14.5546875" style="89"/>
    <col min="10" max="10" width="13.44140625" style="88"/>
    <col min="11" max="11" width="10.5546875" style="62"/>
    <col min="12" max="13" width="13.44140625" style="88"/>
    <col min="14" max="15" width="12.5546875" style="88"/>
    <col min="16" max="16" width="12.5546875" style="90"/>
    <col min="17" max="17" width="12.44140625" style="88"/>
    <col min="18" max="18" width="11.44140625" style="88"/>
    <col min="19" max="1025" width="11.5546875" style="88"/>
  </cols>
  <sheetData>
    <row r="1" spans="1:249" ht="20.399999999999999" x14ac:dyDescent="0.35">
      <c r="A1" s="4"/>
      <c r="B1" s="4" t="s">
        <v>688</v>
      </c>
      <c r="C1" s="4"/>
      <c r="D1" s="91"/>
      <c r="E1" s="91"/>
      <c r="F1" s="91"/>
      <c r="G1" s="92"/>
      <c r="H1" s="92"/>
      <c r="I1" s="92"/>
      <c r="J1" s="91"/>
      <c r="K1" s="93"/>
      <c r="L1" s="92"/>
      <c r="M1" s="92"/>
      <c r="N1" s="94"/>
      <c r="O1" s="95"/>
      <c r="P1" s="94"/>
      <c r="Q1" s="95"/>
      <c r="R1" s="95"/>
    </row>
    <row r="2" spans="1:249" s="102" customFormat="1" ht="13.8" x14ac:dyDescent="0.25">
      <c r="A2" s="96"/>
      <c r="B2" s="5" t="s">
        <v>8</v>
      </c>
      <c r="C2" s="5" t="s">
        <v>29</v>
      </c>
      <c r="D2" s="91" t="s">
        <v>43</v>
      </c>
      <c r="E2" s="91" t="s">
        <v>44</v>
      </c>
      <c r="F2" s="91" t="s">
        <v>89</v>
      </c>
      <c r="G2" s="97" t="s">
        <v>29</v>
      </c>
      <c r="H2" s="98" t="s">
        <v>90</v>
      </c>
      <c r="I2" s="99" t="s">
        <v>91</v>
      </c>
      <c r="J2" s="98" t="s">
        <v>92</v>
      </c>
      <c r="K2" s="93" t="s">
        <v>93</v>
      </c>
      <c r="L2" s="99" t="s">
        <v>94</v>
      </c>
      <c r="M2" s="97" t="s">
        <v>35</v>
      </c>
      <c r="N2" s="100" t="s">
        <v>95</v>
      </c>
      <c r="O2" s="101" t="s">
        <v>35</v>
      </c>
      <c r="P2" s="100" t="s">
        <v>95</v>
      </c>
      <c r="Q2" s="101"/>
      <c r="R2" s="101" t="s">
        <v>95</v>
      </c>
    </row>
    <row r="3" spans="1:249" ht="14.4" thickBot="1" x14ac:dyDescent="0.3">
      <c r="A3" s="103"/>
      <c r="B3" s="104" t="s">
        <v>96</v>
      </c>
      <c r="C3" s="104" t="s">
        <v>97</v>
      </c>
      <c r="D3" s="105" t="s">
        <v>98</v>
      </c>
      <c r="E3" s="105" t="s">
        <v>98</v>
      </c>
      <c r="F3" s="105" t="s">
        <v>99</v>
      </c>
      <c r="G3" s="106" t="s">
        <v>100</v>
      </c>
      <c r="H3" s="107" t="s">
        <v>101</v>
      </c>
      <c r="I3" s="108" t="s">
        <v>102</v>
      </c>
      <c r="J3" s="107" t="s">
        <v>103</v>
      </c>
      <c r="K3" s="109" t="s">
        <v>104</v>
      </c>
      <c r="L3" s="108"/>
      <c r="M3" s="106" t="s">
        <v>105</v>
      </c>
      <c r="N3" s="110" t="s">
        <v>105</v>
      </c>
      <c r="O3" s="111" t="s">
        <v>106</v>
      </c>
      <c r="P3" s="110" t="s">
        <v>106</v>
      </c>
      <c r="Q3" s="111" t="s">
        <v>685</v>
      </c>
      <c r="R3" s="111" t="s">
        <v>106</v>
      </c>
    </row>
    <row r="4" spans="1:249" s="119" customFormat="1" x14ac:dyDescent="0.25">
      <c r="A4" s="112"/>
      <c r="B4" s="334"/>
      <c r="C4" s="334"/>
      <c r="D4" s="334"/>
      <c r="E4" s="334"/>
      <c r="F4" s="79"/>
      <c r="G4" s="335"/>
      <c r="H4" s="114"/>
      <c r="I4" s="115"/>
      <c r="J4" s="114"/>
      <c r="K4" s="116"/>
      <c r="L4" s="115"/>
      <c r="M4" s="113"/>
      <c r="N4" s="117"/>
      <c r="O4" s="113"/>
      <c r="P4" s="117"/>
      <c r="Q4" s="113"/>
      <c r="R4" s="11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8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</row>
    <row r="5" spans="1:249" x14ac:dyDescent="0.25">
      <c r="A5" s="14" t="s">
        <v>107</v>
      </c>
      <c r="B5" s="336"/>
      <c r="C5" s="336"/>
      <c r="D5" s="336"/>
      <c r="E5" s="336"/>
      <c r="F5" s="336"/>
      <c r="G5" s="337">
        <f t="shared" ref="G5:G16" si="0">C5+F5</f>
        <v>0</v>
      </c>
      <c r="H5" s="385">
        <f ca="1">TRUNC(PAYG!P3)</f>
        <v>70755</v>
      </c>
      <c r="I5" s="386">
        <f ca="1">PAYG!Q3</f>
        <v>19590</v>
      </c>
      <c r="J5" s="339"/>
      <c r="K5" s="336"/>
      <c r="L5" s="338"/>
      <c r="M5" s="336">
        <f t="shared" ref="M5:M16" ca="1" si="1">G5+I5+L5</f>
        <v>19590</v>
      </c>
      <c r="N5" s="121"/>
      <c r="O5" s="345">
        <v>15203</v>
      </c>
      <c r="P5" s="122">
        <v>43713</v>
      </c>
      <c r="Q5" s="339">
        <f t="shared" ref="Q5:Q16" ca="1" si="2">M5-O5</f>
        <v>4387</v>
      </c>
      <c r="R5" s="122"/>
    </row>
    <row r="6" spans="1:249" x14ac:dyDescent="0.25">
      <c r="A6" s="14" t="s">
        <v>108</v>
      </c>
      <c r="B6" s="336"/>
      <c r="C6" s="336"/>
      <c r="D6" s="336"/>
      <c r="E6" s="336"/>
      <c r="F6" s="336"/>
      <c r="G6" s="337">
        <f t="shared" si="0"/>
        <v>0</v>
      </c>
      <c r="H6" s="387">
        <f ca="1">TRUNC(PAYG!P4)</f>
        <v>83749</v>
      </c>
      <c r="I6" s="386">
        <f ca="1">PAYG!Q4</f>
        <v>24526</v>
      </c>
      <c r="J6" s="339"/>
      <c r="K6" s="336"/>
      <c r="L6" s="338"/>
      <c r="M6" s="336">
        <f t="shared" ca="1" si="1"/>
        <v>24526</v>
      </c>
      <c r="N6" s="121"/>
      <c r="O6" s="339">
        <v>19614</v>
      </c>
      <c r="P6" s="122">
        <v>43742</v>
      </c>
      <c r="Q6" s="339">
        <f t="shared" ca="1" si="2"/>
        <v>4912</v>
      </c>
      <c r="R6" s="122">
        <v>43754</v>
      </c>
      <c r="S6" s="390"/>
    </row>
    <row r="7" spans="1:249" x14ac:dyDescent="0.25">
      <c r="A7" s="23" t="s">
        <v>109</v>
      </c>
      <c r="B7" s="340">
        <f>rcpRcptQ1</f>
        <v>330403.25999999989</v>
      </c>
      <c r="C7" s="340">
        <f>TRUNC(rcpGstQ1,0)</f>
        <v>30036</v>
      </c>
      <c r="D7" s="340">
        <f>payCapGstQ1*11</f>
        <v>0</v>
      </c>
      <c r="E7" s="340">
        <f>payNonGstQ1*11</f>
        <v>28643.079999999994</v>
      </c>
      <c r="F7" s="340">
        <f>-TRUNC(payCapGstQ1+payNonGstQ1,0)</f>
        <v>-2603</v>
      </c>
      <c r="G7" s="341">
        <f t="shared" si="0"/>
        <v>27433</v>
      </c>
      <c r="H7" s="388">
        <f ca="1">TRUNC(PAYG!P5)</f>
        <v>84040</v>
      </c>
      <c r="I7" s="389">
        <f ca="1">PAYG!Q5</f>
        <v>25230</v>
      </c>
      <c r="J7" s="344">
        <f>rcpEarnQ1</f>
        <v>300366.54999999993</v>
      </c>
      <c r="K7" s="340"/>
      <c r="L7" s="343">
        <v>5547</v>
      </c>
      <c r="M7" s="340">
        <f t="shared" ca="1" si="1"/>
        <v>58210</v>
      </c>
      <c r="N7" s="124">
        <v>43766</v>
      </c>
      <c r="O7" s="344"/>
      <c r="P7" s="125"/>
      <c r="Q7" s="344">
        <f t="shared" ca="1" si="2"/>
        <v>58210</v>
      </c>
      <c r="R7" s="125"/>
    </row>
    <row r="8" spans="1:249" x14ac:dyDescent="0.25">
      <c r="A8" s="14" t="s">
        <v>110</v>
      </c>
      <c r="B8" s="336"/>
      <c r="C8" s="336"/>
      <c r="D8" s="336"/>
      <c r="E8" s="336"/>
      <c r="F8" s="336"/>
      <c r="G8" s="337">
        <f t="shared" si="0"/>
        <v>0</v>
      </c>
      <c r="H8" s="385">
        <f ca="1">TRUNC(PAYG!P7)</f>
        <v>62257</v>
      </c>
      <c r="I8" s="386">
        <f ca="1">PAYG!Q7</f>
        <v>17263</v>
      </c>
      <c r="J8" s="339"/>
      <c r="K8" s="336"/>
      <c r="L8" s="337"/>
      <c r="M8" s="345">
        <f t="shared" ca="1" si="1"/>
        <v>17263</v>
      </c>
      <c r="N8" s="121"/>
      <c r="O8" s="345"/>
      <c r="P8" s="122"/>
      <c r="Q8" s="345">
        <f t="shared" ca="1" si="2"/>
        <v>17263</v>
      </c>
      <c r="R8" s="122"/>
      <c r="S8" s="390"/>
    </row>
    <row r="9" spans="1:249" x14ac:dyDescent="0.25">
      <c r="A9" s="14" t="s">
        <v>111</v>
      </c>
      <c r="B9" s="336"/>
      <c r="C9" s="336"/>
      <c r="D9" s="336"/>
      <c r="E9" s="336"/>
      <c r="F9" s="336"/>
      <c r="G9" s="337">
        <f t="shared" si="0"/>
        <v>0</v>
      </c>
      <c r="H9" s="387">
        <f ca="1">TRUNC(PAYG!P8)</f>
        <v>0</v>
      </c>
      <c r="I9" s="386">
        <f ca="1">PAYG!Q8</f>
        <v>0</v>
      </c>
      <c r="J9" s="339"/>
      <c r="K9" s="336"/>
      <c r="L9" s="337"/>
      <c r="M9" s="339">
        <f t="shared" ca="1" si="1"/>
        <v>0</v>
      </c>
      <c r="N9" s="121"/>
      <c r="O9" s="339"/>
      <c r="P9" s="122"/>
      <c r="Q9" s="339">
        <f t="shared" ca="1" si="2"/>
        <v>0</v>
      </c>
      <c r="R9" s="122"/>
      <c r="S9" s="391"/>
    </row>
    <row r="10" spans="1:249" s="127" customFormat="1" x14ac:dyDescent="0.25">
      <c r="A10" s="23" t="s">
        <v>112</v>
      </c>
      <c r="B10" s="340">
        <f>rcpRcptQ2</f>
        <v>58489.320000000007</v>
      </c>
      <c r="C10" s="340">
        <f>TRUNC(rcpGstQ2,0)</f>
        <v>5317</v>
      </c>
      <c r="D10" s="340">
        <f>payCapGstQ2*11</f>
        <v>0</v>
      </c>
      <c r="E10" s="340">
        <f>payNonGstQ2*11</f>
        <v>5335.88</v>
      </c>
      <c r="F10" s="340">
        <f>-TRUNC(payCapGstQ2+payNonGstQ2,0)</f>
        <v>-485</v>
      </c>
      <c r="G10" s="341">
        <f t="shared" si="0"/>
        <v>4832</v>
      </c>
      <c r="H10" s="388">
        <f ca="1">TRUNC(PAYG!P9)</f>
        <v>0</v>
      </c>
      <c r="I10" s="389">
        <f ca="1">PAYG!Q9</f>
        <v>0</v>
      </c>
      <c r="J10" s="344">
        <f>rcpEarnQ2</f>
        <v>53172.100000000006</v>
      </c>
      <c r="K10" s="340"/>
      <c r="L10" s="343">
        <v>5547</v>
      </c>
      <c r="M10" s="344">
        <f t="shared" ca="1" si="1"/>
        <v>10379</v>
      </c>
      <c r="N10" s="124"/>
      <c r="O10" s="344"/>
      <c r="P10" s="125"/>
      <c r="Q10" s="344">
        <f t="shared" ca="1" si="2"/>
        <v>10379</v>
      </c>
      <c r="R10" s="125"/>
      <c r="S10" s="126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  <c r="CD10" s="88"/>
      <c r="CE10" s="88"/>
      <c r="CF10" s="88"/>
      <c r="CG10" s="88"/>
      <c r="CH10" s="88"/>
      <c r="CI10" s="88"/>
      <c r="CJ10" s="88"/>
      <c r="CK10" s="88"/>
      <c r="CL10" s="88"/>
      <c r="CM10" s="88"/>
      <c r="CN10" s="88"/>
      <c r="CO10" s="88"/>
      <c r="CP10" s="88"/>
      <c r="CQ10" s="88"/>
      <c r="CR10" s="88"/>
      <c r="CS10" s="88"/>
      <c r="CT10" s="88"/>
      <c r="CU10" s="88"/>
      <c r="CV10" s="88"/>
      <c r="CW10" s="88"/>
      <c r="CX10" s="88"/>
      <c r="CY10" s="88"/>
      <c r="CZ10" s="88"/>
      <c r="DA10" s="88"/>
      <c r="DB10" s="88"/>
      <c r="DC10" s="88"/>
      <c r="DD10" s="88"/>
      <c r="DE10" s="88"/>
      <c r="DF10" s="88"/>
      <c r="DG10" s="88"/>
      <c r="DH10" s="88"/>
      <c r="DI10" s="88"/>
      <c r="DJ10" s="88"/>
      <c r="DK10" s="88"/>
      <c r="DL10" s="88"/>
      <c r="DM10" s="88"/>
      <c r="DN10" s="88"/>
      <c r="DO10" s="88"/>
      <c r="DP10" s="88"/>
      <c r="DQ10" s="88"/>
      <c r="DR10" s="88"/>
      <c r="DS10" s="88"/>
      <c r="DT10" s="88"/>
      <c r="DU10" s="88"/>
      <c r="DV10" s="88"/>
      <c r="DW10" s="88"/>
      <c r="DX10" s="88"/>
      <c r="DY10" s="88"/>
      <c r="DZ10" s="88"/>
      <c r="EA10" s="88"/>
      <c r="EB10" s="88"/>
      <c r="EC10" s="88"/>
      <c r="ED10" s="88"/>
      <c r="EE10" s="88"/>
      <c r="EF10" s="88"/>
      <c r="EG10" s="88"/>
      <c r="EH10" s="88"/>
      <c r="EI10" s="88"/>
      <c r="EJ10" s="88"/>
      <c r="EK10" s="88"/>
      <c r="EL10" s="88"/>
      <c r="EM10" s="88"/>
      <c r="EN10" s="88"/>
      <c r="EO10" s="88"/>
      <c r="EP10" s="88"/>
      <c r="EQ10" s="88"/>
      <c r="ER10" s="88"/>
      <c r="ES10" s="88"/>
      <c r="ET10" s="88"/>
      <c r="EU10" s="88"/>
      <c r="EV10" s="88"/>
      <c r="EW10" s="88"/>
      <c r="EX10" s="88"/>
      <c r="EY10" s="88"/>
      <c r="EZ10" s="88"/>
      <c r="FA10" s="88"/>
      <c r="FB10" s="88"/>
      <c r="FC10" s="88"/>
      <c r="FD10" s="88"/>
      <c r="FE10" s="88"/>
      <c r="FF10" s="88"/>
      <c r="FG10" s="88"/>
      <c r="FH10" s="88"/>
      <c r="FI10" s="88"/>
      <c r="FJ10" s="88"/>
      <c r="FK10" s="88"/>
      <c r="FL10" s="88"/>
      <c r="FM10" s="88"/>
      <c r="FN10" s="88"/>
      <c r="FO10" s="88"/>
      <c r="FP10" s="88"/>
      <c r="FQ10" s="88"/>
      <c r="FR10" s="88"/>
      <c r="FS10" s="88"/>
      <c r="FT10" s="88"/>
      <c r="FU10" s="88"/>
      <c r="FV10" s="88"/>
      <c r="FW10" s="88"/>
      <c r="FX10" s="88"/>
      <c r="FY10" s="88"/>
      <c r="FZ10" s="88"/>
      <c r="GA10" s="88"/>
      <c r="GB10" s="88"/>
      <c r="GC10" s="88"/>
      <c r="GD10" s="88"/>
      <c r="GE10" s="88"/>
      <c r="GF10" s="88"/>
      <c r="GG10" s="88"/>
      <c r="GH10" s="88"/>
      <c r="GI10" s="88"/>
      <c r="GJ10" s="88"/>
      <c r="GK10" s="88"/>
      <c r="GL10" s="88"/>
      <c r="GM10" s="88"/>
      <c r="GN10" s="88"/>
      <c r="GO10" s="88"/>
      <c r="GP10" s="88"/>
      <c r="GQ10" s="88"/>
      <c r="GR10" s="88"/>
      <c r="GS10" s="88"/>
      <c r="GT10" s="88"/>
      <c r="GU10" s="88"/>
      <c r="GV10" s="88"/>
      <c r="GW10" s="88"/>
      <c r="GX10" s="88"/>
      <c r="GY10" s="88"/>
      <c r="GZ10" s="88"/>
      <c r="HA10" s="88"/>
      <c r="HB10" s="88"/>
      <c r="HC10" s="88"/>
      <c r="HD10" s="88"/>
      <c r="HE10" s="88"/>
      <c r="HF10" s="88"/>
      <c r="HG10" s="88"/>
      <c r="HH10" s="88"/>
      <c r="HI10" s="88"/>
      <c r="HJ10" s="88"/>
      <c r="HK10" s="88"/>
      <c r="HL10" s="88"/>
      <c r="HM10" s="88"/>
      <c r="HN10" s="88"/>
      <c r="HO10" s="88"/>
      <c r="HP10" s="88"/>
      <c r="HQ10" s="88"/>
      <c r="HR10" s="88"/>
      <c r="HS10" s="88"/>
      <c r="HT10" s="88"/>
      <c r="HU10" s="88"/>
      <c r="HV10" s="88"/>
      <c r="HW10" s="88"/>
      <c r="HX10" s="88"/>
      <c r="HY10" s="88"/>
      <c r="HZ10" s="88"/>
      <c r="IA10" s="88"/>
      <c r="IB10" s="88"/>
      <c r="IC10" s="88"/>
      <c r="ID10" s="88"/>
      <c r="IE10" s="88"/>
      <c r="IF10" s="88"/>
      <c r="IG10" s="88"/>
      <c r="IH10" s="88"/>
      <c r="II10" s="88"/>
      <c r="IJ10" s="88"/>
      <c r="IK10" s="88"/>
      <c r="IL10" s="88"/>
      <c r="IM10" s="88"/>
      <c r="IN10" s="88"/>
      <c r="IO10" s="88"/>
    </row>
    <row r="11" spans="1:249" s="119" customFormat="1" x14ac:dyDescent="0.25">
      <c r="A11" s="14" t="s">
        <v>113</v>
      </c>
      <c r="B11" s="336"/>
      <c r="C11" s="336"/>
      <c r="D11" s="336"/>
      <c r="E11" s="336"/>
      <c r="F11" s="336"/>
      <c r="G11" s="337">
        <f t="shared" si="0"/>
        <v>0</v>
      </c>
      <c r="H11" s="385">
        <f ca="1">TRUNC(PAYG!P11)</f>
        <v>0</v>
      </c>
      <c r="I11" s="386">
        <f ca="1">PAYG!Q11</f>
        <v>0</v>
      </c>
      <c r="J11" s="339"/>
      <c r="K11" s="336"/>
      <c r="L11" s="337"/>
      <c r="M11" s="345">
        <f t="shared" ca="1" si="1"/>
        <v>0</v>
      </c>
      <c r="N11" s="121"/>
      <c r="O11" s="345"/>
      <c r="P11" s="122"/>
      <c r="Q11" s="345">
        <f t="shared" ca="1" si="2"/>
        <v>0</v>
      </c>
      <c r="R11" s="122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  <c r="CD11" s="88"/>
      <c r="CE11" s="88"/>
      <c r="CF11" s="88"/>
      <c r="CG11" s="88"/>
      <c r="CH11" s="88"/>
      <c r="CI11" s="88"/>
      <c r="CJ11" s="88"/>
      <c r="CK11" s="88"/>
      <c r="CL11" s="88"/>
      <c r="CM11" s="88"/>
      <c r="CN11" s="88"/>
      <c r="CO11" s="88"/>
      <c r="CP11" s="88"/>
      <c r="CQ11" s="88"/>
      <c r="CR11" s="88"/>
      <c r="CS11" s="88"/>
      <c r="CT11" s="88"/>
      <c r="CU11" s="88"/>
      <c r="CV11" s="88"/>
      <c r="CW11" s="88"/>
      <c r="CX11" s="88"/>
      <c r="CY11" s="88"/>
      <c r="CZ11" s="88"/>
      <c r="DA11" s="88"/>
      <c r="DB11" s="88"/>
      <c r="DC11" s="88"/>
      <c r="DD11" s="88"/>
      <c r="DE11" s="88"/>
      <c r="DF11" s="88"/>
      <c r="DG11" s="88"/>
      <c r="DH11" s="88"/>
      <c r="DI11" s="88"/>
      <c r="DJ11" s="88"/>
      <c r="DK11" s="88"/>
      <c r="DL11" s="88"/>
      <c r="DM11" s="88"/>
      <c r="DN11" s="88"/>
      <c r="DO11" s="88"/>
      <c r="DP11" s="88"/>
      <c r="DQ11" s="88"/>
      <c r="DR11" s="88"/>
      <c r="DS11" s="88"/>
      <c r="DT11" s="88"/>
      <c r="DU11" s="88"/>
      <c r="DV11" s="88"/>
      <c r="DW11" s="88"/>
      <c r="DX11" s="88"/>
      <c r="DY11" s="88"/>
      <c r="DZ11" s="88"/>
      <c r="EA11" s="88"/>
      <c r="EB11" s="88"/>
      <c r="EC11" s="88"/>
      <c r="ED11" s="88"/>
      <c r="EE11" s="88"/>
      <c r="EF11" s="88"/>
      <c r="EG11" s="88"/>
      <c r="EH11" s="88"/>
      <c r="EI11" s="88"/>
      <c r="EJ11" s="88"/>
      <c r="EK11" s="88"/>
      <c r="EL11" s="88"/>
      <c r="EM11" s="88"/>
      <c r="EN11" s="88"/>
      <c r="EO11" s="88"/>
      <c r="EP11" s="88"/>
      <c r="EQ11" s="88"/>
      <c r="ER11" s="88"/>
      <c r="ES11" s="88"/>
      <c r="ET11" s="88"/>
      <c r="EU11" s="88"/>
      <c r="EV11" s="88"/>
      <c r="EW11" s="88"/>
      <c r="EX11" s="88"/>
      <c r="EY11" s="88"/>
      <c r="EZ11" s="88"/>
      <c r="FA11" s="88"/>
      <c r="FB11" s="88"/>
      <c r="FC11" s="88"/>
      <c r="FD11" s="88"/>
      <c r="FE11" s="88"/>
      <c r="FF11" s="88"/>
      <c r="FG11" s="88"/>
      <c r="FH11" s="88"/>
      <c r="FI11" s="88"/>
      <c r="FJ11" s="88"/>
      <c r="FK11" s="88"/>
      <c r="FL11" s="88"/>
      <c r="FM11" s="88"/>
      <c r="FN11" s="88"/>
      <c r="FO11" s="88"/>
      <c r="FP11" s="88"/>
      <c r="FQ11" s="88"/>
      <c r="FR11" s="88"/>
      <c r="FS11" s="88"/>
      <c r="FT11" s="88"/>
      <c r="FU11" s="88"/>
      <c r="FV11" s="88"/>
      <c r="FW11" s="88"/>
      <c r="FX11" s="88"/>
      <c r="FY11" s="88"/>
      <c r="FZ11" s="88"/>
      <c r="GA11" s="88"/>
      <c r="GB11" s="88"/>
      <c r="GC11" s="88"/>
      <c r="GD11" s="88"/>
      <c r="GE11" s="88"/>
      <c r="GF11" s="88"/>
      <c r="GG11" s="88"/>
      <c r="GH11" s="88"/>
      <c r="GI11" s="88"/>
      <c r="GJ11" s="88"/>
      <c r="GK11" s="88"/>
      <c r="GL11" s="88"/>
      <c r="GM11" s="88"/>
      <c r="GN11" s="88"/>
      <c r="GO11" s="88"/>
      <c r="GP11" s="88"/>
      <c r="GQ11" s="88"/>
      <c r="GR11" s="88"/>
      <c r="GS11" s="88"/>
      <c r="GT11" s="88"/>
      <c r="GU11" s="88"/>
      <c r="GV11" s="88"/>
      <c r="GW11" s="88"/>
      <c r="GX11" s="88"/>
      <c r="GY11" s="88"/>
      <c r="GZ11" s="88"/>
      <c r="HA11" s="88"/>
      <c r="HB11" s="88"/>
      <c r="HC11" s="88"/>
      <c r="HD11" s="88"/>
      <c r="HE11" s="88"/>
      <c r="HF11" s="88"/>
      <c r="HG11" s="88"/>
      <c r="HH11" s="88"/>
      <c r="HI11" s="88"/>
      <c r="HJ11" s="88"/>
      <c r="HK11" s="88"/>
      <c r="HL11" s="88"/>
      <c r="HM11" s="88"/>
      <c r="HN11" s="88"/>
      <c r="HO11" s="88"/>
      <c r="HP11" s="88"/>
      <c r="HQ11" s="88"/>
      <c r="HR11" s="88"/>
      <c r="HS11" s="88"/>
      <c r="HT11" s="88"/>
      <c r="HU11" s="88"/>
      <c r="HV11" s="88"/>
      <c r="HW11" s="88"/>
      <c r="HX11" s="88"/>
      <c r="HY11" s="88"/>
      <c r="HZ11" s="88"/>
      <c r="IA11" s="88"/>
      <c r="IB11" s="88"/>
      <c r="IC11" s="88"/>
      <c r="ID11" s="88"/>
      <c r="IE11" s="88"/>
      <c r="IF11" s="88"/>
      <c r="IG11" s="88"/>
      <c r="IH11" s="88"/>
      <c r="II11" s="88"/>
      <c r="IJ11" s="88"/>
      <c r="IK11" s="88"/>
      <c r="IL11" s="88"/>
      <c r="IM11" s="88"/>
      <c r="IN11" s="88"/>
      <c r="IO11" s="88"/>
    </row>
    <row r="12" spans="1:249" x14ac:dyDescent="0.25">
      <c r="A12" s="14" t="s">
        <v>114</v>
      </c>
      <c r="B12" s="336"/>
      <c r="C12" s="336"/>
      <c r="D12" s="336"/>
      <c r="E12" s="336"/>
      <c r="F12" s="336"/>
      <c r="G12" s="337">
        <f t="shared" si="0"/>
        <v>0</v>
      </c>
      <c r="H12" s="387">
        <f ca="1">TRUNC(PAYG!P12)</f>
        <v>0</v>
      </c>
      <c r="I12" s="386">
        <f ca="1">PAYG!Q12</f>
        <v>0</v>
      </c>
      <c r="J12" s="339"/>
      <c r="K12" s="336"/>
      <c r="L12" s="337"/>
      <c r="M12" s="339">
        <f t="shared" ca="1" si="1"/>
        <v>0</v>
      </c>
      <c r="N12" s="121"/>
      <c r="O12" s="339"/>
      <c r="P12" s="122"/>
      <c r="Q12" s="339">
        <f t="shared" ca="1" si="2"/>
        <v>0</v>
      </c>
      <c r="R12" s="122"/>
    </row>
    <row r="13" spans="1:249" s="127" customFormat="1" x14ac:dyDescent="0.25">
      <c r="A13" s="23" t="s">
        <v>115</v>
      </c>
      <c r="B13" s="340">
        <f>rcpRcptQ3</f>
        <v>0</v>
      </c>
      <c r="C13" s="340">
        <f>TRUNC(rcpGstQ3,0)</f>
        <v>0</v>
      </c>
      <c r="D13" s="340">
        <f>payCapGstQ3*11</f>
        <v>0</v>
      </c>
      <c r="E13" s="340">
        <f>payNonGstQ3*11</f>
        <v>0</v>
      </c>
      <c r="F13" s="340">
        <f>-TRUNC(payCapGstQ3+payNonGstQ3,0)</f>
        <v>0</v>
      </c>
      <c r="G13" s="341">
        <f t="shared" si="0"/>
        <v>0</v>
      </c>
      <c r="H13" s="388">
        <f ca="1">TRUNC(PAYG!P13)</f>
        <v>0</v>
      </c>
      <c r="I13" s="389">
        <f ca="1">PAYG!Q13</f>
        <v>0</v>
      </c>
      <c r="J13" s="344">
        <f>rcpEarnQ3</f>
        <v>0</v>
      </c>
      <c r="K13" s="340"/>
      <c r="L13" s="343">
        <v>5547</v>
      </c>
      <c r="M13" s="344">
        <f t="shared" ca="1" si="1"/>
        <v>5547</v>
      </c>
      <c r="N13" s="124"/>
      <c r="O13" s="344"/>
      <c r="P13" s="125"/>
      <c r="Q13" s="344">
        <f t="shared" ca="1" si="2"/>
        <v>5547</v>
      </c>
      <c r="R13" s="125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02"/>
      <c r="BQ13" s="102"/>
      <c r="BR13" s="102"/>
      <c r="BS13" s="102"/>
      <c r="BT13" s="102"/>
      <c r="BU13" s="102"/>
      <c r="BV13" s="102"/>
      <c r="BW13" s="102"/>
      <c r="BX13" s="102"/>
      <c r="BY13" s="102"/>
      <c r="BZ13" s="102"/>
      <c r="CA13" s="102"/>
      <c r="CB13" s="102"/>
      <c r="CC13" s="102"/>
      <c r="CD13" s="102"/>
      <c r="CE13" s="102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2"/>
      <c r="CT13" s="102"/>
      <c r="CU13" s="102"/>
      <c r="CV13" s="102"/>
      <c r="CW13" s="102"/>
      <c r="CX13" s="102"/>
      <c r="CY13" s="102"/>
      <c r="CZ13" s="102"/>
      <c r="DA13" s="102"/>
      <c r="DB13" s="102"/>
      <c r="DC13" s="102"/>
      <c r="DD13" s="102"/>
      <c r="DE13" s="102"/>
      <c r="DF13" s="102"/>
      <c r="DG13" s="102"/>
      <c r="DH13" s="102"/>
      <c r="DI13" s="102"/>
      <c r="DJ13" s="102"/>
      <c r="DK13" s="102"/>
      <c r="DL13" s="102"/>
      <c r="DM13" s="102"/>
      <c r="DN13" s="102"/>
      <c r="DO13" s="102"/>
      <c r="DP13" s="102"/>
      <c r="DQ13" s="102"/>
      <c r="DR13" s="102"/>
      <c r="DS13" s="102"/>
      <c r="DT13" s="102"/>
      <c r="DU13" s="102"/>
      <c r="DV13" s="102"/>
      <c r="DW13" s="102"/>
      <c r="DX13" s="102"/>
      <c r="DY13" s="102"/>
      <c r="DZ13" s="102"/>
      <c r="EA13" s="102"/>
      <c r="EB13" s="102"/>
      <c r="EC13" s="102"/>
      <c r="ED13" s="102"/>
      <c r="EE13" s="102"/>
      <c r="EF13" s="102"/>
      <c r="EG13" s="102"/>
      <c r="EH13" s="102"/>
      <c r="EI13" s="102"/>
      <c r="EJ13" s="102"/>
      <c r="EK13" s="102"/>
      <c r="EL13" s="102"/>
      <c r="EM13" s="102"/>
      <c r="EN13" s="102"/>
      <c r="EO13" s="102"/>
      <c r="EP13" s="102"/>
      <c r="EQ13" s="102"/>
      <c r="ER13" s="102"/>
      <c r="ES13" s="102"/>
      <c r="ET13" s="102"/>
      <c r="EU13" s="102"/>
      <c r="EV13" s="102"/>
      <c r="EW13" s="102"/>
      <c r="EX13" s="102"/>
      <c r="EY13" s="102"/>
      <c r="EZ13" s="102"/>
      <c r="FA13" s="102"/>
      <c r="FB13" s="102"/>
      <c r="FC13" s="102"/>
      <c r="FD13" s="102"/>
      <c r="FE13" s="102"/>
      <c r="FF13" s="102"/>
      <c r="FG13" s="102"/>
      <c r="FH13" s="102"/>
      <c r="FI13" s="102"/>
      <c r="FJ13" s="102"/>
      <c r="FK13" s="102"/>
      <c r="FL13" s="102"/>
      <c r="FM13" s="102"/>
      <c r="FN13" s="102"/>
      <c r="FO13" s="102"/>
      <c r="FP13" s="102"/>
      <c r="FQ13" s="102"/>
      <c r="FR13" s="102"/>
      <c r="FS13" s="102"/>
      <c r="FT13" s="102"/>
      <c r="FU13" s="102"/>
      <c r="FV13" s="102"/>
      <c r="FW13" s="102"/>
      <c r="FX13" s="102"/>
      <c r="FY13" s="102"/>
      <c r="FZ13" s="102"/>
      <c r="GA13" s="102"/>
      <c r="GB13" s="102"/>
      <c r="GC13" s="102"/>
      <c r="GD13" s="102"/>
      <c r="GE13" s="102"/>
      <c r="GF13" s="102"/>
      <c r="GG13" s="102"/>
      <c r="GH13" s="102"/>
      <c r="GI13" s="102"/>
      <c r="GJ13" s="102"/>
      <c r="GK13" s="102"/>
      <c r="GL13" s="102"/>
      <c r="GM13" s="102"/>
      <c r="GN13" s="102"/>
      <c r="GO13" s="102"/>
      <c r="GP13" s="102"/>
      <c r="GQ13" s="102"/>
      <c r="GR13" s="102"/>
      <c r="GS13" s="102"/>
      <c r="GT13" s="102"/>
      <c r="GU13" s="102"/>
      <c r="GV13" s="102"/>
      <c r="GW13" s="102"/>
      <c r="GX13" s="102"/>
      <c r="GY13" s="102"/>
      <c r="GZ13" s="102"/>
      <c r="HA13" s="102"/>
      <c r="HB13" s="102"/>
      <c r="HC13" s="102"/>
      <c r="HD13" s="102"/>
      <c r="HE13" s="102"/>
      <c r="HF13" s="102"/>
      <c r="HG13" s="102"/>
      <c r="HH13" s="102"/>
      <c r="HI13" s="102"/>
      <c r="HJ13" s="102"/>
      <c r="HK13" s="102"/>
      <c r="HL13" s="102"/>
      <c r="HM13" s="102"/>
      <c r="HN13" s="102"/>
      <c r="HO13" s="102"/>
      <c r="HP13" s="102"/>
      <c r="HQ13" s="102"/>
      <c r="HR13" s="102"/>
      <c r="HS13" s="102"/>
      <c r="HT13" s="102"/>
      <c r="HU13" s="102"/>
      <c r="HV13" s="102"/>
      <c r="HW13" s="102"/>
      <c r="HX13" s="102"/>
      <c r="HY13" s="102"/>
      <c r="HZ13" s="102"/>
      <c r="IA13" s="102"/>
      <c r="IB13" s="102"/>
      <c r="IC13" s="102"/>
      <c r="ID13" s="102"/>
      <c r="IE13" s="102"/>
      <c r="IF13" s="102"/>
      <c r="IG13" s="102"/>
      <c r="IH13" s="102"/>
      <c r="II13" s="102"/>
      <c r="IJ13" s="102"/>
      <c r="IK13" s="102"/>
      <c r="IL13" s="102"/>
      <c r="IM13" s="102"/>
      <c r="IN13" s="102"/>
      <c r="IO13" s="102"/>
    </row>
    <row r="14" spans="1:249" s="119" customFormat="1" x14ac:dyDescent="0.25">
      <c r="A14" s="14" t="s">
        <v>116</v>
      </c>
      <c r="B14" s="336"/>
      <c r="C14" s="336"/>
      <c r="D14" s="336"/>
      <c r="E14" s="336"/>
      <c r="F14" s="336"/>
      <c r="G14" s="337">
        <f t="shared" si="0"/>
        <v>0</v>
      </c>
      <c r="H14" s="385">
        <f ca="1">TRUNC(PAYG!P15)</f>
        <v>0</v>
      </c>
      <c r="I14" s="386">
        <f ca="1">PAYG!Q15</f>
        <v>0</v>
      </c>
      <c r="J14" s="339"/>
      <c r="K14" s="336"/>
      <c r="L14" s="337"/>
      <c r="M14" s="345">
        <f t="shared" ca="1" si="1"/>
        <v>0</v>
      </c>
      <c r="N14" s="121"/>
      <c r="O14" s="345"/>
      <c r="P14" s="122"/>
      <c r="Q14" s="345">
        <f t="shared" ca="1" si="2"/>
        <v>0</v>
      </c>
      <c r="R14" s="122"/>
      <c r="S14" s="102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E14" s="88"/>
      <c r="CF14" s="88"/>
      <c r="CG14" s="88"/>
      <c r="CH14" s="88"/>
      <c r="CI14" s="88"/>
      <c r="CJ14" s="88"/>
      <c r="CK14" s="88"/>
      <c r="CL14" s="88"/>
      <c r="CM14" s="88"/>
      <c r="CN14" s="88"/>
      <c r="CO14" s="88"/>
      <c r="CP14" s="88"/>
      <c r="CQ14" s="88"/>
      <c r="CR14" s="88"/>
      <c r="CS14" s="88"/>
      <c r="CT14" s="88"/>
      <c r="CU14" s="88"/>
      <c r="CV14" s="88"/>
      <c r="CW14" s="88"/>
      <c r="CX14" s="88"/>
      <c r="CY14" s="88"/>
      <c r="CZ14" s="88"/>
      <c r="DA14" s="88"/>
      <c r="DB14" s="88"/>
      <c r="DC14" s="88"/>
      <c r="DD14" s="88"/>
      <c r="DE14" s="88"/>
      <c r="DF14" s="88"/>
      <c r="DG14" s="88"/>
      <c r="DH14" s="88"/>
      <c r="DI14" s="88"/>
      <c r="DJ14" s="88"/>
      <c r="DK14" s="88"/>
      <c r="DL14" s="88"/>
      <c r="DM14" s="88"/>
      <c r="DN14" s="88"/>
      <c r="DO14" s="88"/>
      <c r="DP14" s="88"/>
      <c r="DQ14" s="88"/>
      <c r="DR14" s="88"/>
      <c r="DS14" s="88"/>
      <c r="DT14" s="88"/>
      <c r="DU14" s="88"/>
      <c r="DV14" s="88"/>
      <c r="DW14" s="88"/>
      <c r="DX14" s="88"/>
      <c r="DY14" s="88"/>
      <c r="DZ14" s="88"/>
      <c r="EA14" s="88"/>
      <c r="EB14" s="88"/>
      <c r="EC14" s="88"/>
      <c r="ED14" s="88"/>
      <c r="EE14" s="88"/>
      <c r="EF14" s="88"/>
      <c r="EG14" s="88"/>
      <c r="EH14" s="88"/>
      <c r="EI14" s="88"/>
      <c r="EJ14" s="88"/>
      <c r="EK14" s="88"/>
      <c r="EL14" s="88"/>
      <c r="EM14" s="88"/>
      <c r="EN14" s="88"/>
      <c r="EO14" s="88"/>
      <c r="EP14" s="88"/>
      <c r="EQ14" s="88"/>
      <c r="ER14" s="88"/>
      <c r="ES14" s="88"/>
      <c r="ET14" s="88"/>
      <c r="EU14" s="88"/>
      <c r="EV14" s="88"/>
      <c r="EW14" s="88"/>
      <c r="EX14" s="88"/>
      <c r="EY14" s="88"/>
      <c r="EZ14" s="88"/>
      <c r="FA14" s="88"/>
      <c r="FB14" s="88"/>
      <c r="FC14" s="88"/>
      <c r="FD14" s="88"/>
      <c r="FE14" s="88"/>
      <c r="FF14" s="88"/>
      <c r="FG14" s="88"/>
      <c r="FH14" s="88"/>
      <c r="FI14" s="88"/>
      <c r="FJ14" s="88"/>
      <c r="FK14" s="88"/>
      <c r="FL14" s="88"/>
      <c r="FM14" s="88"/>
      <c r="FN14" s="88"/>
      <c r="FO14" s="88"/>
      <c r="FP14" s="88"/>
      <c r="FQ14" s="88"/>
      <c r="FR14" s="88"/>
      <c r="FS14" s="88"/>
      <c r="FT14" s="88"/>
      <c r="FU14" s="88"/>
      <c r="FV14" s="88"/>
      <c r="FW14" s="88"/>
      <c r="FX14" s="88"/>
      <c r="FY14" s="88"/>
      <c r="FZ14" s="88"/>
      <c r="GA14" s="88"/>
      <c r="GB14" s="88"/>
      <c r="GC14" s="88"/>
      <c r="GD14" s="88"/>
      <c r="GE14" s="88"/>
      <c r="GF14" s="88"/>
      <c r="GG14" s="88"/>
      <c r="GH14" s="88"/>
      <c r="GI14" s="88"/>
      <c r="GJ14" s="88"/>
      <c r="GK14" s="88"/>
      <c r="GL14" s="88"/>
      <c r="GM14" s="88"/>
      <c r="GN14" s="88"/>
      <c r="GO14" s="88"/>
      <c r="GP14" s="88"/>
      <c r="GQ14" s="88"/>
      <c r="GR14" s="88"/>
      <c r="GS14" s="88"/>
      <c r="GT14" s="88"/>
      <c r="GU14" s="88"/>
      <c r="GV14" s="88"/>
      <c r="GW14" s="88"/>
      <c r="GX14" s="88"/>
      <c r="GY14" s="88"/>
      <c r="GZ14" s="88"/>
      <c r="HA14" s="88"/>
      <c r="HB14" s="88"/>
      <c r="HC14" s="88"/>
      <c r="HD14" s="88"/>
      <c r="HE14" s="88"/>
      <c r="HF14" s="88"/>
      <c r="HG14" s="88"/>
      <c r="HH14" s="88"/>
      <c r="HI14" s="88"/>
      <c r="HJ14" s="88"/>
      <c r="HK14" s="88"/>
      <c r="HL14" s="88"/>
      <c r="HM14" s="88"/>
      <c r="HN14" s="88"/>
      <c r="HO14" s="88"/>
      <c r="HP14" s="88"/>
      <c r="HQ14" s="88"/>
      <c r="HR14" s="88"/>
      <c r="HS14" s="88"/>
      <c r="HT14" s="88"/>
      <c r="HU14" s="88"/>
      <c r="HV14" s="88"/>
      <c r="HW14" s="88"/>
      <c r="HX14" s="88"/>
      <c r="HY14" s="88"/>
      <c r="HZ14" s="88"/>
      <c r="IA14" s="88"/>
      <c r="IB14" s="88"/>
      <c r="IC14" s="88"/>
      <c r="ID14" s="88"/>
      <c r="IE14" s="88"/>
      <c r="IF14" s="88"/>
      <c r="IG14" s="88"/>
      <c r="IH14" s="88"/>
      <c r="II14" s="88"/>
      <c r="IJ14" s="88"/>
      <c r="IK14" s="88"/>
      <c r="IL14" s="88"/>
      <c r="IM14" s="88"/>
      <c r="IN14" s="88"/>
      <c r="IO14" s="88"/>
    </row>
    <row r="15" spans="1:249" x14ac:dyDescent="0.25">
      <c r="A15" s="14" t="s">
        <v>117</v>
      </c>
      <c r="B15" s="336"/>
      <c r="C15" s="336"/>
      <c r="D15" s="336"/>
      <c r="E15" s="336"/>
      <c r="F15" s="336"/>
      <c r="G15" s="337">
        <f t="shared" si="0"/>
        <v>0</v>
      </c>
      <c r="H15" s="387">
        <f ca="1">TRUNC(PAYG!P16)</f>
        <v>0</v>
      </c>
      <c r="I15" s="386">
        <f ca="1">PAYG!Q16</f>
        <v>0</v>
      </c>
      <c r="J15" s="339"/>
      <c r="K15" s="336"/>
      <c r="L15" s="337"/>
      <c r="M15" s="339">
        <f t="shared" ca="1" si="1"/>
        <v>0</v>
      </c>
      <c r="N15" s="121"/>
      <c r="O15" s="339"/>
      <c r="P15" s="122"/>
      <c r="Q15" s="339">
        <f t="shared" ca="1" si="2"/>
        <v>0</v>
      </c>
      <c r="R15" s="122"/>
    </row>
    <row r="16" spans="1:249" s="127" customFormat="1" x14ac:dyDescent="0.25">
      <c r="A16" s="23" t="s">
        <v>118</v>
      </c>
      <c r="B16" s="336">
        <f>rcpRcptQ4</f>
        <v>0</v>
      </c>
      <c r="C16" s="336">
        <f>TRUNC(rcpGstQ4,0)</f>
        <v>0</v>
      </c>
      <c r="D16" s="336">
        <f>payCapGstQ4*11</f>
        <v>0</v>
      </c>
      <c r="E16" s="336">
        <f>payNonGstQ4*11</f>
        <v>0</v>
      </c>
      <c r="F16" s="340">
        <f>-TRUNC(payCapGstQ4+payNonGstQ4,0)</f>
        <v>0</v>
      </c>
      <c r="G16" s="337">
        <f t="shared" si="0"/>
        <v>0</v>
      </c>
      <c r="H16" s="388">
        <f ca="1">TRUNC(PAYG!P17)</f>
        <v>0</v>
      </c>
      <c r="I16" s="389">
        <f ca="1">PAYG!Q17</f>
        <v>0</v>
      </c>
      <c r="J16" s="339">
        <f>rcpEarnQ4</f>
        <v>0</v>
      </c>
      <c r="K16" s="340"/>
      <c r="L16" s="337">
        <v>5547</v>
      </c>
      <c r="M16" s="344">
        <f t="shared" ca="1" si="1"/>
        <v>5547</v>
      </c>
      <c r="N16" s="124"/>
      <c r="O16" s="344"/>
      <c r="P16" s="125"/>
      <c r="Q16" s="344">
        <f t="shared" ca="1" si="2"/>
        <v>5547</v>
      </c>
      <c r="R16" s="125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02"/>
      <c r="BU16" s="102"/>
      <c r="BV16" s="102"/>
      <c r="BW16" s="102"/>
      <c r="BX16" s="102"/>
      <c r="BY16" s="102"/>
      <c r="BZ16" s="102"/>
      <c r="CA16" s="102"/>
      <c r="CB16" s="102"/>
      <c r="CC16" s="102"/>
      <c r="CD16" s="102"/>
      <c r="CE16" s="102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2"/>
      <c r="CQ16" s="102"/>
      <c r="CR16" s="102"/>
      <c r="CS16" s="102"/>
      <c r="CT16" s="102"/>
      <c r="CU16" s="102"/>
      <c r="CV16" s="102"/>
      <c r="CW16" s="102"/>
      <c r="CX16" s="102"/>
      <c r="CY16" s="102"/>
      <c r="CZ16" s="102"/>
      <c r="DA16" s="102"/>
      <c r="DB16" s="102"/>
      <c r="DC16" s="102"/>
      <c r="DD16" s="102"/>
      <c r="DE16" s="102"/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  <c r="DP16" s="102"/>
      <c r="DQ16" s="102"/>
      <c r="DR16" s="102"/>
      <c r="DS16" s="102"/>
      <c r="DT16" s="102"/>
      <c r="DU16" s="102"/>
      <c r="DV16" s="102"/>
      <c r="DW16" s="102"/>
      <c r="DX16" s="102"/>
      <c r="DY16" s="102"/>
      <c r="DZ16" s="102"/>
      <c r="EA16" s="102"/>
      <c r="EB16" s="102"/>
      <c r="EC16" s="102"/>
      <c r="ED16" s="102"/>
      <c r="EE16" s="102"/>
      <c r="EF16" s="102"/>
      <c r="EG16" s="102"/>
      <c r="EH16" s="102"/>
      <c r="EI16" s="102"/>
      <c r="EJ16" s="102"/>
      <c r="EK16" s="102"/>
      <c r="EL16" s="102"/>
      <c r="EM16" s="102"/>
      <c r="EN16" s="102"/>
      <c r="EO16" s="102"/>
      <c r="EP16" s="102"/>
      <c r="EQ16" s="102"/>
      <c r="ER16" s="102"/>
      <c r="ES16" s="102"/>
      <c r="ET16" s="102"/>
      <c r="EU16" s="102"/>
      <c r="EV16" s="102"/>
      <c r="EW16" s="102"/>
      <c r="EX16" s="102"/>
      <c r="EY16" s="102"/>
      <c r="EZ16" s="102"/>
      <c r="FA16" s="102"/>
      <c r="FB16" s="102"/>
      <c r="FC16" s="102"/>
      <c r="FD16" s="102"/>
      <c r="FE16" s="102"/>
      <c r="FF16" s="102"/>
      <c r="FG16" s="102"/>
      <c r="FH16" s="102"/>
      <c r="FI16" s="102"/>
      <c r="FJ16" s="102"/>
      <c r="FK16" s="102"/>
      <c r="FL16" s="102"/>
      <c r="FM16" s="102"/>
      <c r="FN16" s="102"/>
      <c r="FO16" s="102"/>
      <c r="FP16" s="102"/>
      <c r="FQ16" s="102"/>
      <c r="FR16" s="102"/>
      <c r="FS16" s="102"/>
      <c r="FT16" s="102"/>
      <c r="FU16" s="102"/>
      <c r="FV16" s="102"/>
      <c r="FW16" s="102"/>
      <c r="FX16" s="102"/>
      <c r="FY16" s="102"/>
      <c r="FZ16" s="102"/>
      <c r="GA16" s="102"/>
      <c r="GB16" s="102"/>
      <c r="GC16" s="102"/>
      <c r="GD16" s="102"/>
      <c r="GE16" s="102"/>
      <c r="GF16" s="102"/>
      <c r="GG16" s="102"/>
      <c r="GH16" s="102"/>
      <c r="GI16" s="102"/>
      <c r="GJ16" s="102"/>
      <c r="GK16" s="102"/>
      <c r="GL16" s="102"/>
      <c r="GM16" s="102"/>
      <c r="GN16" s="102"/>
      <c r="GO16" s="102"/>
      <c r="GP16" s="102"/>
      <c r="GQ16" s="102"/>
      <c r="GR16" s="102"/>
      <c r="GS16" s="102"/>
      <c r="GT16" s="102"/>
      <c r="GU16" s="102"/>
      <c r="GV16" s="102"/>
      <c r="GW16" s="102"/>
      <c r="GX16" s="102"/>
      <c r="GY16" s="102"/>
      <c r="GZ16" s="102"/>
      <c r="HA16" s="102"/>
      <c r="HB16" s="102"/>
      <c r="HC16" s="102"/>
      <c r="HD16" s="102"/>
      <c r="HE16" s="102"/>
      <c r="HF16" s="102"/>
      <c r="HG16" s="102"/>
      <c r="HH16" s="102"/>
      <c r="HI16" s="102"/>
      <c r="HJ16" s="102"/>
      <c r="HK16" s="102"/>
      <c r="HL16" s="102"/>
      <c r="HM16" s="102"/>
      <c r="HN16" s="102"/>
      <c r="HO16" s="102"/>
      <c r="HP16" s="102"/>
      <c r="HQ16" s="102"/>
      <c r="HR16" s="102"/>
      <c r="HS16" s="102"/>
      <c r="HT16" s="102"/>
      <c r="HU16" s="102"/>
      <c r="HV16" s="102"/>
      <c r="HW16" s="102"/>
      <c r="HX16" s="102"/>
      <c r="HY16" s="102"/>
      <c r="HZ16" s="102"/>
      <c r="IA16" s="102"/>
      <c r="IB16" s="102"/>
      <c r="IC16" s="102"/>
      <c r="ID16" s="102"/>
      <c r="IE16" s="102"/>
      <c r="IF16" s="102"/>
      <c r="IG16" s="102"/>
      <c r="IH16" s="102"/>
      <c r="II16" s="102"/>
      <c r="IJ16" s="102"/>
      <c r="IK16" s="102"/>
      <c r="IL16" s="102"/>
      <c r="IM16" s="102"/>
      <c r="IN16" s="102"/>
      <c r="IO16" s="102"/>
    </row>
    <row r="17" spans="1:18" s="135" customFormat="1" x14ac:dyDescent="0.25">
      <c r="A17" s="130" t="s">
        <v>119</v>
      </c>
      <c r="B17" s="346">
        <f t="shared" ref="B17:J17" si="3">SUM(B5:B16)</f>
        <v>388892.5799999999</v>
      </c>
      <c r="C17" s="346">
        <f t="shared" si="3"/>
        <v>35353</v>
      </c>
      <c r="D17" s="346">
        <f t="shared" si="3"/>
        <v>0</v>
      </c>
      <c r="E17" s="346">
        <f t="shared" si="3"/>
        <v>33978.959999999992</v>
      </c>
      <c r="F17" s="346">
        <f t="shared" si="3"/>
        <v>-3088</v>
      </c>
      <c r="G17" s="347">
        <f t="shared" si="3"/>
        <v>32265</v>
      </c>
      <c r="H17" s="342">
        <f t="shared" ca="1" si="3"/>
        <v>300801</v>
      </c>
      <c r="I17" s="347">
        <f t="shared" ca="1" si="3"/>
        <v>86609</v>
      </c>
      <c r="J17" s="348">
        <f t="shared" si="3"/>
        <v>353538.64999999991</v>
      </c>
      <c r="K17" s="346"/>
      <c r="L17" s="347">
        <f>SUM(L5:L16)</f>
        <v>22188</v>
      </c>
      <c r="M17" s="348">
        <f ca="1">SUM(M5:M16)-SUM(O5:O16)</f>
        <v>106245</v>
      </c>
      <c r="N17" s="133"/>
      <c r="O17" s="348"/>
      <c r="P17" s="134"/>
      <c r="Q17" s="348"/>
      <c r="R17" s="134"/>
    </row>
    <row r="29" spans="1:18" x14ac:dyDescent="0.25">
      <c r="D29" s="397"/>
    </row>
  </sheetData>
  <pageMargins left="0.75" right="0.75" top="1" bottom="1" header="0.51180555555555496" footer="0.51180555555555496"/>
  <pageSetup firstPageNumber="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167"/>
  <sheetViews>
    <sheetView showZeros="0" zoomScaleNormal="100" workbookViewId="0">
      <pane ySplit="1" topLeftCell="A3" activePane="bottomLeft" state="frozen"/>
      <selection activeCell="D3" sqref="D3"/>
      <selection pane="bottomLeft" activeCell="G24" sqref="G24"/>
    </sheetView>
  </sheetViews>
  <sheetFormatPr defaultRowHeight="13.2" x14ac:dyDescent="0.25"/>
  <cols>
    <col min="1" max="1" width="11" style="356"/>
    <col min="2" max="2" width="11.5546875" style="328"/>
    <col min="3" max="4" width="17.44140625"/>
    <col min="5" max="5" width="9.5546875"/>
    <col min="6" max="11" width="11.5546875" style="62"/>
    <col min="12" max="12" width="13.44140625" customWidth="1"/>
    <col min="13" max="1025" width="11"/>
  </cols>
  <sheetData>
    <row r="1" spans="1:11" s="136" customFormat="1" x14ac:dyDescent="0.25">
      <c r="A1" s="354"/>
      <c r="B1" s="359"/>
      <c r="E1" s="136" t="s">
        <v>29</v>
      </c>
      <c r="F1" s="137" t="s">
        <v>30</v>
      </c>
      <c r="G1" s="137" t="s">
        <v>37</v>
      </c>
      <c r="H1" s="137" t="s">
        <v>48</v>
      </c>
      <c r="I1" s="137" t="s">
        <v>49</v>
      </c>
      <c r="J1" s="137"/>
      <c r="K1" s="137" t="s">
        <v>51</v>
      </c>
    </row>
    <row r="2" spans="1:11" s="35" customFormat="1" x14ac:dyDescent="0.25">
      <c r="A2" s="355" t="s">
        <v>11</v>
      </c>
      <c r="B2" s="328"/>
      <c r="D2" s="61">
        <f>SUM(D3:D10)</f>
        <v>174.96</v>
      </c>
      <c r="E2" s="61">
        <f>D2/11</f>
        <v>15.905454545454546</v>
      </c>
      <c r="F2" s="61">
        <f>SUM(F3:F10)/11*10</f>
        <v>0</v>
      </c>
      <c r="G2" s="61">
        <f t="shared" ref="G2:I2" si="0">SUM(G3:G10)/11*10</f>
        <v>154.5090909090909</v>
      </c>
      <c r="H2" s="61">
        <f t="shared" si="0"/>
        <v>0</v>
      </c>
      <c r="I2" s="61">
        <f t="shared" si="0"/>
        <v>4.545454545454545</v>
      </c>
      <c r="J2" s="61"/>
      <c r="K2" s="61"/>
    </row>
    <row r="3" spans="1:11" x14ac:dyDescent="0.25">
      <c r="B3" s="357">
        <v>43621</v>
      </c>
      <c r="C3" s="128" t="s">
        <v>743</v>
      </c>
      <c r="D3" s="128">
        <f>SUM(E3:K3)</f>
        <v>11.88</v>
      </c>
      <c r="E3" s="128"/>
      <c r="G3" s="62">
        <v>11.88</v>
      </c>
    </row>
    <row r="4" spans="1:11" x14ac:dyDescent="0.25">
      <c r="B4" s="357">
        <v>43621</v>
      </c>
      <c r="C4" s="128" t="s">
        <v>743</v>
      </c>
      <c r="D4" s="128">
        <f t="shared" ref="D4:D10" si="1">SUM(E4:K4)</f>
        <v>30.82</v>
      </c>
      <c r="E4" s="128"/>
      <c r="G4" s="62">
        <v>30.82</v>
      </c>
    </row>
    <row r="5" spans="1:11" x14ac:dyDescent="0.25">
      <c r="B5" s="357">
        <v>43625</v>
      </c>
      <c r="C5" s="128" t="s">
        <v>743</v>
      </c>
      <c r="D5" s="128">
        <f t="shared" si="1"/>
        <v>29.86</v>
      </c>
      <c r="E5" s="128"/>
      <c r="G5" s="62">
        <v>29.86</v>
      </c>
    </row>
    <row r="6" spans="1:11" x14ac:dyDescent="0.25">
      <c r="B6" s="330">
        <v>43626</v>
      </c>
      <c r="C6" s="128" t="s">
        <v>743</v>
      </c>
      <c r="D6" s="128">
        <f t="shared" si="1"/>
        <v>18.71</v>
      </c>
      <c r="E6" s="128"/>
      <c r="G6" s="62">
        <v>18.71</v>
      </c>
      <c r="J6" s="349"/>
    </row>
    <row r="7" spans="1:11" x14ac:dyDescent="0.25">
      <c r="B7" s="330">
        <v>43631</v>
      </c>
      <c r="C7" s="128" t="s">
        <v>743</v>
      </c>
      <c r="D7" s="128">
        <f t="shared" si="1"/>
        <v>10.96</v>
      </c>
      <c r="E7" s="128"/>
      <c r="G7" s="62">
        <v>10.96</v>
      </c>
    </row>
    <row r="8" spans="1:11" x14ac:dyDescent="0.25">
      <c r="B8" s="330">
        <v>43631</v>
      </c>
      <c r="C8" s="128" t="s">
        <v>744</v>
      </c>
      <c r="D8" s="128">
        <f t="shared" si="1"/>
        <v>24.99</v>
      </c>
      <c r="E8" s="128"/>
      <c r="G8" s="62">
        <v>24.99</v>
      </c>
    </row>
    <row r="9" spans="1:11" x14ac:dyDescent="0.25">
      <c r="B9" s="330">
        <v>43632</v>
      </c>
      <c r="C9" s="128" t="s">
        <v>743</v>
      </c>
      <c r="D9" s="128">
        <f t="shared" ref="D9" si="2">SUM(E9:K9)</f>
        <v>42.74</v>
      </c>
      <c r="G9" s="62">
        <v>42.74</v>
      </c>
    </row>
    <row r="10" spans="1:11" x14ac:dyDescent="0.25">
      <c r="B10" s="330">
        <v>43646</v>
      </c>
      <c r="C10" s="128" t="s">
        <v>745</v>
      </c>
      <c r="D10" s="128">
        <f t="shared" si="1"/>
        <v>5</v>
      </c>
      <c r="I10" s="62">
        <v>5</v>
      </c>
    </row>
    <row r="11" spans="1:11" x14ac:dyDescent="0.25">
      <c r="C11" s="128"/>
      <c r="D11" s="128">
        <f t="shared" ref="D11:D23" si="3">SUM(E11:K11)</f>
        <v>0</v>
      </c>
    </row>
    <row r="12" spans="1:11" x14ac:dyDescent="0.25">
      <c r="A12" s="357" t="s">
        <v>12</v>
      </c>
      <c r="B12" s="330"/>
      <c r="C12" s="35"/>
      <c r="D12" s="61">
        <f>SUM(D13:D20)</f>
        <v>168.10999999999999</v>
      </c>
      <c r="E12" s="61">
        <f>D12/11</f>
        <v>15.282727272727271</v>
      </c>
      <c r="F12" s="61">
        <f t="shared" ref="F12:G12" si="4">SUM(F13:F21)/11*10</f>
        <v>0</v>
      </c>
      <c r="G12" s="61">
        <f t="shared" si="4"/>
        <v>104.74545454545455</v>
      </c>
      <c r="H12" s="61">
        <f>SUM(H13:H21)/11*10</f>
        <v>36.74545454545455</v>
      </c>
      <c r="I12" s="61">
        <f>SUM(I13:I21)/11*10</f>
        <v>11.336363636363638</v>
      </c>
      <c r="J12" s="61"/>
      <c r="K12" s="61">
        <f>SUM(K13:K34)/11*10</f>
        <v>0</v>
      </c>
    </row>
    <row r="13" spans="1:11" x14ac:dyDescent="0.25">
      <c r="B13" s="330">
        <v>43647</v>
      </c>
      <c r="C13" s="128" t="s">
        <v>815</v>
      </c>
      <c r="D13" s="128">
        <f t="shared" ref="D13:D20" si="5">SUM(E13:K13)</f>
        <v>0.48</v>
      </c>
      <c r="I13" s="62">
        <v>0.48</v>
      </c>
      <c r="K13" s="128"/>
    </row>
    <row r="14" spans="1:11" x14ac:dyDescent="0.25">
      <c r="B14" s="330">
        <v>43648</v>
      </c>
      <c r="C14" s="128" t="s">
        <v>816</v>
      </c>
      <c r="D14" s="128">
        <f t="shared" si="5"/>
        <v>40.42</v>
      </c>
      <c r="H14" s="62">
        <v>40.42</v>
      </c>
    </row>
    <row r="15" spans="1:11" x14ac:dyDescent="0.25">
      <c r="B15" s="330">
        <v>43649</v>
      </c>
      <c r="C15" s="128" t="s">
        <v>817</v>
      </c>
      <c r="D15" s="128">
        <f t="shared" si="5"/>
        <v>6.99</v>
      </c>
      <c r="I15" s="62">
        <v>6.99</v>
      </c>
    </row>
    <row r="16" spans="1:11" x14ac:dyDescent="0.25">
      <c r="B16" s="330">
        <v>43653</v>
      </c>
      <c r="C16" s="128" t="s">
        <v>743</v>
      </c>
      <c r="D16" s="128">
        <f t="shared" si="5"/>
        <v>18.96</v>
      </c>
      <c r="G16" s="62">
        <v>18.96</v>
      </c>
      <c r="I16" s="128"/>
    </row>
    <row r="17" spans="1:11" x14ac:dyDescent="0.25">
      <c r="B17" s="330">
        <v>43653</v>
      </c>
      <c r="C17" s="128" t="s">
        <v>743</v>
      </c>
      <c r="D17" s="128">
        <f t="shared" si="5"/>
        <v>35.799999999999997</v>
      </c>
      <c r="G17" s="62">
        <v>35.799999999999997</v>
      </c>
      <c r="I17" s="128"/>
    </row>
    <row r="18" spans="1:11" x14ac:dyDescent="0.25">
      <c r="A18" s="357"/>
      <c r="B18" s="330">
        <v>43659</v>
      </c>
      <c r="C18" s="128" t="s">
        <v>743</v>
      </c>
      <c r="D18" s="128">
        <f t="shared" si="5"/>
        <v>34.520000000000003</v>
      </c>
      <c r="G18" s="62">
        <v>34.520000000000003</v>
      </c>
    </row>
    <row r="19" spans="1:11" x14ac:dyDescent="0.25">
      <c r="B19" s="330">
        <v>43677</v>
      </c>
      <c r="C19" s="128" t="s">
        <v>745</v>
      </c>
      <c r="D19" s="128">
        <f t="shared" si="5"/>
        <v>5</v>
      </c>
      <c r="I19" s="62">
        <v>5</v>
      </c>
    </row>
    <row r="20" spans="1:11" x14ac:dyDescent="0.25">
      <c r="B20" s="330">
        <v>43677</v>
      </c>
      <c r="C20" s="128" t="s">
        <v>818</v>
      </c>
      <c r="D20" s="128">
        <f t="shared" si="5"/>
        <v>25.94</v>
      </c>
      <c r="G20" s="62">
        <v>25.94</v>
      </c>
    </row>
    <row r="21" spans="1:11" x14ac:dyDescent="0.25">
      <c r="B21" s="330"/>
      <c r="C21" s="128"/>
      <c r="D21" s="128"/>
    </row>
    <row r="22" spans="1:11" x14ac:dyDescent="0.25">
      <c r="A22" s="358"/>
      <c r="B22" s="360"/>
      <c r="C22" s="331"/>
      <c r="D22" s="128">
        <f t="shared" si="3"/>
        <v>0</v>
      </c>
      <c r="E22" s="332"/>
      <c r="F22" s="333"/>
      <c r="G22" s="333"/>
      <c r="H22" s="333"/>
      <c r="I22" s="333"/>
    </row>
    <row r="23" spans="1:11" x14ac:dyDescent="0.25">
      <c r="C23" s="128"/>
      <c r="D23" s="128">
        <f t="shared" si="3"/>
        <v>0</v>
      </c>
    </row>
    <row r="24" spans="1:11" x14ac:dyDescent="0.25">
      <c r="A24" s="357" t="s">
        <v>13</v>
      </c>
      <c r="B24" s="330"/>
      <c r="C24" s="128"/>
      <c r="D24" s="61">
        <f>SUM(D25:D32)</f>
        <v>175.70999999999998</v>
      </c>
      <c r="E24" s="61">
        <f>D24/11</f>
        <v>15.973636363636361</v>
      </c>
      <c r="F24" s="61">
        <f>SUM(F25:F31)/11*10</f>
        <v>0</v>
      </c>
      <c r="G24" s="61">
        <f t="shared" ref="G24:I24" si="6">SUM(G25:G31)/11*10</f>
        <v>155.19090909090909</v>
      </c>
      <c r="H24" s="61">
        <f t="shared" si="6"/>
        <v>0</v>
      </c>
      <c r="I24" s="61">
        <f t="shared" si="6"/>
        <v>4.545454545454545</v>
      </c>
      <c r="J24" s="61"/>
      <c r="K24" s="61">
        <f>SUM(K25:K47)/11*10</f>
        <v>0</v>
      </c>
    </row>
    <row r="25" spans="1:11" x14ac:dyDescent="0.25">
      <c r="B25" s="330">
        <v>43680</v>
      </c>
      <c r="C25" s="22" t="s">
        <v>818</v>
      </c>
      <c r="D25" s="128">
        <f t="shared" ref="D25:D31" si="7">SUM(E25:K25)</f>
        <v>21.11</v>
      </c>
      <c r="G25" s="62">
        <v>21.11</v>
      </c>
    </row>
    <row r="26" spans="1:11" x14ac:dyDescent="0.25">
      <c r="B26" s="330">
        <v>43687</v>
      </c>
      <c r="C26" t="s">
        <v>743</v>
      </c>
      <c r="D26" s="128">
        <f t="shared" si="7"/>
        <v>19.7</v>
      </c>
      <c r="G26" s="62">
        <v>19.7</v>
      </c>
    </row>
    <row r="27" spans="1:11" x14ac:dyDescent="0.25">
      <c r="A27" s="355"/>
      <c r="B27" s="330">
        <v>43691</v>
      </c>
      <c r="C27" s="328" t="s">
        <v>818</v>
      </c>
      <c r="D27" s="128">
        <f t="shared" si="7"/>
        <v>44.31</v>
      </c>
      <c r="E27" s="61"/>
      <c r="F27" s="61"/>
      <c r="G27" s="349">
        <v>44.31</v>
      </c>
      <c r="H27" s="61"/>
      <c r="I27" s="61"/>
    </row>
    <row r="28" spans="1:11" x14ac:dyDescent="0.25">
      <c r="B28" s="330">
        <v>43701</v>
      </c>
      <c r="C28" s="22" t="s">
        <v>743</v>
      </c>
      <c r="D28" s="128">
        <f t="shared" si="7"/>
        <v>34.08</v>
      </c>
      <c r="G28" s="62">
        <v>34.08</v>
      </c>
    </row>
    <row r="29" spans="1:11" x14ac:dyDescent="0.25">
      <c r="B29" s="330">
        <v>43701</v>
      </c>
      <c r="C29" s="22" t="s">
        <v>884</v>
      </c>
      <c r="D29" s="128">
        <f t="shared" si="7"/>
        <v>20.37</v>
      </c>
      <c r="G29" s="62">
        <v>20.37</v>
      </c>
    </row>
    <row r="30" spans="1:11" x14ac:dyDescent="0.25">
      <c r="B30" s="330">
        <v>43708</v>
      </c>
      <c r="C30" s="22" t="s">
        <v>743</v>
      </c>
      <c r="D30" s="128">
        <f t="shared" si="7"/>
        <v>31.14</v>
      </c>
      <c r="G30" s="62">
        <v>31.14</v>
      </c>
    </row>
    <row r="31" spans="1:11" x14ac:dyDescent="0.25">
      <c r="B31" s="330">
        <v>43708</v>
      </c>
      <c r="C31" s="22" t="s">
        <v>745</v>
      </c>
      <c r="D31" s="128">
        <f t="shared" si="7"/>
        <v>5</v>
      </c>
      <c r="I31" s="128">
        <v>5</v>
      </c>
    </row>
    <row r="32" spans="1:11" x14ac:dyDescent="0.25">
      <c r="B32" s="330"/>
      <c r="C32" s="22"/>
      <c r="D32" s="128">
        <f t="shared" ref="D32:D33" si="8">SUM(E32:K32)</f>
        <v>0</v>
      </c>
      <c r="I32" s="128"/>
    </row>
    <row r="33" spans="1:11" x14ac:dyDescent="0.25">
      <c r="B33" s="330"/>
      <c r="C33" s="22"/>
      <c r="D33" s="128">
        <f t="shared" si="8"/>
        <v>0</v>
      </c>
    </row>
    <row r="34" spans="1:11" x14ac:dyDescent="0.25">
      <c r="A34" s="356" t="s">
        <v>15</v>
      </c>
      <c r="C34" s="35"/>
      <c r="D34" s="61">
        <f>SUM(D35:D43)</f>
        <v>0</v>
      </c>
      <c r="E34" s="61">
        <f>D34/11</f>
        <v>0</v>
      </c>
      <c r="F34" s="61">
        <f t="shared" ref="F34:G34" si="9">SUM(F35:F43)/11*10</f>
        <v>0</v>
      </c>
      <c r="G34" s="61">
        <f t="shared" si="9"/>
        <v>0</v>
      </c>
      <c r="H34" s="61">
        <f>SUM(H35:H43)/11*10</f>
        <v>0</v>
      </c>
      <c r="I34" s="61">
        <f>SUM(I35:I43)/11*10</f>
        <v>0</v>
      </c>
      <c r="J34" s="61"/>
      <c r="K34" s="61">
        <f>SUM(K35:K57)/11*10</f>
        <v>0</v>
      </c>
    </row>
    <row r="35" spans="1:11" x14ac:dyDescent="0.25">
      <c r="B35" s="330"/>
      <c r="C35" s="22"/>
      <c r="D35" s="128"/>
    </row>
    <row r="36" spans="1:11" x14ac:dyDescent="0.25">
      <c r="B36" s="330"/>
      <c r="C36" s="22"/>
      <c r="D36" s="128"/>
      <c r="I36" s="128"/>
    </row>
    <row r="37" spans="1:11" x14ac:dyDescent="0.25">
      <c r="B37" s="330"/>
      <c r="C37" s="22"/>
      <c r="D37" s="128"/>
      <c r="I37" s="128"/>
    </row>
    <row r="38" spans="1:11" x14ac:dyDescent="0.25">
      <c r="B38" s="330"/>
      <c r="C38" s="22"/>
      <c r="D38" s="128"/>
    </row>
    <row r="39" spans="1:11" x14ac:dyDescent="0.25">
      <c r="B39" s="330"/>
      <c r="C39" s="22"/>
      <c r="D39" s="128"/>
    </row>
    <row r="40" spans="1:11" x14ac:dyDescent="0.25">
      <c r="B40" s="330"/>
      <c r="C40" s="22"/>
      <c r="D40" s="128"/>
    </row>
    <row r="41" spans="1:11" x14ac:dyDescent="0.25">
      <c r="B41" s="330"/>
      <c r="C41" s="22"/>
      <c r="D41" s="128"/>
    </row>
    <row r="42" spans="1:11" x14ac:dyDescent="0.25">
      <c r="B42" s="330"/>
      <c r="D42" s="128"/>
    </row>
    <row r="43" spans="1:11" s="328" customFormat="1" x14ac:dyDescent="0.25">
      <c r="A43" s="357"/>
      <c r="B43" s="330"/>
      <c r="D43" s="128"/>
      <c r="E43" s="349"/>
      <c r="F43" s="349"/>
      <c r="G43" s="349"/>
      <c r="H43" s="349"/>
      <c r="I43" s="349"/>
      <c r="J43" s="349"/>
      <c r="K43" s="349">
        <f>SUM(K45:K95)</f>
        <v>0</v>
      </c>
    </row>
    <row r="44" spans="1:11" s="328" customFormat="1" x14ac:dyDescent="0.25">
      <c r="A44" s="357"/>
      <c r="B44" s="330"/>
      <c r="D44" s="128"/>
      <c r="E44" s="349"/>
      <c r="F44" s="349"/>
      <c r="G44" s="349"/>
      <c r="H44" s="349"/>
      <c r="I44" s="349"/>
      <c r="J44" s="349"/>
      <c r="K44" s="349"/>
    </row>
    <row r="45" spans="1:11" x14ac:dyDescent="0.25">
      <c r="A45" s="356" t="s">
        <v>16</v>
      </c>
      <c r="B45" s="330"/>
      <c r="D45" s="61">
        <f>SUM(D46:D54)</f>
        <v>0</v>
      </c>
      <c r="E45" s="61">
        <f>D45/11</f>
        <v>0</v>
      </c>
      <c r="F45" s="61">
        <f t="shared" ref="F45:G45" si="10">SUM(F46:F54)/11*10</f>
        <v>0</v>
      </c>
      <c r="G45" s="61">
        <f t="shared" si="10"/>
        <v>0</v>
      </c>
      <c r="H45" s="61">
        <f>SUM(H46:H54)/11*10</f>
        <v>0</v>
      </c>
      <c r="I45" s="61">
        <f>SUM(I46:I54)/11*10</f>
        <v>0</v>
      </c>
      <c r="J45" s="61"/>
      <c r="K45" s="61">
        <f>SUM(K46:K67)/11*10</f>
        <v>0</v>
      </c>
    </row>
    <row r="46" spans="1:11" x14ac:dyDescent="0.25">
      <c r="B46" s="330"/>
      <c r="D46" s="128"/>
    </row>
    <row r="47" spans="1:11" x14ac:dyDescent="0.25">
      <c r="B47" s="330"/>
      <c r="D47" s="128"/>
    </row>
    <row r="48" spans="1:11" x14ac:dyDescent="0.25">
      <c r="B48" s="330"/>
      <c r="C48" s="22"/>
      <c r="D48" s="128"/>
      <c r="K48" s="128"/>
    </row>
    <row r="49" spans="1:12" x14ac:dyDescent="0.25">
      <c r="B49" s="330"/>
      <c r="C49" s="22"/>
      <c r="D49" s="128"/>
    </row>
    <row r="50" spans="1:12" x14ac:dyDescent="0.25">
      <c r="B50" s="330"/>
      <c r="C50" s="22"/>
      <c r="D50" s="128"/>
    </row>
    <row r="51" spans="1:12" x14ac:dyDescent="0.25">
      <c r="A51" s="357" t="s">
        <v>17</v>
      </c>
      <c r="B51" s="330"/>
      <c r="D51" s="61">
        <f>SUM(D52:D56)</f>
        <v>0</v>
      </c>
      <c r="E51" s="61">
        <f>D51/11</f>
        <v>0</v>
      </c>
      <c r="F51" s="61">
        <f>SUM(F52:F56)/11*10</f>
        <v>0</v>
      </c>
      <c r="G51" s="61">
        <f>SUM(G52:G56)/11*10</f>
        <v>0</v>
      </c>
      <c r="H51" s="61">
        <f>SUM(H52:H56)/11*10</f>
        <v>0</v>
      </c>
      <c r="I51" s="61">
        <f>SUM(I52:I56)/11*10</f>
        <v>0</v>
      </c>
      <c r="J51" s="61"/>
      <c r="K51" s="61">
        <f>SUM(K52:K56)/11*10</f>
        <v>0</v>
      </c>
    </row>
    <row r="52" spans="1:12" x14ac:dyDescent="0.25">
      <c r="B52" s="330"/>
      <c r="C52" s="22"/>
      <c r="D52" s="128"/>
    </row>
    <row r="53" spans="1:12" x14ac:dyDescent="0.25">
      <c r="B53" s="330"/>
      <c r="C53" s="22"/>
      <c r="D53" s="128"/>
      <c r="K53" s="128"/>
    </row>
    <row r="54" spans="1:12" x14ac:dyDescent="0.25">
      <c r="B54" s="330"/>
      <c r="C54" s="22"/>
      <c r="D54" s="128"/>
      <c r="L54" s="328"/>
    </row>
    <row r="55" spans="1:12" x14ac:dyDescent="0.25">
      <c r="B55" s="330"/>
      <c r="C55" s="22"/>
      <c r="D55" s="128"/>
    </row>
    <row r="56" spans="1:12" x14ac:dyDescent="0.25">
      <c r="B56" s="330"/>
      <c r="C56" s="328"/>
      <c r="D56" s="128"/>
    </row>
    <row r="57" spans="1:12" x14ac:dyDescent="0.25">
      <c r="B57" s="330"/>
      <c r="C57" s="22"/>
      <c r="D57" s="128">
        <f t="shared" ref="D57:D63" si="11">SUM(E57:K57)</f>
        <v>0</v>
      </c>
    </row>
    <row r="58" spans="1:12" x14ac:dyDescent="0.25">
      <c r="A58" s="356" t="s">
        <v>19</v>
      </c>
      <c r="B58" s="330"/>
      <c r="C58" s="22"/>
      <c r="D58" s="61">
        <f>SUM(D59:D62)</f>
        <v>0</v>
      </c>
      <c r="E58" s="61">
        <f>D58/11</f>
        <v>0</v>
      </c>
      <c r="F58" s="61">
        <f>SUM(F59:F62)/11*10</f>
        <v>0</v>
      </c>
      <c r="G58" s="61">
        <f>SUM(G59:G62)/11*10</f>
        <v>0</v>
      </c>
      <c r="H58" s="61">
        <f t="shared" ref="H58:K58" si="12">SUM(H59:H62)/11*10</f>
        <v>0</v>
      </c>
      <c r="I58" s="61">
        <f t="shared" si="12"/>
        <v>0</v>
      </c>
      <c r="J58" s="61">
        <f t="shared" si="12"/>
        <v>0</v>
      </c>
      <c r="K58" s="61">
        <f t="shared" si="12"/>
        <v>0</v>
      </c>
    </row>
    <row r="59" spans="1:12" x14ac:dyDescent="0.25">
      <c r="B59" s="330"/>
      <c r="C59" s="22"/>
      <c r="D59" s="128"/>
    </row>
    <row r="60" spans="1:12" x14ac:dyDescent="0.25">
      <c r="B60" s="330"/>
      <c r="C60" s="22"/>
      <c r="D60" s="128"/>
    </row>
    <row r="61" spans="1:12" x14ac:dyDescent="0.25">
      <c r="B61" s="330"/>
      <c r="C61" s="22"/>
      <c r="D61" s="128"/>
    </row>
    <row r="62" spans="1:12" x14ac:dyDescent="0.25">
      <c r="B62" s="330"/>
      <c r="C62" s="22"/>
      <c r="D62" s="128">
        <f t="shared" si="11"/>
        <v>0</v>
      </c>
    </row>
    <row r="63" spans="1:12" x14ac:dyDescent="0.25">
      <c r="B63" s="330"/>
      <c r="C63" s="22"/>
      <c r="D63" s="128">
        <f t="shared" si="11"/>
        <v>0</v>
      </c>
      <c r="K63" s="128"/>
    </row>
    <row r="64" spans="1:12" x14ac:dyDescent="0.25">
      <c r="A64" s="356" t="s">
        <v>20</v>
      </c>
      <c r="B64" s="330"/>
      <c r="C64" s="22"/>
      <c r="D64" s="61">
        <f>SUM(D65:D77)</f>
        <v>0</v>
      </c>
      <c r="E64" s="61">
        <f>D64/11</f>
        <v>0</v>
      </c>
      <c r="F64" s="61">
        <f>SUM(F65:F77)/11*10</f>
        <v>0</v>
      </c>
      <c r="G64" s="61">
        <f t="shared" ref="G64:K64" si="13">SUM(G65:G77)/11*10</f>
        <v>0</v>
      </c>
      <c r="H64" s="61">
        <f t="shared" si="13"/>
        <v>0</v>
      </c>
      <c r="I64" s="61">
        <f t="shared" si="13"/>
        <v>0</v>
      </c>
      <c r="J64" s="61">
        <f t="shared" si="13"/>
        <v>0</v>
      </c>
      <c r="K64" s="61">
        <f t="shared" si="13"/>
        <v>0</v>
      </c>
    </row>
    <row r="65" spans="1:12" x14ac:dyDescent="0.25">
      <c r="B65" s="330"/>
      <c r="D65" s="128"/>
    </row>
    <row r="66" spans="1:12" x14ac:dyDescent="0.25">
      <c r="A66" s="355"/>
      <c r="B66" s="330"/>
      <c r="D66" s="128"/>
      <c r="E66" s="349"/>
      <c r="F66" s="349"/>
      <c r="G66" s="349"/>
      <c r="H66" s="349"/>
      <c r="I66" s="349"/>
      <c r="J66" s="349"/>
      <c r="K66" s="349"/>
    </row>
    <row r="67" spans="1:12" x14ac:dyDescent="0.25">
      <c r="B67" s="330"/>
      <c r="D67" s="128"/>
    </row>
    <row r="68" spans="1:12" x14ac:dyDescent="0.25">
      <c r="B68" s="330"/>
      <c r="D68" s="128"/>
    </row>
    <row r="69" spans="1:12" x14ac:dyDescent="0.25">
      <c r="B69" s="330"/>
      <c r="D69" s="128"/>
    </row>
    <row r="70" spans="1:12" x14ac:dyDescent="0.25">
      <c r="B70" s="330"/>
      <c r="D70" s="128"/>
    </row>
    <row r="71" spans="1:12" x14ac:dyDescent="0.25">
      <c r="B71" s="330"/>
      <c r="D71" s="128"/>
    </row>
    <row r="72" spans="1:12" x14ac:dyDescent="0.25">
      <c r="B72" s="330"/>
      <c r="D72" s="128"/>
    </row>
    <row r="73" spans="1:12" x14ac:dyDescent="0.25">
      <c r="B73" s="330"/>
      <c r="C73" s="22"/>
      <c r="D73" s="128"/>
    </row>
    <row r="74" spans="1:12" x14ac:dyDescent="0.25">
      <c r="B74" s="330"/>
      <c r="C74" s="22"/>
      <c r="D74" s="128"/>
    </row>
    <row r="75" spans="1:12" x14ac:dyDescent="0.25">
      <c r="B75" s="330"/>
      <c r="C75" s="22"/>
      <c r="D75" s="128"/>
    </row>
    <row r="76" spans="1:12" x14ac:dyDescent="0.25">
      <c r="B76" s="330"/>
      <c r="C76" s="22"/>
      <c r="D76" s="128"/>
      <c r="L76" s="328"/>
    </row>
    <row r="77" spans="1:12" x14ac:dyDescent="0.25">
      <c r="B77" s="330"/>
      <c r="C77" s="22"/>
      <c r="D77" s="128">
        <f t="shared" ref="D77:D83" si="14">SUM(E77:K77)</f>
        <v>0</v>
      </c>
    </row>
    <row r="78" spans="1:12" x14ac:dyDescent="0.25">
      <c r="A78" s="356" t="s">
        <v>21</v>
      </c>
      <c r="B78" s="330"/>
      <c r="C78" s="22"/>
      <c r="D78" s="61">
        <f>SUM(D79:D91)</f>
        <v>0</v>
      </c>
      <c r="E78" s="61">
        <f>D78/11</f>
        <v>0</v>
      </c>
      <c r="F78" s="61">
        <f>SUM(F79:F81)/11*10</f>
        <v>0</v>
      </c>
      <c r="G78" s="61">
        <f t="shared" ref="G78:I78" si="15">SUM(G79:G81)/11*10</f>
        <v>0</v>
      </c>
      <c r="H78" s="61">
        <f t="shared" si="15"/>
        <v>0</v>
      </c>
      <c r="I78" s="61">
        <f t="shared" si="15"/>
        <v>0</v>
      </c>
    </row>
    <row r="79" spans="1:12" x14ac:dyDescent="0.25">
      <c r="B79" s="330"/>
      <c r="C79" s="22"/>
      <c r="D79" s="128"/>
    </row>
    <row r="80" spans="1:12" x14ac:dyDescent="0.25">
      <c r="B80" s="330"/>
      <c r="C80" s="22"/>
      <c r="D80" s="128"/>
    </row>
    <row r="81" spans="1:9" x14ac:dyDescent="0.25">
      <c r="B81" s="330"/>
      <c r="D81" s="128">
        <f t="shared" ref="D81" si="16">SUM(E81:K81)</f>
        <v>0</v>
      </c>
    </row>
    <row r="82" spans="1:9" x14ac:dyDescent="0.25">
      <c r="B82" s="330"/>
      <c r="C82" s="22"/>
      <c r="D82" s="128">
        <f t="shared" ref="D82" si="17">SUM(E82:K82)</f>
        <v>0</v>
      </c>
    </row>
    <row r="83" spans="1:9" x14ac:dyDescent="0.25">
      <c r="B83" s="330"/>
      <c r="D83" s="128">
        <f t="shared" si="14"/>
        <v>0</v>
      </c>
    </row>
    <row r="85" spans="1:9" x14ac:dyDescent="0.25">
      <c r="A85" s="355"/>
      <c r="D85" s="61">
        <f>SUM(D86:D95)</f>
        <v>0</v>
      </c>
      <c r="E85" s="61">
        <f>D85/11</f>
        <v>0</v>
      </c>
      <c r="F85" s="61">
        <f>SUM(F86:F95)/11*10</f>
        <v>0</v>
      </c>
      <c r="G85" s="61">
        <f>SUM(G86:G95)/11*10</f>
        <v>0</v>
      </c>
      <c r="H85" s="61">
        <f>SUM(H86:H95)/11*10</f>
        <v>0</v>
      </c>
      <c r="I85" s="61">
        <f>SUM(I86:I95)/11*10</f>
        <v>0</v>
      </c>
    </row>
    <row r="86" spans="1:9" x14ac:dyDescent="0.25">
      <c r="B86" s="330"/>
      <c r="D86" s="128">
        <f>SUM(E86:K86)</f>
        <v>0</v>
      </c>
    </row>
    <row r="87" spans="1:9" x14ac:dyDescent="0.25">
      <c r="B87" s="330"/>
      <c r="D87" s="128">
        <f t="shared" ref="D87:D93" si="18">SUM(E87:K87)</f>
        <v>0</v>
      </c>
    </row>
    <row r="88" spans="1:9" x14ac:dyDescent="0.25">
      <c r="B88" s="330"/>
      <c r="D88" s="128">
        <f t="shared" si="18"/>
        <v>0</v>
      </c>
    </row>
    <row r="89" spans="1:9" x14ac:dyDescent="0.25">
      <c r="B89" s="330"/>
      <c r="D89" s="128">
        <f t="shared" si="18"/>
        <v>0</v>
      </c>
    </row>
    <row r="90" spans="1:9" x14ac:dyDescent="0.25">
      <c r="B90" s="330"/>
      <c r="D90" s="128">
        <f t="shared" si="18"/>
        <v>0</v>
      </c>
    </row>
    <row r="91" spans="1:9" x14ac:dyDescent="0.25">
      <c r="B91" s="330"/>
      <c r="D91" s="128">
        <f t="shared" si="18"/>
        <v>0</v>
      </c>
    </row>
    <row r="92" spans="1:9" x14ac:dyDescent="0.25">
      <c r="B92" s="330"/>
      <c r="D92" s="128">
        <f t="shared" si="18"/>
        <v>0</v>
      </c>
    </row>
    <row r="93" spans="1:9" x14ac:dyDescent="0.25">
      <c r="B93" s="330"/>
      <c r="D93" s="128">
        <f t="shared" si="18"/>
        <v>0</v>
      </c>
    </row>
    <row r="94" spans="1:9" x14ac:dyDescent="0.25">
      <c r="B94" s="330"/>
      <c r="D94" s="128"/>
    </row>
    <row r="95" spans="1:9" x14ac:dyDescent="0.25">
      <c r="B95" s="330"/>
      <c r="D95" s="128"/>
    </row>
    <row r="96" spans="1:9" x14ac:dyDescent="0.25">
      <c r="A96" s="355"/>
      <c r="B96" s="330"/>
      <c r="D96" s="61">
        <f>SUM(D97:D106)</f>
        <v>0</v>
      </c>
      <c r="E96" s="61">
        <f>D96/11</f>
        <v>0</v>
      </c>
      <c r="F96" s="61">
        <f>SUM(F97:F106)/11*10</f>
        <v>0</v>
      </c>
      <c r="G96" s="61">
        <f>SUM(G97:G106)/11*10</f>
        <v>0</v>
      </c>
      <c r="H96" s="61">
        <f>SUM(H97:H106)/11*10</f>
        <v>0</v>
      </c>
      <c r="I96" s="61">
        <f>SUM(I97:I106)/11*10</f>
        <v>0</v>
      </c>
    </row>
    <row r="97" spans="1:12" x14ac:dyDescent="0.25">
      <c r="B97" s="330"/>
      <c r="C97" s="22"/>
      <c r="D97" s="128">
        <f>SUM(E97:K97)</f>
        <v>0</v>
      </c>
    </row>
    <row r="98" spans="1:12" x14ac:dyDescent="0.25">
      <c r="B98" s="330"/>
      <c r="C98" s="22"/>
      <c r="D98" s="128">
        <f t="shared" ref="D98:D106" si="19">SUM(E98:K98)</f>
        <v>0</v>
      </c>
    </row>
    <row r="99" spans="1:12" x14ac:dyDescent="0.25">
      <c r="B99" s="330"/>
      <c r="C99" s="22"/>
      <c r="D99" s="128">
        <f t="shared" si="19"/>
        <v>0</v>
      </c>
      <c r="L99" s="328"/>
    </row>
    <row r="100" spans="1:12" x14ac:dyDescent="0.25">
      <c r="B100" s="330"/>
      <c r="C100" s="22"/>
      <c r="D100" s="128">
        <f t="shared" si="19"/>
        <v>0</v>
      </c>
      <c r="L100" s="328"/>
    </row>
    <row r="101" spans="1:12" x14ac:dyDescent="0.25">
      <c r="B101" s="330"/>
      <c r="C101" s="22"/>
      <c r="D101" s="128">
        <f t="shared" si="19"/>
        <v>0</v>
      </c>
      <c r="L101" s="328"/>
    </row>
    <row r="102" spans="1:12" x14ac:dyDescent="0.25">
      <c r="B102" s="330"/>
      <c r="C102" s="22"/>
      <c r="D102" s="128">
        <f t="shared" si="19"/>
        <v>0</v>
      </c>
      <c r="L102" s="328"/>
    </row>
    <row r="103" spans="1:12" x14ac:dyDescent="0.25">
      <c r="B103" s="330"/>
      <c r="C103" s="22"/>
      <c r="D103" s="128">
        <f t="shared" si="19"/>
        <v>0</v>
      </c>
    </row>
    <row r="104" spans="1:12" x14ac:dyDescent="0.25">
      <c r="B104" s="330"/>
      <c r="C104" s="22"/>
      <c r="D104" s="128">
        <f t="shared" si="19"/>
        <v>0</v>
      </c>
    </row>
    <row r="105" spans="1:12" x14ac:dyDescent="0.25">
      <c r="B105" s="330"/>
      <c r="C105" s="22"/>
      <c r="D105" s="128">
        <f t="shared" si="19"/>
        <v>0</v>
      </c>
    </row>
    <row r="106" spans="1:12" x14ac:dyDescent="0.25">
      <c r="B106" s="330"/>
      <c r="C106" s="22"/>
      <c r="D106" s="128">
        <f t="shared" si="19"/>
        <v>0</v>
      </c>
    </row>
    <row r="107" spans="1:12" x14ac:dyDescent="0.25">
      <c r="B107" s="330"/>
      <c r="C107" s="22"/>
      <c r="D107" s="128"/>
      <c r="J107" s="128"/>
    </row>
    <row r="110" spans="1:12" x14ac:dyDescent="0.25">
      <c r="A110" s="355"/>
      <c r="B110" s="330"/>
      <c r="D110" s="61">
        <f>SUM(D111:D118)</f>
        <v>0</v>
      </c>
      <c r="E110" s="61">
        <f>D110/11</f>
        <v>0</v>
      </c>
      <c r="F110" s="61">
        <f>SUM(F111:F117)/11*10</f>
        <v>0</v>
      </c>
      <c r="G110" s="61">
        <f>SUM(G111:G117)/11*10</f>
        <v>0</v>
      </c>
      <c r="H110" s="61">
        <f>SUM(H111:H117)/11*10</f>
        <v>0</v>
      </c>
      <c r="I110" s="61">
        <f>SUM(I111:I117)/11*10</f>
        <v>0</v>
      </c>
      <c r="K110" s="61">
        <f>SUM(K111:K117)</f>
        <v>0</v>
      </c>
    </row>
    <row r="111" spans="1:12" x14ac:dyDescent="0.25">
      <c r="B111" s="330"/>
      <c r="C111" s="22"/>
      <c r="D111" s="128">
        <f t="shared" ref="D111:D117" si="20">SUM(E111:K111)</f>
        <v>0</v>
      </c>
      <c r="E111" s="61"/>
    </row>
    <row r="112" spans="1:12" x14ac:dyDescent="0.25">
      <c r="B112" s="330"/>
      <c r="C112" s="22"/>
      <c r="D112" s="128">
        <f t="shared" si="20"/>
        <v>0</v>
      </c>
      <c r="E112" s="61"/>
    </row>
    <row r="113" spans="1:13" x14ac:dyDescent="0.25">
      <c r="B113" s="330"/>
      <c r="C113" s="22"/>
      <c r="D113" s="128">
        <f t="shared" si="20"/>
        <v>0</v>
      </c>
      <c r="E113" s="61"/>
    </row>
    <row r="114" spans="1:13" x14ac:dyDescent="0.25">
      <c r="B114" s="330"/>
      <c r="C114" s="22"/>
      <c r="D114" s="128">
        <f t="shared" si="20"/>
        <v>0</v>
      </c>
      <c r="E114" s="61"/>
    </row>
    <row r="115" spans="1:13" x14ac:dyDescent="0.25">
      <c r="B115" s="330"/>
      <c r="C115" s="22"/>
      <c r="D115" s="128">
        <f t="shared" si="20"/>
        <v>0</v>
      </c>
      <c r="E115" s="61"/>
      <c r="L115" s="22"/>
    </row>
    <row r="116" spans="1:13" x14ac:dyDescent="0.25">
      <c r="B116" s="330"/>
      <c r="C116" s="22"/>
      <c r="D116" s="128">
        <f t="shared" si="20"/>
        <v>0</v>
      </c>
      <c r="E116" s="61"/>
    </row>
    <row r="117" spans="1:13" x14ac:dyDescent="0.25">
      <c r="B117" s="330"/>
      <c r="C117" s="22"/>
      <c r="D117" s="128">
        <f t="shared" si="20"/>
        <v>0</v>
      </c>
      <c r="E117" s="61"/>
    </row>
    <row r="119" spans="1:13" x14ac:dyDescent="0.25">
      <c r="A119" s="355"/>
      <c r="B119" s="330"/>
      <c r="D119" s="61">
        <f>SUM(D120:D127)</f>
        <v>0</v>
      </c>
      <c r="E119" s="61">
        <f>D119/11</f>
        <v>0</v>
      </c>
      <c r="F119" s="61">
        <f>SUM(F120:F127)/11*10</f>
        <v>0</v>
      </c>
      <c r="G119" s="61">
        <f>SUM(G120:G127)/11*10</f>
        <v>0</v>
      </c>
      <c r="H119" s="61">
        <f>SUM(H120:H127)/11*10</f>
        <v>0</v>
      </c>
      <c r="I119" s="61">
        <f>SUM(I120:I127)/11*10</f>
        <v>0</v>
      </c>
      <c r="K119" s="128"/>
      <c r="M119" s="22"/>
    </row>
    <row r="120" spans="1:13" x14ac:dyDescent="0.25">
      <c r="B120" s="330"/>
      <c r="C120" s="22"/>
      <c r="D120" s="128">
        <f t="shared" ref="D120:D127" si="21">SUM(E120:K120)</f>
        <v>0</v>
      </c>
      <c r="J120" s="128"/>
    </row>
    <row r="121" spans="1:13" x14ac:dyDescent="0.25">
      <c r="B121" s="330"/>
      <c r="C121" s="22"/>
      <c r="D121" s="128">
        <f t="shared" si="21"/>
        <v>0</v>
      </c>
    </row>
    <row r="122" spans="1:13" x14ac:dyDescent="0.25">
      <c r="B122" s="330"/>
      <c r="C122" s="22"/>
      <c r="D122" s="128">
        <f t="shared" si="21"/>
        <v>0</v>
      </c>
    </row>
    <row r="123" spans="1:13" x14ac:dyDescent="0.25">
      <c r="B123" s="330"/>
      <c r="C123" s="22"/>
      <c r="D123" s="128">
        <f>SUM(E123:K123)</f>
        <v>0</v>
      </c>
    </row>
    <row r="124" spans="1:13" x14ac:dyDescent="0.25">
      <c r="B124" s="330"/>
      <c r="C124" s="22"/>
      <c r="D124" s="128">
        <f t="shared" ref="D124" si="22">SUM(E124:K124)</f>
        <v>0</v>
      </c>
    </row>
    <row r="125" spans="1:13" x14ac:dyDescent="0.25">
      <c r="B125" s="330"/>
      <c r="C125" s="22"/>
      <c r="D125" s="128">
        <f t="shared" si="21"/>
        <v>0</v>
      </c>
    </row>
    <row r="126" spans="1:13" x14ac:dyDescent="0.25">
      <c r="B126" s="330"/>
      <c r="C126" s="22"/>
      <c r="D126" s="128">
        <f t="shared" si="21"/>
        <v>0</v>
      </c>
    </row>
    <row r="127" spans="1:13" x14ac:dyDescent="0.25">
      <c r="B127" s="330"/>
      <c r="C127" s="22"/>
      <c r="D127" s="128">
        <f t="shared" si="21"/>
        <v>0</v>
      </c>
    </row>
    <row r="129" spans="1:13" x14ac:dyDescent="0.25">
      <c r="A129" s="355"/>
      <c r="B129" s="330"/>
      <c r="D129" s="61">
        <f>SUM(D130:D133)</f>
        <v>0</v>
      </c>
      <c r="E129" s="61">
        <f>D129/11</f>
        <v>0</v>
      </c>
      <c r="F129" s="61">
        <f>SUM(F130:F133)/11*10</f>
        <v>0</v>
      </c>
      <c r="G129" s="61">
        <f>SUM(G130:G133)/11*10</f>
        <v>0</v>
      </c>
      <c r="H129" s="61">
        <f>SUM(H130:H133)/11*10</f>
        <v>0</v>
      </c>
      <c r="I129" s="61">
        <f>SUM(I130:I133)/11*10</f>
        <v>0</v>
      </c>
      <c r="K129" s="128"/>
      <c r="M129" s="22"/>
    </row>
    <row r="130" spans="1:13" x14ac:dyDescent="0.25">
      <c r="B130" s="330"/>
      <c r="C130" s="22"/>
      <c r="D130" s="128">
        <f t="shared" ref="D130:D132" si="23">SUM(E130:K130)</f>
        <v>0</v>
      </c>
    </row>
    <row r="131" spans="1:13" x14ac:dyDescent="0.25">
      <c r="B131" s="330"/>
      <c r="C131" s="22"/>
      <c r="D131" s="128">
        <f t="shared" si="23"/>
        <v>0</v>
      </c>
    </row>
    <row r="132" spans="1:13" x14ac:dyDescent="0.25">
      <c r="B132" s="330"/>
      <c r="C132" s="22"/>
      <c r="D132" s="128">
        <f t="shared" si="23"/>
        <v>0</v>
      </c>
    </row>
    <row r="133" spans="1:13" x14ac:dyDescent="0.25">
      <c r="B133" s="330"/>
      <c r="C133" s="22"/>
      <c r="D133" s="128">
        <f>SUM(E133:K133)</f>
        <v>0</v>
      </c>
    </row>
    <row r="135" spans="1:13" x14ac:dyDescent="0.25">
      <c r="A135" s="355"/>
      <c r="B135" s="330"/>
      <c r="D135" s="61">
        <f>SUM(D136:D141)</f>
        <v>0</v>
      </c>
      <c r="E135" s="61">
        <f>(D135-K135)/11</f>
        <v>0</v>
      </c>
      <c r="F135" s="61">
        <f>SUM(F136:F141)/11*10</f>
        <v>0</v>
      </c>
      <c r="G135" s="61">
        <f>SUM(G136:G141)/11*10</f>
        <v>0</v>
      </c>
      <c r="H135" s="61">
        <f>SUM(H136:H141)/11*10</f>
        <v>0</v>
      </c>
      <c r="I135" s="61">
        <f>SUM(I136:I141)/11*10</f>
        <v>0</v>
      </c>
      <c r="K135" s="61">
        <f>SUM(K136:K141)</f>
        <v>0</v>
      </c>
    </row>
    <row r="136" spans="1:13" x14ac:dyDescent="0.25">
      <c r="B136" s="330"/>
      <c r="C136" s="22"/>
      <c r="D136" s="128">
        <f t="shared" ref="D136:D141" si="24">SUM(E136:K136)</f>
        <v>0</v>
      </c>
    </row>
    <row r="137" spans="1:13" x14ac:dyDescent="0.25">
      <c r="B137" s="330"/>
      <c r="C137" s="22"/>
      <c r="D137" s="128">
        <f t="shared" si="24"/>
        <v>0</v>
      </c>
    </row>
    <row r="138" spans="1:13" x14ac:dyDescent="0.25">
      <c r="B138" s="330"/>
      <c r="C138" s="22"/>
      <c r="D138" s="128">
        <f t="shared" si="24"/>
        <v>0</v>
      </c>
    </row>
    <row r="139" spans="1:13" x14ac:dyDescent="0.25">
      <c r="B139" s="330"/>
      <c r="C139" s="22"/>
      <c r="D139" s="128">
        <f>SUM(E139:K139)</f>
        <v>0</v>
      </c>
    </row>
    <row r="140" spans="1:13" x14ac:dyDescent="0.25">
      <c r="B140" s="330"/>
      <c r="C140" s="22"/>
      <c r="D140" s="128">
        <f t="shared" ref="D140" si="25">SUM(E140:K140)</f>
        <v>0</v>
      </c>
    </row>
    <row r="141" spans="1:13" x14ac:dyDescent="0.25">
      <c r="B141" s="330"/>
      <c r="C141" s="22"/>
      <c r="D141" s="128">
        <f t="shared" si="24"/>
        <v>0</v>
      </c>
    </row>
    <row r="142" spans="1:13" x14ac:dyDescent="0.25">
      <c r="D142" s="128"/>
    </row>
    <row r="143" spans="1:13" x14ac:dyDescent="0.25">
      <c r="A143" s="355"/>
      <c r="B143" s="330"/>
      <c r="D143" s="61">
        <f>SUM(D144:D156)</f>
        <v>0</v>
      </c>
      <c r="E143" s="61">
        <f>D143/11</f>
        <v>0</v>
      </c>
      <c r="F143" s="61">
        <f>SUM(F144:F156)/11*10</f>
        <v>0</v>
      </c>
      <c r="G143" s="61">
        <f>SUM(G144:G156)/11*10</f>
        <v>0</v>
      </c>
      <c r="H143" s="61">
        <f>SUM(H144:H156)/11*10</f>
        <v>0</v>
      </c>
      <c r="I143" s="61">
        <f>SUM(I144:I156)/11*10</f>
        <v>0</v>
      </c>
    </row>
    <row r="144" spans="1:13" x14ac:dyDescent="0.25">
      <c r="B144" s="330"/>
      <c r="C144" s="22"/>
      <c r="D144" s="128">
        <f t="shared" ref="D144:D146" si="26">SUM(E144:K144)</f>
        <v>0</v>
      </c>
    </row>
    <row r="145" spans="1:14" x14ac:dyDescent="0.25">
      <c r="B145" s="330"/>
      <c r="C145" s="22"/>
      <c r="D145" s="128">
        <f t="shared" si="26"/>
        <v>0</v>
      </c>
      <c r="K145" s="128"/>
      <c r="L145" s="328"/>
      <c r="M145" s="328"/>
      <c r="N145" s="328"/>
    </row>
    <row r="146" spans="1:14" x14ac:dyDescent="0.25">
      <c r="B146" s="330"/>
      <c r="C146" s="22"/>
      <c r="D146" s="128">
        <f t="shared" si="26"/>
        <v>0</v>
      </c>
      <c r="L146" s="352"/>
      <c r="M146" s="328"/>
      <c r="N146" s="328"/>
    </row>
    <row r="147" spans="1:14" x14ac:dyDescent="0.25">
      <c r="B147" s="330"/>
      <c r="C147" s="22"/>
      <c r="D147" s="128">
        <f>SUM(E147:K147)</f>
        <v>0</v>
      </c>
    </row>
    <row r="148" spans="1:14" x14ac:dyDescent="0.25">
      <c r="B148" s="330"/>
      <c r="C148" s="22"/>
      <c r="D148" s="128">
        <f t="shared" ref="D148:D150" si="27">SUM(E148:K148)</f>
        <v>0</v>
      </c>
    </row>
    <row r="149" spans="1:14" x14ac:dyDescent="0.25">
      <c r="B149" s="330"/>
      <c r="C149" s="22"/>
      <c r="D149" s="128">
        <f t="shared" si="27"/>
        <v>0</v>
      </c>
    </row>
    <row r="150" spans="1:14" x14ac:dyDescent="0.25">
      <c r="B150" s="330"/>
      <c r="C150" s="22"/>
      <c r="D150" s="128">
        <f t="shared" si="27"/>
        <v>0</v>
      </c>
    </row>
    <row r="151" spans="1:14" x14ac:dyDescent="0.25">
      <c r="B151" s="330"/>
      <c r="D151" s="128">
        <f t="shared" ref="D151:D152" si="28">SUM(F151:J151)</f>
        <v>0</v>
      </c>
    </row>
    <row r="152" spans="1:14" x14ac:dyDescent="0.25">
      <c r="B152" s="330"/>
      <c r="D152" s="128">
        <f t="shared" si="28"/>
        <v>0</v>
      </c>
    </row>
    <row r="153" spans="1:14" x14ac:dyDescent="0.25">
      <c r="B153" s="330"/>
      <c r="D153" s="128">
        <f t="shared" ref="D153:D154" si="29">SUM(F153:J153)</f>
        <v>0</v>
      </c>
    </row>
    <row r="154" spans="1:14" x14ac:dyDescent="0.25">
      <c r="B154" s="330"/>
      <c r="D154" s="128">
        <f t="shared" si="29"/>
        <v>0</v>
      </c>
    </row>
    <row r="155" spans="1:14" x14ac:dyDescent="0.25">
      <c r="B155" s="330"/>
      <c r="D155" s="128">
        <f t="shared" ref="D155" si="30">SUM(F155:J155)</f>
        <v>0</v>
      </c>
    </row>
    <row r="156" spans="1:14" x14ac:dyDescent="0.25">
      <c r="B156" s="330"/>
      <c r="D156" s="128">
        <f t="shared" ref="D156" si="31">SUM(F156:J156)</f>
        <v>0</v>
      </c>
    </row>
    <row r="158" spans="1:14" x14ac:dyDescent="0.25">
      <c r="A158" s="355"/>
      <c r="B158" s="330"/>
      <c r="D158" s="61">
        <f>SUM(D159:D167)</f>
        <v>0</v>
      </c>
      <c r="E158" s="61">
        <f>D158/11</f>
        <v>0</v>
      </c>
      <c r="F158" s="61">
        <f>SUM(F159:F167)/11*10</f>
        <v>0</v>
      </c>
      <c r="G158" s="61">
        <f>SUM(G159:G167)/11*10</f>
        <v>0</v>
      </c>
      <c r="H158" s="61">
        <f>SUM(H159:H167)/11*10</f>
        <v>0</v>
      </c>
      <c r="I158" s="61">
        <f>SUM(I159:I167)/11*10</f>
        <v>0</v>
      </c>
    </row>
    <row r="159" spans="1:14" x14ac:dyDescent="0.25">
      <c r="B159" s="330"/>
      <c r="C159" s="22"/>
      <c r="D159" s="128">
        <f t="shared" ref="D159:D167" si="32">SUM(F159:J159)</f>
        <v>0</v>
      </c>
    </row>
    <row r="160" spans="1:14" x14ac:dyDescent="0.25">
      <c r="B160" s="330"/>
      <c r="C160" s="22"/>
      <c r="D160" s="128">
        <f t="shared" si="32"/>
        <v>0</v>
      </c>
      <c r="K160" s="128"/>
    </row>
    <row r="161" spans="2:4" x14ac:dyDescent="0.25">
      <c r="B161" s="330"/>
      <c r="C161" s="22"/>
      <c r="D161" s="128">
        <f t="shared" si="32"/>
        <v>0</v>
      </c>
    </row>
    <row r="162" spans="2:4" x14ac:dyDescent="0.25">
      <c r="B162" s="330"/>
      <c r="C162" s="22"/>
      <c r="D162" s="128">
        <f t="shared" si="32"/>
        <v>0</v>
      </c>
    </row>
    <row r="163" spans="2:4" x14ac:dyDescent="0.25">
      <c r="B163" s="330"/>
      <c r="C163" s="22"/>
      <c r="D163" s="128">
        <f t="shared" si="32"/>
        <v>0</v>
      </c>
    </row>
    <row r="164" spans="2:4" x14ac:dyDescent="0.25">
      <c r="B164" s="330"/>
      <c r="C164" s="22"/>
      <c r="D164" s="128">
        <f t="shared" si="32"/>
        <v>0</v>
      </c>
    </row>
    <row r="165" spans="2:4" x14ac:dyDescent="0.25">
      <c r="B165" s="330"/>
      <c r="C165" s="22"/>
      <c r="D165" s="128">
        <f t="shared" si="32"/>
        <v>0</v>
      </c>
    </row>
    <row r="166" spans="2:4" x14ac:dyDescent="0.25">
      <c r="B166" s="330"/>
      <c r="C166" s="22"/>
      <c r="D166" s="128">
        <f t="shared" si="32"/>
        <v>0</v>
      </c>
    </row>
    <row r="167" spans="2:4" x14ac:dyDescent="0.25">
      <c r="B167" s="330"/>
      <c r="C167" s="22"/>
      <c r="D167" s="128">
        <f t="shared" si="32"/>
        <v>0</v>
      </c>
    </row>
  </sheetData>
  <pageMargins left="0.7" right="0.7" top="0.75" bottom="0.75" header="0.51180555555555496" footer="0.51180555555555496"/>
  <pageSetup firstPageNumber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showZeros="0" zoomScaleNormal="100" workbookViewId="0">
      <selection activeCell="D3" sqref="D3"/>
    </sheetView>
  </sheetViews>
  <sheetFormatPr defaultRowHeight="13.2" x14ac:dyDescent="0.25"/>
  <cols>
    <col min="1" max="1025" width="11"/>
  </cols>
  <sheetData/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X140"/>
  <sheetViews>
    <sheetView showZeros="0" zoomScale="80" zoomScaleNormal="80" workbookViewId="0">
      <pane ySplit="4" topLeftCell="A30" activePane="bottomLeft" state="frozen"/>
      <selection activeCell="D3" sqref="D3"/>
      <selection pane="bottomLeft" activeCell="H60" sqref="H60"/>
    </sheetView>
  </sheetViews>
  <sheetFormatPr defaultRowHeight="13.2" x14ac:dyDescent="0.25"/>
  <cols>
    <col min="1" max="3" width="3.44140625" style="139"/>
    <col min="4" max="4" width="9.5546875" style="139"/>
    <col min="5" max="5" width="9.5546875" style="89"/>
    <col min="6" max="7" width="9.5546875" style="356"/>
    <col min="8" max="8" width="20.5546875" style="139"/>
    <col min="9" max="9" width="7" style="88"/>
    <col min="10" max="15" width="12.44140625" style="62"/>
    <col min="16" max="16" width="12.44140625" style="88"/>
    <col min="17" max="20" width="12.44140625" style="62"/>
    <col min="21" max="21" width="14.44140625" style="139" bestFit="1" customWidth="1"/>
    <col min="22" max="22" width="8.5546875" style="139"/>
    <col min="23" max="24" width="13.44140625"/>
    <col min="25" max="1026" width="11"/>
  </cols>
  <sheetData>
    <row r="1" spans="1:24" ht="22.5" customHeight="1" x14ac:dyDescent="0.45">
      <c r="A1" s="140"/>
      <c r="B1" s="140"/>
      <c r="C1" s="140"/>
      <c r="D1" s="140"/>
      <c r="E1" s="141"/>
      <c r="F1" s="361"/>
      <c r="G1" s="362"/>
      <c r="H1" s="142" t="s">
        <v>120</v>
      </c>
      <c r="I1" s="63"/>
      <c r="J1" s="66"/>
      <c r="K1" s="66"/>
      <c r="L1" s="66"/>
      <c r="M1" s="143"/>
      <c r="N1" s="66"/>
      <c r="O1" s="143"/>
      <c r="P1" s="63"/>
      <c r="Q1" s="66"/>
      <c r="R1" s="66"/>
      <c r="S1" s="66"/>
      <c r="T1" s="143"/>
      <c r="U1" s="144"/>
      <c r="V1" s="350"/>
      <c r="W1" s="145"/>
      <c r="X1" s="145"/>
    </row>
    <row r="2" spans="1:24" ht="12" customHeight="1" x14ac:dyDescent="0.25">
      <c r="A2" s="146"/>
      <c r="B2" s="147"/>
      <c r="C2" s="147"/>
      <c r="D2" s="146"/>
      <c r="E2" s="146"/>
      <c r="F2" s="363"/>
      <c r="G2" s="364"/>
      <c r="H2" s="146"/>
      <c r="I2" s="146"/>
      <c r="J2" s="146"/>
      <c r="K2" s="146"/>
      <c r="L2" s="146"/>
      <c r="M2" s="146"/>
      <c r="N2" s="148"/>
      <c r="O2" s="149"/>
      <c r="P2" s="146"/>
      <c r="Q2" s="146"/>
      <c r="R2" s="146"/>
      <c r="S2" s="146"/>
      <c r="T2" s="149"/>
      <c r="U2" s="148"/>
      <c r="V2" s="146"/>
      <c r="W2" s="146"/>
      <c r="X2" s="146"/>
    </row>
    <row r="3" spans="1:24" s="35" customFormat="1" ht="12" customHeight="1" x14ac:dyDescent="0.25">
      <c r="A3" s="150"/>
      <c r="B3" s="151"/>
      <c r="C3" s="151"/>
      <c r="D3" s="150" t="s">
        <v>121</v>
      </c>
      <c r="E3" s="150"/>
      <c r="F3" s="365"/>
      <c r="G3" s="366"/>
      <c r="H3" s="150"/>
      <c r="I3" s="150"/>
      <c r="J3" s="152">
        <f t="shared" ref="J3:O3" si="0">SUM(J5:J206)</f>
        <v>354518.64999999991</v>
      </c>
      <c r="K3" s="152">
        <f t="shared" si="0"/>
        <v>0</v>
      </c>
      <c r="L3" s="152">
        <f t="shared" si="0"/>
        <v>35451.930000000008</v>
      </c>
      <c r="M3" s="152">
        <f t="shared" si="0"/>
        <v>0</v>
      </c>
      <c r="N3" s="153">
        <f t="shared" si="0"/>
        <v>389970.5799999999</v>
      </c>
      <c r="O3" s="154">
        <f t="shared" si="0"/>
        <v>0</v>
      </c>
      <c r="P3" s="150"/>
      <c r="Q3" s="152"/>
      <c r="R3" s="152"/>
      <c r="S3" s="152"/>
      <c r="T3" s="154">
        <f>SUM(T5:T206)</f>
        <v>17195.432500000014</v>
      </c>
      <c r="U3" s="155"/>
      <c r="V3" s="150"/>
      <c r="W3" s="150"/>
      <c r="X3" s="150"/>
    </row>
    <row r="4" spans="1:24" s="305" customFormat="1" ht="12" customHeight="1" thickBot="1" x14ac:dyDescent="0.3">
      <c r="A4" s="297" t="s">
        <v>122</v>
      </c>
      <c r="B4" s="297" t="s">
        <v>123</v>
      </c>
      <c r="C4" s="297" t="s">
        <v>124</v>
      </c>
      <c r="D4" s="297" t="s">
        <v>125</v>
      </c>
      <c r="E4" s="298" t="s">
        <v>126</v>
      </c>
      <c r="F4" s="367" t="s">
        <v>127</v>
      </c>
      <c r="G4" s="368" t="s">
        <v>106</v>
      </c>
      <c r="H4" s="297" t="s">
        <v>42</v>
      </c>
      <c r="I4" s="300" t="s">
        <v>128</v>
      </c>
      <c r="J4" s="301" t="s">
        <v>129</v>
      </c>
      <c r="K4" s="301" t="s">
        <v>130</v>
      </c>
      <c r="L4" s="302" t="s">
        <v>29</v>
      </c>
      <c r="M4" s="299" t="s">
        <v>131</v>
      </c>
      <c r="N4" s="302" t="s">
        <v>90</v>
      </c>
      <c r="O4" s="299" t="s">
        <v>132</v>
      </c>
      <c r="P4" s="300" t="s">
        <v>133</v>
      </c>
      <c r="Q4" s="302" t="s">
        <v>134</v>
      </c>
      <c r="R4" s="301" t="s">
        <v>135</v>
      </c>
      <c r="S4" s="301" t="s">
        <v>136</v>
      </c>
      <c r="T4" s="299" t="s">
        <v>137</v>
      </c>
      <c r="U4" s="303" t="s">
        <v>138</v>
      </c>
      <c r="V4" s="297" t="s">
        <v>5</v>
      </c>
      <c r="W4" s="304" t="s">
        <v>139</v>
      </c>
      <c r="X4" s="304" t="s">
        <v>140</v>
      </c>
    </row>
    <row r="5" spans="1:24" s="305" customFormat="1" x14ac:dyDescent="0.25">
      <c r="A5" s="295" t="s">
        <v>650</v>
      </c>
      <c r="B5" s="295" t="s">
        <v>691</v>
      </c>
      <c r="C5" s="295" t="s">
        <v>142</v>
      </c>
      <c r="D5" s="295" t="s">
        <v>55</v>
      </c>
      <c r="E5" s="159">
        <v>10</v>
      </c>
      <c r="F5" s="369">
        <v>43644</v>
      </c>
      <c r="G5" s="370">
        <v>43652</v>
      </c>
      <c r="H5" s="306"/>
      <c r="I5" s="309">
        <f t="shared" ref="I5:I33" si="1">IF(ISBLANK(B5),0,VLOOKUP(A5&amp;B5,Project,3))</f>
        <v>950</v>
      </c>
      <c r="J5" s="310">
        <f>E5*I5</f>
        <v>9500</v>
      </c>
      <c r="K5" s="310"/>
      <c r="L5" s="310">
        <f t="shared" ref="L5" si="2">ROUND((J5+K5)*0.1,2)</f>
        <v>950</v>
      </c>
      <c r="M5" s="310"/>
      <c r="N5" s="311">
        <f t="shared" ref="N5" si="3">SUM(J5:M5)</f>
        <v>10450</v>
      </c>
      <c r="O5" s="312">
        <f t="shared" ref="O5" si="4">IF(ISBLANK(G5),N5,0)</f>
        <v>0</v>
      </c>
      <c r="P5" s="309">
        <f t="shared" ref="P5:P33" si="5">IF(ISBLANK(C5),0,VLOOKUP(A5&amp;B5,Project,4))</f>
        <v>900</v>
      </c>
      <c r="Q5" s="310">
        <f>E5*P5</f>
        <v>9000</v>
      </c>
      <c r="R5" s="309">
        <f t="shared" ref="R5:R33" si="6">IF(ISBLANK(C5),0,VLOOKUP(A5&amp;B5,Project,5))*Q5*0.1</f>
        <v>0</v>
      </c>
      <c r="S5" s="310">
        <f t="shared" ref="S5" si="7">SUM(Q5:R5)</f>
        <v>9000</v>
      </c>
      <c r="T5" s="312">
        <f t="shared" ref="T5" si="8">IF(Q5=0,0,J5-Q5)</f>
        <v>500</v>
      </c>
      <c r="U5" s="313" t="str">
        <f t="shared" ref="U5:U35" si="9">IF(ISBLANK($A5),"",VLOOKUP($A5,Customer,2))</f>
        <v>Mine Super</v>
      </c>
      <c r="V5" s="351" t="str">
        <f t="shared" ref="V5:V35" si="10">IF(ISBLANK($A5),"",VLOOKUP(CONCATENATE($A5,$B5),invProject,2))</f>
        <v>Mine Super</v>
      </c>
      <c r="W5" s="314" t="str">
        <f>GETPERIOD(F5)</f>
        <v>2019-M12</v>
      </c>
      <c r="X5" s="314" t="str">
        <f t="shared" ref="X5" si="11">GETPERIOD(G5)</f>
        <v>2020-M01</v>
      </c>
    </row>
    <row r="6" spans="1:24" x14ac:dyDescent="0.25">
      <c r="A6" s="158" t="s">
        <v>147</v>
      </c>
      <c r="B6" s="158" t="s">
        <v>145</v>
      </c>
      <c r="C6" s="158" t="s">
        <v>694</v>
      </c>
      <c r="D6" s="158" t="s">
        <v>57</v>
      </c>
      <c r="E6" s="159">
        <v>9</v>
      </c>
      <c r="F6" s="371">
        <v>43653</v>
      </c>
      <c r="G6" s="372">
        <v>43657</v>
      </c>
      <c r="H6" s="157"/>
      <c r="I6" s="309">
        <f t="shared" si="1"/>
        <v>1000</v>
      </c>
      <c r="J6" s="310">
        <f t="shared" ref="J6:J67" si="12">E6*I6</f>
        <v>9000</v>
      </c>
      <c r="K6" s="310"/>
      <c r="L6" s="310">
        <f t="shared" ref="L6:L67" si="13">ROUND((J6+K6)*0.1,2)</f>
        <v>900</v>
      </c>
      <c r="M6" s="310"/>
      <c r="N6" s="311">
        <f t="shared" ref="N6:N67" si="14">SUM(J6:M6)</f>
        <v>9900</v>
      </c>
      <c r="O6" s="312">
        <f t="shared" ref="O6:O67" si="15">IF(ISBLANK(G6),N6,0)</f>
        <v>0</v>
      </c>
      <c r="P6" s="309">
        <f t="shared" si="5"/>
        <v>980</v>
      </c>
      <c r="Q6" s="310">
        <f t="shared" ref="Q6:Q67" si="16">E6*P6</f>
        <v>8820</v>
      </c>
      <c r="R6" s="309">
        <f t="shared" si="6"/>
        <v>0</v>
      </c>
      <c r="S6" s="310">
        <f t="shared" ref="S6:S67" si="17">SUM(Q6:R6)</f>
        <v>8820</v>
      </c>
      <c r="T6" s="312">
        <f t="shared" ref="T6:T67" si="18">IF(Q6=0,0,J6-Q6)</f>
        <v>180</v>
      </c>
      <c r="U6" s="313" t="str">
        <f t="shared" si="9"/>
        <v>M&amp;T Resources</v>
      </c>
      <c r="V6" s="309" t="str">
        <f t="shared" si="10"/>
        <v>Energy Queensland</v>
      </c>
      <c r="W6" s="314" t="str">
        <f t="shared" ref="W6:W67" si="19">GETPERIOD(F6)</f>
        <v>2020-M01</v>
      </c>
      <c r="X6" s="314" t="str">
        <f t="shared" ref="X6:X67" si="20">GETPERIOD(G6)</f>
        <v>2020-M01</v>
      </c>
    </row>
    <row r="7" spans="1:24" x14ac:dyDescent="0.25">
      <c r="A7" s="317" t="s">
        <v>147</v>
      </c>
      <c r="B7" s="317" t="s">
        <v>695</v>
      </c>
      <c r="C7" s="307" t="s">
        <v>694</v>
      </c>
      <c r="D7" s="317" t="s">
        <v>669</v>
      </c>
      <c r="E7" s="308">
        <v>8</v>
      </c>
      <c r="F7" s="373">
        <v>43653</v>
      </c>
      <c r="G7" s="372">
        <v>43657</v>
      </c>
      <c r="H7" s="157"/>
      <c r="I7" s="309">
        <f t="shared" si="1"/>
        <v>900</v>
      </c>
      <c r="J7" s="310">
        <f>E7*I7</f>
        <v>7200</v>
      </c>
      <c r="K7" s="310"/>
      <c r="L7" s="310">
        <f>ROUND((J7+K7)*0.1,2)</f>
        <v>720</v>
      </c>
      <c r="M7" s="310"/>
      <c r="N7" s="311">
        <f>SUM(J7:M7)</f>
        <v>7920</v>
      </c>
      <c r="O7" s="312">
        <f>IF(ISBLANK(G7),N7,0)</f>
        <v>0</v>
      </c>
      <c r="P7" s="309">
        <f t="shared" si="5"/>
        <v>855</v>
      </c>
      <c r="Q7" s="310">
        <f>E7*P7</f>
        <v>6840</v>
      </c>
      <c r="R7" s="309">
        <f t="shared" si="6"/>
        <v>0</v>
      </c>
      <c r="S7" s="310">
        <f>SUM(Q7:R7)</f>
        <v>6840</v>
      </c>
      <c r="T7" s="312">
        <f>IF(Q7=0,0,J7-Q7)</f>
        <v>360</v>
      </c>
      <c r="U7" s="313" t="str">
        <f t="shared" si="9"/>
        <v>M&amp;T Resources</v>
      </c>
      <c r="V7" s="309" t="str">
        <f t="shared" si="10"/>
        <v>Energy Queensland</v>
      </c>
      <c r="W7" s="314" t="str">
        <f t="shared" ref="W7:X9" si="21">GETPERIOD(F7)</f>
        <v>2020-M01</v>
      </c>
      <c r="X7" s="314" t="str">
        <f t="shared" si="21"/>
        <v>2020-M01</v>
      </c>
    </row>
    <row r="8" spans="1:24" x14ac:dyDescent="0.25">
      <c r="A8" s="158" t="s">
        <v>664</v>
      </c>
      <c r="B8" s="158" t="s">
        <v>691</v>
      </c>
      <c r="C8" s="158" t="s">
        <v>208</v>
      </c>
      <c r="D8" s="158" t="s">
        <v>657</v>
      </c>
      <c r="E8" s="159">
        <v>5.5</v>
      </c>
      <c r="F8" s="371">
        <v>43632</v>
      </c>
      <c r="G8" s="372">
        <v>43647</v>
      </c>
      <c r="H8" s="157"/>
      <c r="I8" s="309">
        <f>IF(ISBLANK(B8),0,VLOOKUP(A8&amp;B8,Project,3))</f>
        <v>890</v>
      </c>
      <c r="J8" s="310">
        <f>E8*I8</f>
        <v>4895</v>
      </c>
      <c r="K8" s="310"/>
      <c r="L8" s="310">
        <f>ROUND((J8+K8)*0.1,2)</f>
        <v>489.5</v>
      </c>
      <c r="M8" s="310"/>
      <c r="N8" s="311">
        <f>SUM(J8:M8)</f>
        <v>5384.5</v>
      </c>
      <c r="O8" s="312">
        <f>IF(ISBLANK(G8),N8,0)</f>
        <v>0</v>
      </c>
      <c r="P8" s="309">
        <f>IF(ISBLANK(C8),0,VLOOKUP(A8&amp;B8,Project,4))</f>
        <v>845.5</v>
      </c>
      <c r="Q8" s="310">
        <f>E8*P8</f>
        <v>4650.25</v>
      </c>
      <c r="R8" s="309">
        <f>IF(ISBLANK(C8),0,VLOOKUP(A8&amp;B8,Project,5))*Q8*0.1</f>
        <v>0</v>
      </c>
      <c r="S8" s="310">
        <f>SUM(Q8:R8)</f>
        <v>4650.25</v>
      </c>
      <c r="T8" s="312">
        <f>IF(Q8=0,0,J8-Q8)</f>
        <v>244.75</v>
      </c>
      <c r="U8" s="313" t="str">
        <f t="shared" si="9"/>
        <v>Paxus</v>
      </c>
      <c r="V8" s="309" t="str">
        <f t="shared" si="10"/>
        <v>Energy Queensland</v>
      </c>
      <c r="W8" s="314" t="str">
        <f t="shared" si="21"/>
        <v>2019-M12</v>
      </c>
      <c r="X8" s="314" t="str">
        <f t="shared" si="21"/>
        <v>2020-M01</v>
      </c>
    </row>
    <row r="9" spans="1:24" x14ac:dyDescent="0.25">
      <c r="A9" s="158" t="s">
        <v>664</v>
      </c>
      <c r="B9" s="158" t="s">
        <v>691</v>
      </c>
      <c r="C9" s="158" t="s">
        <v>211</v>
      </c>
      <c r="D9" s="158" t="s">
        <v>657</v>
      </c>
      <c r="E9" s="159">
        <v>5</v>
      </c>
      <c r="F9" s="371">
        <v>43639</v>
      </c>
      <c r="G9" s="374">
        <v>43654</v>
      </c>
      <c r="H9" s="157"/>
      <c r="I9" s="309">
        <f>IF(ISBLANK(B9),0,VLOOKUP(A9&amp;B9,Project,3))</f>
        <v>890</v>
      </c>
      <c r="J9" s="310">
        <f>E9*I9</f>
        <v>4450</v>
      </c>
      <c r="K9" s="310"/>
      <c r="L9" s="310">
        <f>ROUND((J9+K9)*0.1,2)</f>
        <v>445</v>
      </c>
      <c r="M9" s="310"/>
      <c r="N9" s="311">
        <f>SUM(J9:M9)</f>
        <v>4895</v>
      </c>
      <c r="O9" s="312">
        <f>IF(ISBLANK(G9),N9,0)</f>
        <v>0</v>
      </c>
      <c r="P9" s="309">
        <f>IF(ISBLANK(C9),0,VLOOKUP(A9&amp;B9,Project,4))</f>
        <v>845.5</v>
      </c>
      <c r="Q9" s="310">
        <f>E9*P9</f>
        <v>4227.5</v>
      </c>
      <c r="R9" s="309">
        <f>IF(ISBLANK(C9),0,VLOOKUP(A9&amp;B9,Project,5))*Q9*0.1</f>
        <v>0</v>
      </c>
      <c r="S9" s="310">
        <f>SUM(Q9:R9)</f>
        <v>4227.5</v>
      </c>
      <c r="T9" s="312">
        <f>IF(Q9=0,0,J9-Q9)</f>
        <v>222.5</v>
      </c>
      <c r="U9" s="313" t="str">
        <f t="shared" si="9"/>
        <v>Paxus</v>
      </c>
      <c r="V9" s="309" t="str">
        <f t="shared" si="10"/>
        <v>Energy Queensland</v>
      </c>
      <c r="W9" s="314" t="str">
        <f t="shared" si="21"/>
        <v>2019-M12</v>
      </c>
      <c r="X9" s="314" t="str">
        <f t="shared" si="21"/>
        <v>2020-M01</v>
      </c>
    </row>
    <row r="10" spans="1:24" x14ac:dyDescent="0.25">
      <c r="A10" s="158" t="s">
        <v>664</v>
      </c>
      <c r="B10" s="158" t="s">
        <v>691</v>
      </c>
      <c r="C10" s="158" t="s">
        <v>213</v>
      </c>
      <c r="D10" s="158" t="s">
        <v>657</v>
      </c>
      <c r="E10" s="159">
        <v>5</v>
      </c>
      <c r="F10" s="371">
        <v>43646</v>
      </c>
      <c r="G10" s="374">
        <v>43661</v>
      </c>
      <c r="H10" s="157"/>
      <c r="I10" s="309">
        <f t="shared" si="1"/>
        <v>890</v>
      </c>
      <c r="J10" s="310">
        <f t="shared" si="12"/>
        <v>4450</v>
      </c>
      <c r="K10" s="310"/>
      <c r="L10" s="310">
        <f t="shared" si="13"/>
        <v>445</v>
      </c>
      <c r="M10" s="310"/>
      <c r="N10" s="311">
        <f t="shared" si="14"/>
        <v>4895</v>
      </c>
      <c r="O10" s="312">
        <f t="shared" si="15"/>
        <v>0</v>
      </c>
      <c r="P10" s="309">
        <f t="shared" si="5"/>
        <v>845.5</v>
      </c>
      <c r="Q10" s="310">
        <f t="shared" si="16"/>
        <v>4227.5</v>
      </c>
      <c r="R10" s="309">
        <f t="shared" si="6"/>
        <v>0</v>
      </c>
      <c r="S10" s="310">
        <f t="shared" si="17"/>
        <v>4227.5</v>
      </c>
      <c r="T10" s="312">
        <f t="shared" si="18"/>
        <v>222.5</v>
      </c>
      <c r="U10" s="313" t="str">
        <f t="shared" si="9"/>
        <v>Paxus</v>
      </c>
      <c r="V10" s="309" t="str">
        <f t="shared" si="10"/>
        <v>Energy Queensland</v>
      </c>
      <c r="W10" s="314" t="str">
        <f t="shared" si="19"/>
        <v>2019-M12</v>
      </c>
      <c r="X10" s="314" t="str">
        <f t="shared" si="20"/>
        <v>2020-M01</v>
      </c>
    </row>
    <row r="11" spans="1:24" x14ac:dyDescent="0.25">
      <c r="A11" s="158" t="s">
        <v>145</v>
      </c>
      <c r="B11" s="158" t="s">
        <v>726</v>
      </c>
      <c r="C11" s="158" t="s">
        <v>154</v>
      </c>
      <c r="D11" s="158" t="s">
        <v>649</v>
      </c>
      <c r="E11" s="159">
        <v>10</v>
      </c>
      <c r="F11" s="371">
        <v>43646</v>
      </c>
      <c r="G11" s="372">
        <v>43656</v>
      </c>
      <c r="H11" s="157"/>
      <c r="I11" s="309">
        <f t="shared" si="1"/>
        <v>700</v>
      </c>
      <c r="J11" s="310">
        <f t="shared" si="12"/>
        <v>7000</v>
      </c>
      <c r="K11" s="310"/>
      <c r="L11" s="310">
        <f t="shared" si="13"/>
        <v>700</v>
      </c>
      <c r="M11" s="310"/>
      <c r="N11" s="311">
        <f t="shared" si="14"/>
        <v>7700</v>
      </c>
      <c r="O11" s="312">
        <f t="shared" si="15"/>
        <v>0</v>
      </c>
      <c r="P11" s="309">
        <f t="shared" si="5"/>
        <v>665</v>
      </c>
      <c r="Q11" s="310">
        <f t="shared" si="16"/>
        <v>6650</v>
      </c>
      <c r="R11" s="309">
        <f t="shared" si="6"/>
        <v>665</v>
      </c>
      <c r="S11" s="310">
        <f t="shared" si="17"/>
        <v>7315</v>
      </c>
      <c r="T11" s="312">
        <f t="shared" si="18"/>
        <v>350</v>
      </c>
      <c r="U11" s="313" t="str">
        <f t="shared" si="9"/>
        <v>Taggle Systems</v>
      </c>
      <c r="V11" s="309" t="str">
        <f t="shared" si="10"/>
        <v>Taggle</v>
      </c>
      <c r="W11" s="314" t="str">
        <f t="shared" si="19"/>
        <v>2019-M12</v>
      </c>
      <c r="X11" s="314" t="str">
        <f t="shared" si="20"/>
        <v>2020-M01</v>
      </c>
    </row>
    <row r="12" spans="1:24" x14ac:dyDescent="0.25">
      <c r="A12" s="157" t="s">
        <v>158</v>
      </c>
      <c r="B12" s="157" t="s">
        <v>731</v>
      </c>
      <c r="C12" s="157" t="s">
        <v>691</v>
      </c>
      <c r="D12" s="157" t="s">
        <v>55</v>
      </c>
      <c r="E12" s="159">
        <v>3.5</v>
      </c>
      <c r="F12" s="369">
        <v>43653</v>
      </c>
      <c r="G12" s="374">
        <v>43656</v>
      </c>
      <c r="H12" s="157"/>
      <c r="I12" s="309">
        <f t="shared" si="1"/>
        <v>980</v>
      </c>
      <c r="J12" s="310">
        <f t="shared" si="12"/>
        <v>3430</v>
      </c>
      <c r="K12" s="310"/>
      <c r="L12" s="310">
        <f t="shared" si="13"/>
        <v>343</v>
      </c>
      <c r="M12" s="310"/>
      <c r="N12" s="311">
        <f t="shared" si="14"/>
        <v>3773</v>
      </c>
      <c r="O12" s="312">
        <f t="shared" si="15"/>
        <v>0</v>
      </c>
      <c r="P12" s="309">
        <f t="shared" si="5"/>
        <v>900</v>
      </c>
      <c r="Q12" s="310">
        <f t="shared" si="16"/>
        <v>3150</v>
      </c>
      <c r="R12" s="309">
        <f t="shared" si="6"/>
        <v>0</v>
      </c>
      <c r="S12" s="310">
        <f t="shared" si="17"/>
        <v>3150</v>
      </c>
      <c r="T12" s="312">
        <f t="shared" si="18"/>
        <v>280</v>
      </c>
      <c r="U12" s="313" t="str">
        <f t="shared" si="9"/>
        <v>Hays</v>
      </c>
      <c r="V12" s="309" t="str">
        <f t="shared" si="10"/>
        <v>MLC</v>
      </c>
      <c r="W12" s="314" t="str">
        <f t="shared" si="19"/>
        <v>2020-M01</v>
      </c>
      <c r="X12" s="314" t="str">
        <f t="shared" si="20"/>
        <v>2020-M01</v>
      </c>
    </row>
    <row r="13" spans="1:24" x14ac:dyDescent="0.25">
      <c r="A13" s="158" t="s">
        <v>158</v>
      </c>
      <c r="B13" s="158" t="s">
        <v>731</v>
      </c>
      <c r="C13" s="158" t="s">
        <v>726</v>
      </c>
      <c r="D13" s="158" t="s">
        <v>55</v>
      </c>
      <c r="E13" s="159">
        <v>4</v>
      </c>
      <c r="F13" s="371">
        <v>43658</v>
      </c>
      <c r="G13" s="372">
        <v>43658</v>
      </c>
      <c r="H13" s="157"/>
      <c r="I13" s="309">
        <f t="shared" si="1"/>
        <v>980</v>
      </c>
      <c r="J13" s="310">
        <f t="shared" si="12"/>
        <v>3920</v>
      </c>
      <c r="K13" s="310"/>
      <c r="L13" s="310">
        <f t="shared" si="13"/>
        <v>392</v>
      </c>
      <c r="M13" s="310"/>
      <c r="N13" s="311">
        <f t="shared" si="14"/>
        <v>4312</v>
      </c>
      <c r="O13" s="312">
        <f t="shared" si="15"/>
        <v>0</v>
      </c>
      <c r="P13" s="309">
        <f t="shared" si="5"/>
        <v>900</v>
      </c>
      <c r="Q13" s="310">
        <f t="shared" si="16"/>
        <v>3600</v>
      </c>
      <c r="R13" s="309">
        <f t="shared" si="6"/>
        <v>0</v>
      </c>
      <c r="S13" s="310">
        <f t="shared" si="17"/>
        <v>3600</v>
      </c>
      <c r="T13" s="312">
        <f t="shared" si="18"/>
        <v>320</v>
      </c>
      <c r="U13" s="313" t="str">
        <f t="shared" si="9"/>
        <v>Hays</v>
      </c>
      <c r="V13" s="309" t="str">
        <f t="shared" si="10"/>
        <v>MLC</v>
      </c>
      <c r="W13" s="314" t="str">
        <f t="shared" si="19"/>
        <v>2020-M01</v>
      </c>
      <c r="X13" s="314" t="str">
        <f t="shared" si="20"/>
        <v>2020-M01</v>
      </c>
    </row>
    <row r="14" spans="1:24" x14ac:dyDescent="0.25">
      <c r="A14" s="158" t="s">
        <v>145</v>
      </c>
      <c r="B14" s="158" t="s">
        <v>726</v>
      </c>
      <c r="C14" s="158" t="s">
        <v>147</v>
      </c>
      <c r="D14" s="158" t="s">
        <v>649</v>
      </c>
      <c r="E14" s="159">
        <v>9.5</v>
      </c>
      <c r="F14" s="371">
        <v>43669</v>
      </c>
      <c r="G14" s="372">
        <v>43670</v>
      </c>
      <c r="H14" s="157"/>
      <c r="I14" s="309">
        <f t="shared" si="1"/>
        <v>700</v>
      </c>
      <c r="J14" s="310">
        <f t="shared" si="12"/>
        <v>6650</v>
      </c>
      <c r="K14" s="310"/>
      <c r="L14" s="310">
        <f t="shared" si="13"/>
        <v>665</v>
      </c>
      <c r="M14" s="310"/>
      <c r="N14" s="311">
        <f t="shared" si="14"/>
        <v>7315</v>
      </c>
      <c r="O14" s="312">
        <f t="shared" si="15"/>
        <v>0</v>
      </c>
      <c r="P14" s="309">
        <f t="shared" si="5"/>
        <v>665</v>
      </c>
      <c r="Q14" s="310">
        <f t="shared" si="16"/>
        <v>6317.5</v>
      </c>
      <c r="R14" s="309">
        <f t="shared" si="6"/>
        <v>631.75</v>
      </c>
      <c r="S14" s="310">
        <f t="shared" si="17"/>
        <v>6949.25</v>
      </c>
      <c r="T14" s="312">
        <f t="shared" si="18"/>
        <v>332.5</v>
      </c>
      <c r="U14" s="313" t="str">
        <f t="shared" si="9"/>
        <v>Taggle Systems</v>
      </c>
      <c r="V14" s="309" t="str">
        <f t="shared" si="10"/>
        <v>Taggle</v>
      </c>
      <c r="W14" s="314" t="str">
        <f t="shared" si="19"/>
        <v>2020-M01</v>
      </c>
      <c r="X14" s="314" t="str">
        <f t="shared" si="20"/>
        <v>2020-M01</v>
      </c>
    </row>
    <row r="15" spans="1:24" x14ac:dyDescent="0.25">
      <c r="A15" s="158" t="s">
        <v>664</v>
      </c>
      <c r="B15" s="158" t="s">
        <v>726</v>
      </c>
      <c r="C15" s="158" t="s">
        <v>775</v>
      </c>
      <c r="D15" s="158" t="s">
        <v>657</v>
      </c>
      <c r="E15" s="159">
        <v>5</v>
      </c>
      <c r="F15" s="371">
        <v>43653</v>
      </c>
      <c r="G15" s="374">
        <v>43668</v>
      </c>
      <c r="H15" s="157"/>
      <c r="I15" s="309">
        <f t="shared" si="1"/>
        <v>890.21</v>
      </c>
      <c r="J15" s="310">
        <f t="shared" si="12"/>
        <v>4451.05</v>
      </c>
      <c r="K15" s="310"/>
      <c r="L15" s="310">
        <f t="shared" si="13"/>
        <v>445.11</v>
      </c>
      <c r="M15" s="310"/>
      <c r="N15" s="311">
        <f t="shared" si="14"/>
        <v>4896.16</v>
      </c>
      <c r="O15" s="312">
        <f t="shared" si="15"/>
        <v>0</v>
      </c>
      <c r="P15" s="309">
        <f t="shared" si="5"/>
        <v>845.69949999999994</v>
      </c>
      <c r="Q15" s="310">
        <f t="shared" si="16"/>
        <v>4228.4974999999995</v>
      </c>
      <c r="R15" s="309">
        <f t="shared" si="6"/>
        <v>0</v>
      </c>
      <c r="S15" s="310">
        <f t="shared" si="17"/>
        <v>4228.4974999999995</v>
      </c>
      <c r="T15" s="312">
        <f t="shared" si="18"/>
        <v>222.55250000000069</v>
      </c>
      <c r="U15" s="313" t="str">
        <f t="shared" si="9"/>
        <v>Paxus</v>
      </c>
      <c r="V15" s="309" t="str">
        <f t="shared" si="10"/>
        <v>Energy Queensland</v>
      </c>
      <c r="W15" s="314" t="str">
        <f t="shared" si="19"/>
        <v>2020-M01</v>
      </c>
      <c r="X15" s="314" t="str">
        <f t="shared" si="20"/>
        <v>2020-M01</v>
      </c>
    </row>
    <row r="16" spans="1:24" x14ac:dyDescent="0.25">
      <c r="A16" s="158" t="s">
        <v>147</v>
      </c>
      <c r="B16" s="158" t="s">
        <v>145</v>
      </c>
      <c r="C16" s="158" t="s">
        <v>781</v>
      </c>
      <c r="D16" s="158" t="s">
        <v>57</v>
      </c>
      <c r="E16" s="159">
        <v>13</v>
      </c>
      <c r="F16" s="369">
        <v>43667</v>
      </c>
      <c r="G16" s="374">
        <v>43671</v>
      </c>
      <c r="H16" s="157"/>
      <c r="I16" s="309">
        <f t="shared" si="1"/>
        <v>1000</v>
      </c>
      <c r="J16" s="310">
        <f t="shared" si="12"/>
        <v>13000</v>
      </c>
      <c r="K16" s="310"/>
      <c r="L16" s="310">
        <f t="shared" si="13"/>
        <v>1300</v>
      </c>
      <c r="M16" s="310"/>
      <c r="N16" s="311">
        <f t="shared" si="14"/>
        <v>14300</v>
      </c>
      <c r="O16" s="312">
        <f t="shared" si="15"/>
        <v>0</v>
      </c>
      <c r="P16" s="309">
        <f t="shared" si="5"/>
        <v>980</v>
      </c>
      <c r="Q16" s="310">
        <f t="shared" si="16"/>
        <v>12740</v>
      </c>
      <c r="R16" s="309">
        <f t="shared" si="6"/>
        <v>0</v>
      </c>
      <c r="S16" s="310">
        <f t="shared" si="17"/>
        <v>12740</v>
      </c>
      <c r="T16" s="312">
        <f t="shared" si="18"/>
        <v>260</v>
      </c>
      <c r="U16" s="313" t="str">
        <f t="shared" si="9"/>
        <v>M&amp;T Resources</v>
      </c>
      <c r="V16" s="309" t="str">
        <f t="shared" si="10"/>
        <v>Energy Queensland</v>
      </c>
      <c r="W16" s="314" t="str">
        <f t="shared" si="19"/>
        <v>2020-M01</v>
      </c>
      <c r="X16" s="314" t="str">
        <f t="shared" si="20"/>
        <v>2020-M01</v>
      </c>
    </row>
    <row r="17" spans="1:24" x14ac:dyDescent="0.25">
      <c r="A17" s="158" t="s">
        <v>147</v>
      </c>
      <c r="B17" s="158" t="s">
        <v>695</v>
      </c>
      <c r="C17" s="158" t="s">
        <v>781</v>
      </c>
      <c r="D17" s="158" t="s">
        <v>669</v>
      </c>
      <c r="E17" s="159">
        <v>13</v>
      </c>
      <c r="F17" s="369">
        <v>43667</v>
      </c>
      <c r="G17" s="374">
        <v>43671</v>
      </c>
      <c r="H17" s="157"/>
      <c r="I17" s="309">
        <f t="shared" si="1"/>
        <v>900</v>
      </c>
      <c r="J17" s="310">
        <f t="shared" si="12"/>
        <v>11700</v>
      </c>
      <c r="K17" s="310"/>
      <c r="L17" s="310">
        <f t="shared" si="13"/>
        <v>1170</v>
      </c>
      <c r="M17" s="310"/>
      <c r="N17" s="311">
        <f t="shared" si="14"/>
        <v>12870</v>
      </c>
      <c r="O17" s="312">
        <f t="shared" si="15"/>
        <v>0</v>
      </c>
      <c r="P17" s="309">
        <f t="shared" si="5"/>
        <v>855</v>
      </c>
      <c r="Q17" s="310">
        <f t="shared" si="16"/>
        <v>11115</v>
      </c>
      <c r="R17" s="309">
        <f t="shared" si="6"/>
        <v>0</v>
      </c>
      <c r="S17" s="310">
        <f t="shared" si="17"/>
        <v>11115</v>
      </c>
      <c r="T17" s="312">
        <f t="shared" si="18"/>
        <v>585</v>
      </c>
      <c r="U17" s="313" t="str">
        <f t="shared" si="9"/>
        <v>M&amp;T Resources</v>
      </c>
      <c r="V17" s="309" t="str">
        <f t="shared" si="10"/>
        <v>Energy Queensland</v>
      </c>
      <c r="W17" s="314" t="str">
        <f t="shared" si="19"/>
        <v>2020-M01</v>
      </c>
      <c r="X17" s="314" t="str">
        <f t="shared" si="20"/>
        <v>2020-M01</v>
      </c>
    </row>
    <row r="18" spans="1:24" x14ac:dyDescent="0.25">
      <c r="A18" s="157" t="s">
        <v>650</v>
      </c>
      <c r="B18" s="157" t="s">
        <v>691</v>
      </c>
      <c r="C18" s="157" t="s">
        <v>144</v>
      </c>
      <c r="D18" s="157" t="s">
        <v>55</v>
      </c>
      <c r="E18" s="159">
        <v>2</v>
      </c>
      <c r="F18" s="369">
        <v>43658</v>
      </c>
      <c r="G18" s="374">
        <v>43671</v>
      </c>
      <c r="H18" s="157"/>
      <c r="I18" s="309">
        <f>IF(ISBLANK(B18),0,VLOOKUP(A18&amp;B18,Project,3))</f>
        <v>950</v>
      </c>
      <c r="J18" s="310">
        <f>E18*I18</f>
        <v>1900</v>
      </c>
      <c r="K18" s="310"/>
      <c r="L18" s="310">
        <f>ROUND((J18+K18)*0.1,2)</f>
        <v>190</v>
      </c>
      <c r="M18" s="310"/>
      <c r="N18" s="311">
        <f>SUM(J18:M18)</f>
        <v>2090</v>
      </c>
      <c r="O18" s="312">
        <f>IF(ISBLANK(G18),N18,0)</f>
        <v>0</v>
      </c>
      <c r="P18" s="309">
        <f>IF(ISBLANK(C18),0,VLOOKUP(A18&amp;B18,Project,4))</f>
        <v>900</v>
      </c>
      <c r="Q18" s="310">
        <f>E18*P18</f>
        <v>1800</v>
      </c>
      <c r="R18" s="309">
        <f>IF(ISBLANK(C18),0,VLOOKUP(A18&amp;B18,Project,5))*Q18*0.1</f>
        <v>0</v>
      </c>
      <c r="S18" s="310">
        <f>SUM(Q18:R18)</f>
        <v>1800</v>
      </c>
      <c r="T18" s="312">
        <f>IF(Q18=0,0,J18-Q18)</f>
        <v>100</v>
      </c>
      <c r="U18" s="313" t="str">
        <f t="shared" si="9"/>
        <v>Mine Super</v>
      </c>
      <c r="V18" s="309" t="str">
        <f t="shared" si="10"/>
        <v>Mine Super</v>
      </c>
      <c r="W18" s="314" t="str">
        <f>GETPERIOD(F18)</f>
        <v>2020-M01</v>
      </c>
      <c r="X18" s="314" t="str">
        <f>GETPERIOD(G18)</f>
        <v>2020-M01</v>
      </c>
    </row>
    <row r="19" spans="1:24" x14ac:dyDescent="0.25">
      <c r="A19" s="158" t="s">
        <v>650</v>
      </c>
      <c r="B19" s="158" t="s">
        <v>691</v>
      </c>
      <c r="C19" s="158" t="s">
        <v>151</v>
      </c>
      <c r="D19" s="158" t="s">
        <v>55</v>
      </c>
      <c r="E19" s="159">
        <v>1.5</v>
      </c>
      <c r="F19" s="371">
        <v>43672</v>
      </c>
      <c r="G19" s="374">
        <v>43678</v>
      </c>
      <c r="H19" s="157"/>
      <c r="I19" s="309">
        <f t="shared" ref="I19" si="22">IF(ISBLANK(B19),0,VLOOKUP(A19&amp;B19,Project,3))</f>
        <v>950</v>
      </c>
      <c r="J19" s="310">
        <f t="shared" ref="J19" si="23">E19*I19</f>
        <v>1425</v>
      </c>
      <c r="K19" s="310"/>
      <c r="L19" s="310">
        <f t="shared" ref="L19" si="24">ROUND((J19+K19)*0.1,2)</f>
        <v>142.5</v>
      </c>
      <c r="M19" s="310"/>
      <c r="N19" s="311">
        <f t="shared" ref="N19" si="25">SUM(J19:M19)</f>
        <v>1567.5</v>
      </c>
      <c r="O19" s="312">
        <f t="shared" ref="O19" si="26">IF(ISBLANK(G19),N19,0)</f>
        <v>0</v>
      </c>
      <c r="P19" s="309">
        <f t="shared" ref="P19" si="27">IF(ISBLANK(C19),0,VLOOKUP(A19&amp;B19,Project,4))</f>
        <v>900</v>
      </c>
      <c r="Q19" s="310">
        <f t="shared" ref="Q19" si="28">E19*P19</f>
        <v>1350</v>
      </c>
      <c r="R19" s="309">
        <f t="shared" ref="R19" si="29">IF(ISBLANK(C19),0,VLOOKUP(A19&amp;B19,Project,5))*Q19*0.1</f>
        <v>0</v>
      </c>
      <c r="S19" s="310">
        <f t="shared" ref="S19" si="30">SUM(Q19:R19)</f>
        <v>1350</v>
      </c>
      <c r="T19" s="312">
        <f t="shared" ref="T19" si="31">IF(Q19=0,0,J19-Q19)</f>
        <v>75</v>
      </c>
      <c r="U19" s="313" t="str">
        <f t="shared" si="9"/>
        <v>Mine Super</v>
      </c>
      <c r="V19" s="309" t="str">
        <f t="shared" si="10"/>
        <v>Mine Super</v>
      </c>
      <c r="W19" s="314" t="str">
        <f t="shared" ref="W19" si="32">GETPERIOD(F19)</f>
        <v>2020-M01</v>
      </c>
      <c r="X19" s="314" t="str">
        <f t="shared" ref="X19" si="33">GETPERIOD(G19)</f>
        <v>2020-M02</v>
      </c>
    </row>
    <row r="20" spans="1:24" x14ac:dyDescent="0.25">
      <c r="A20" s="158" t="s">
        <v>664</v>
      </c>
      <c r="B20" s="158" t="s">
        <v>726</v>
      </c>
      <c r="C20" s="158" t="s">
        <v>788</v>
      </c>
      <c r="D20" s="158" t="s">
        <v>657</v>
      </c>
      <c r="E20" s="159">
        <v>5</v>
      </c>
      <c r="F20" s="369">
        <v>43660</v>
      </c>
      <c r="G20" s="374">
        <v>43675</v>
      </c>
      <c r="H20" s="157"/>
      <c r="I20" s="309">
        <f>IF(ISBLANK(B20),0,VLOOKUP(A20&amp;B20,Project,3))</f>
        <v>890.21</v>
      </c>
      <c r="J20" s="310">
        <f>E20*I20</f>
        <v>4451.05</v>
      </c>
      <c r="K20" s="310"/>
      <c r="L20" s="310">
        <f>ROUND((J20+K20)*0.1,2)</f>
        <v>445.11</v>
      </c>
      <c r="M20" s="310"/>
      <c r="N20" s="311">
        <f>SUM(J20:M20)</f>
        <v>4896.16</v>
      </c>
      <c r="O20" s="312">
        <f>IF(ISBLANK(G20),N20,0)</f>
        <v>0</v>
      </c>
      <c r="P20" s="309">
        <f>IF(ISBLANK(C20),0,VLOOKUP(A20&amp;B20,Project,4))</f>
        <v>845.69949999999994</v>
      </c>
      <c r="Q20" s="310">
        <f>E20*P20</f>
        <v>4228.4974999999995</v>
      </c>
      <c r="R20" s="309">
        <f>IF(ISBLANK(C20),0,VLOOKUP(A20&amp;B20,Project,5))*Q20*0.1</f>
        <v>0</v>
      </c>
      <c r="S20" s="310">
        <f>SUM(Q20:R20)</f>
        <v>4228.4974999999995</v>
      </c>
      <c r="T20" s="312">
        <f>IF(Q20=0,0,J20-Q20)</f>
        <v>222.55250000000069</v>
      </c>
      <c r="U20" s="313" t="str">
        <f t="shared" si="9"/>
        <v>Paxus</v>
      </c>
      <c r="V20" s="309" t="str">
        <f t="shared" si="10"/>
        <v>Energy Queensland</v>
      </c>
      <c r="W20" s="314" t="str">
        <f>GETPERIOD(F20)</f>
        <v>2020-M01</v>
      </c>
      <c r="X20" s="314" t="str">
        <f>GETPERIOD(G20)</f>
        <v>2020-M01</v>
      </c>
    </row>
    <row r="21" spans="1:24" x14ac:dyDescent="0.25">
      <c r="A21" s="158" t="s">
        <v>158</v>
      </c>
      <c r="B21" s="158" t="s">
        <v>731</v>
      </c>
      <c r="C21" s="158" t="s">
        <v>731</v>
      </c>
      <c r="D21" s="158" t="s">
        <v>55</v>
      </c>
      <c r="E21" s="159">
        <v>4</v>
      </c>
      <c r="F21" s="369">
        <v>43672</v>
      </c>
      <c r="G21" s="374">
        <v>43672</v>
      </c>
      <c r="H21" s="157"/>
      <c r="I21" s="309">
        <f>IF(ISBLANK(B21),0,VLOOKUP(A21&amp;B21,Project,3))</f>
        <v>980</v>
      </c>
      <c r="J21" s="310">
        <f>E21*I21</f>
        <v>3920</v>
      </c>
      <c r="K21" s="310"/>
      <c r="L21" s="310">
        <f>ROUND((J21+K21)*0.1,2)</f>
        <v>392</v>
      </c>
      <c r="M21" s="310"/>
      <c r="N21" s="311">
        <f>SUM(J21:M21)</f>
        <v>4312</v>
      </c>
      <c r="O21" s="312">
        <f>IF(ISBLANK(G21),N21,0)</f>
        <v>0</v>
      </c>
      <c r="P21" s="309">
        <f>IF(ISBLANK(C21),0,VLOOKUP(A21&amp;B21,Project,4))</f>
        <v>900</v>
      </c>
      <c r="Q21" s="310">
        <f>E21*P21</f>
        <v>3600</v>
      </c>
      <c r="R21" s="309">
        <f>IF(ISBLANK(C21),0,VLOOKUP(A21&amp;B21,Project,5))*Q21*0.1</f>
        <v>0</v>
      </c>
      <c r="S21" s="310">
        <f>SUM(Q21:R21)</f>
        <v>3600</v>
      </c>
      <c r="T21" s="312">
        <f>IF(Q21=0,0,J21-Q21)</f>
        <v>320</v>
      </c>
      <c r="U21" s="313" t="str">
        <f>IF(ISBLANK($A21),"",VLOOKUP($A21,Customer,2))</f>
        <v>Hays</v>
      </c>
      <c r="V21" s="309" t="str">
        <f>IF(ISBLANK($A21),"",VLOOKUP(CONCATENATE($A21,$B21),invProject,2))</f>
        <v>MLC</v>
      </c>
      <c r="W21" s="314" t="str">
        <f>GETPERIOD(F21)</f>
        <v>2020-M01</v>
      </c>
      <c r="X21" s="314" t="str">
        <f>GETPERIOD(G21)</f>
        <v>2020-M01</v>
      </c>
    </row>
    <row r="22" spans="1:24" x14ac:dyDescent="0.25">
      <c r="A22" s="158" t="s">
        <v>650</v>
      </c>
      <c r="B22" s="158" t="s">
        <v>691</v>
      </c>
      <c r="C22" s="157" t="s">
        <v>155</v>
      </c>
      <c r="D22" s="158" t="s">
        <v>55</v>
      </c>
      <c r="E22" s="159">
        <v>3</v>
      </c>
      <c r="F22" s="369">
        <v>43686</v>
      </c>
      <c r="G22" s="374">
        <v>43699</v>
      </c>
      <c r="H22" s="157"/>
      <c r="I22" s="309">
        <f t="shared" si="1"/>
        <v>950</v>
      </c>
      <c r="J22" s="310">
        <f t="shared" si="12"/>
        <v>2850</v>
      </c>
      <c r="K22" s="310"/>
      <c r="L22" s="310">
        <f t="shared" si="13"/>
        <v>285</v>
      </c>
      <c r="M22" s="310"/>
      <c r="N22" s="311">
        <f t="shared" si="14"/>
        <v>3135</v>
      </c>
      <c r="O22" s="312">
        <f t="shared" si="15"/>
        <v>0</v>
      </c>
      <c r="P22" s="309">
        <f t="shared" si="5"/>
        <v>900</v>
      </c>
      <c r="Q22" s="310">
        <f t="shared" si="16"/>
        <v>2700</v>
      </c>
      <c r="R22" s="309">
        <f t="shared" si="6"/>
        <v>0</v>
      </c>
      <c r="S22" s="310">
        <f t="shared" si="17"/>
        <v>2700</v>
      </c>
      <c r="T22" s="312">
        <f t="shared" si="18"/>
        <v>150</v>
      </c>
      <c r="U22" s="313" t="str">
        <f t="shared" si="9"/>
        <v>Mine Super</v>
      </c>
      <c r="V22" s="309" t="str">
        <f t="shared" si="10"/>
        <v>Mine Super</v>
      </c>
      <c r="W22" s="314" t="str">
        <f t="shared" si="19"/>
        <v>2020-M02</v>
      </c>
      <c r="X22" s="314" t="str">
        <f t="shared" si="20"/>
        <v>2020-M02</v>
      </c>
    </row>
    <row r="23" spans="1:24" x14ac:dyDescent="0.25">
      <c r="A23" s="158" t="s">
        <v>664</v>
      </c>
      <c r="B23" s="158" t="s">
        <v>726</v>
      </c>
      <c r="C23" s="158" t="s">
        <v>802</v>
      </c>
      <c r="D23" s="158" t="s">
        <v>657</v>
      </c>
      <c r="E23" s="159">
        <v>5</v>
      </c>
      <c r="F23" s="369">
        <v>43667</v>
      </c>
      <c r="G23" s="374">
        <v>43682</v>
      </c>
      <c r="H23" s="157"/>
      <c r="I23" s="309">
        <f t="shared" si="1"/>
        <v>890.21</v>
      </c>
      <c r="J23" s="310">
        <f t="shared" si="12"/>
        <v>4451.05</v>
      </c>
      <c r="K23" s="310"/>
      <c r="L23" s="310">
        <f t="shared" si="13"/>
        <v>445.11</v>
      </c>
      <c r="M23" s="310"/>
      <c r="N23" s="311">
        <f t="shared" si="14"/>
        <v>4896.16</v>
      </c>
      <c r="O23" s="312">
        <f t="shared" si="15"/>
        <v>0</v>
      </c>
      <c r="P23" s="309">
        <f t="shared" si="5"/>
        <v>845.69949999999994</v>
      </c>
      <c r="Q23" s="310">
        <f t="shared" si="16"/>
        <v>4228.4974999999995</v>
      </c>
      <c r="R23" s="309">
        <f t="shared" si="6"/>
        <v>0</v>
      </c>
      <c r="S23" s="310">
        <f t="shared" si="17"/>
        <v>4228.4974999999995</v>
      </c>
      <c r="T23" s="312">
        <f t="shared" si="18"/>
        <v>222.55250000000069</v>
      </c>
      <c r="U23" s="313" t="str">
        <f t="shared" si="9"/>
        <v>Paxus</v>
      </c>
      <c r="V23" s="309" t="str">
        <f t="shared" si="10"/>
        <v>Energy Queensland</v>
      </c>
      <c r="W23" s="314" t="str">
        <f t="shared" si="19"/>
        <v>2020-M01</v>
      </c>
      <c r="X23" s="314" t="str">
        <f t="shared" si="20"/>
        <v>2020-M02</v>
      </c>
    </row>
    <row r="24" spans="1:24" x14ac:dyDescent="0.25">
      <c r="A24" s="158" t="s">
        <v>664</v>
      </c>
      <c r="B24" s="158" t="s">
        <v>726</v>
      </c>
      <c r="C24" s="158" t="s">
        <v>216</v>
      </c>
      <c r="D24" s="158" t="s">
        <v>657</v>
      </c>
      <c r="E24" s="159">
        <v>5</v>
      </c>
      <c r="F24" s="369">
        <v>43674</v>
      </c>
      <c r="G24" s="374">
        <v>43689</v>
      </c>
      <c r="H24" s="157"/>
      <c r="I24" s="309">
        <f t="shared" si="1"/>
        <v>890.21</v>
      </c>
      <c r="J24" s="310">
        <f t="shared" si="12"/>
        <v>4451.05</v>
      </c>
      <c r="K24" s="310"/>
      <c r="L24" s="310">
        <f t="shared" si="13"/>
        <v>445.11</v>
      </c>
      <c r="M24" s="310"/>
      <c r="N24" s="311">
        <f>SUM(J24:M24)</f>
        <v>4896.16</v>
      </c>
      <c r="O24" s="312">
        <f t="shared" si="15"/>
        <v>0</v>
      </c>
      <c r="P24" s="309">
        <f t="shared" si="5"/>
        <v>845.69949999999994</v>
      </c>
      <c r="Q24" s="310">
        <f t="shared" si="16"/>
        <v>4228.4974999999995</v>
      </c>
      <c r="R24" s="309">
        <f t="shared" si="6"/>
        <v>0</v>
      </c>
      <c r="S24" s="310">
        <f t="shared" si="17"/>
        <v>4228.4974999999995</v>
      </c>
      <c r="T24" s="312">
        <f t="shared" si="18"/>
        <v>222.55250000000069</v>
      </c>
      <c r="U24" s="313" t="str">
        <f t="shared" si="9"/>
        <v>Paxus</v>
      </c>
      <c r="V24" s="309" t="str">
        <f t="shared" si="10"/>
        <v>Energy Queensland</v>
      </c>
      <c r="W24" s="314" t="str">
        <f t="shared" si="19"/>
        <v>2020-M01</v>
      </c>
      <c r="X24" s="314" t="str">
        <f t="shared" si="20"/>
        <v>2020-M02</v>
      </c>
    </row>
    <row r="25" spans="1:24" x14ac:dyDescent="0.25">
      <c r="A25" s="158" t="s">
        <v>158</v>
      </c>
      <c r="B25" s="158" t="s">
        <v>731</v>
      </c>
      <c r="C25" s="158" t="s">
        <v>803</v>
      </c>
      <c r="D25" s="158" t="s">
        <v>55</v>
      </c>
      <c r="E25" s="159">
        <v>4</v>
      </c>
      <c r="F25" s="369">
        <v>43679</v>
      </c>
      <c r="G25" s="374">
        <v>43679</v>
      </c>
      <c r="H25" s="157"/>
      <c r="I25" s="309">
        <f t="shared" si="1"/>
        <v>980</v>
      </c>
      <c r="J25" s="310">
        <f t="shared" si="12"/>
        <v>3920</v>
      </c>
      <c r="K25" s="310"/>
      <c r="L25" s="310">
        <f t="shared" si="13"/>
        <v>392</v>
      </c>
      <c r="M25" s="310"/>
      <c r="N25" s="311">
        <f t="shared" si="14"/>
        <v>4312</v>
      </c>
      <c r="O25" s="312">
        <f t="shared" si="15"/>
        <v>0</v>
      </c>
      <c r="P25" s="309">
        <f t="shared" si="5"/>
        <v>900</v>
      </c>
      <c r="Q25" s="310">
        <f t="shared" si="16"/>
        <v>3600</v>
      </c>
      <c r="R25" s="309">
        <f t="shared" si="6"/>
        <v>0</v>
      </c>
      <c r="S25" s="310">
        <f t="shared" si="17"/>
        <v>3600</v>
      </c>
      <c r="T25" s="312">
        <f t="shared" si="18"/>
        <v>320</v>
      </c>
      <c r="U25" s="313" t="str">
        <f t="shared" si="9"/>
        <v>Hays</v>
      </c>
      <c r="V25" s="309" t="str">
        <f t="shared" si="10"/>
        <v>MLC</v>
      </c>
      <c r="W25" s="314" t="str">
        <f t="shared" si="19"/>
        <v>2020-M02</v>
      </c>
      <c r="X25" s="314" t="str">
        <f t="shared" si="20"/>
        <v>2020-M02</v>
      </c>
    </row>
    <row r="26" spans="1:24" x14ac:dyDescent="0.25">
      <c r="A26" s="158" t="s">
        <v>147</v>
      </c>
      <c r="B26" s="158" t="s">
        <v>145</v>
      </c>
      <c r="C26" s="158" t="s">
        <v>812</v>
      </c>
      <c r="D26" s="158" t="s">
        <v>57</v>
      </c>
      <c r="E26" s="159">
        <v>13</v>
      </c>
      <c r="F26" s="369">
        <v>43681</v>
      </c>
      <c r="G26" s="374">
        <v>43685</v>
      </c>
      <c r="H26" s="157"/>
      <c r="I26" s="309">
        <f t="shared" si="1"/>
        <v>1000</v>
      </c>
      <c r="J26" s="310">
        <f t="shared" si="12"/>
        <v>13000</v>
      </c>
      <c r="K26" s="310"/>
      <c r="L26" s="310">
        <f t="shared" si="13"/>
        <v>1300</v>
      </c>
      <c r="M26" s="310"/>
      <c r="N26" s="311">
        <f t="shared" si="14"/>
        <v>14300</v>
      </c>
      <c r="O26" s="312">
        <f t="shared" si="15"/>
        <v>0</v>
      </c>
      <c r="P26" s="309">
        <f t="shared" si="5"/>
        <v>980</v>
      </c>
      <c r="Q26" s="310">
        <f t="shared" si="16"/>
        <v>12740</v>
      </c>
      <c r="R26" s="309">
        <f t="shared" si="6"/>
        <v>0</v>
      </c>
      <c r="S26" s="310">
        <f t="shared" si="17"/>
        <v>12740</v>
      </c>
      <c r="T26" s="312">
        <f t="shared" si="18"/>
        <v>260</v>
      </c>
      <c r="U26" s="313" t="str">
        <f t="shared" si="9"/>
        <v>M&amp;T Resources</v>
      </c>
      <c r="V26" s="309" t="str">
        <f t="shared" si="10"/>
        <v>Energy Queensland</v>
      </c>
      <c r="W26" s="314" t="str">
        <f t="shared" si="19"/>
        <v>2020-M02</v>
      </c>
      <c r="X26" s="314" t="str">
        <f t="shared" si="20"/>
        <v>2020-M02</v>
      </c>
    </row>
    <row r="27" spans="1:24" x14ac:dyDescent="0.25">
      <c r="A27" s="158" t="s">
        <v>147</v>
      </c>
      <c r="B27" s="158" t="s">
        <v>695</v>
      </c>
      <c r="C27" s="158" t="s">
        <v>812</v>
      </c>
      <c r="D27" s="158" t="s">
        <v>669</v>
      </c>
      <c r="E27" s="159">
        <v>12.5</v>
      </c>
      <c r="F27" s="369">
        <v>43681</v>
      </c>
      <c r="G27" s="374">
        <v>43685</v>
      </c>
      <c r="H27" s="157"/>
      <c r="I27" s="309">
        <f t="shared" si="1"/>
        <v>900</v>
      </c>
      <c r="J27" s="310">
        <f t="shared" si="12"/>
        <v>11250</v>
      </c>
      <c r="K27" s="310"/>
      <c r="L27" s="310">
        <f t="shared" si="13"/>
        <v>1125</v>
      </c>
      <c r="M27" s="310"/>
      <c r="N27" s="311">
        <f t="shared" si="14"/>
        <v>12375</v>
      </c>
      <c r="O27" s="312">
        <f t="shared" si="15"/>
        <v>0</v>
      </c>
      <c r="P27" s="309">
        <f t="shared" si="5"/>
        <v>855</v>
      </c>
      <c r="Q27" s="310">
        <f t="shared" si="16"/>
        <v>10687.5</v>
      </c>
      <c r="R27" s="309">
        <f t="shared" si="6"/>
        <v>0</v>
      </c>
      <c r="S27" s="310">
        <f t="shared" si="17"/>
        <v>10687.5</v>
      </c>
      <c r="T27" s="312">
        <f t="shared" si="18"/>
        <v>562.5</v>
      </c>
      <c r="U27" s="313" t="str">
        <f t="shared" si="9"/>
        <v>M&amp;T Resources</v>
      </c>
      <c r="V27" s="309" t="str">
        <f t="shared" si="10"/>
        <v>Energy Queensland</v>
      </c>
      <c r="W27" s="314" t="str">
        <f t="shared" si="19"/>
        <v>2020-M02</v>
      </c>
      <c r="X27" s="314" t="str">
        <f t="shared" si="20"/>
        <v>2020-M02</v>
      </c>
    </row>
    <row r="28" spans="1:24" x14ac:dyDescent="0.25">
      <c r="A28" s="158" t="s">
        <v>664</v>
      </c>
      <c r="B28" s="158" t="s">
        <v>726</v>
      </c>
      <c r="C28" s="158" t="s">
        <v>219</v>
      </c>
      <c r="D28" s="158" t="s">
        <v>657</v>
      </c>
      <c r="E28" s="159">
        <v>5</v>
      </c>
      <c r="F28" s="369">
        <v>43681</v>
      </c>
      <c r="G28" s="374">
        <v>43696</v>
      </c>
      <c r="H28" s="157"/>
      <c r="I28" s="309">
        <f t="shared" si="1"/>
        <v>890.21</v>
      </c>
      <c r="J28" s="310">
        <f t="shared" si="12"/>
        <v>4451.05</v>
      </c>
      <c r="K28" s="310"/>
      <c r="L28" s="310">
        <f t="shared" si="13"/>
        <v>445.11</v>
      </c>
      <c r="M28" s="310"/>
      <c r="N28" s="311">
        <f t="shared" si="14"/>
        <v>4896.16</v>
      </c>
      <c r="O28" s="312">
        <f t="shared" si="15"/>
        <v>0</v>
      </c>
      <c r="P28" s="309">
        <f t="shared" si="5"/>
        <v>845.69949999999994</v>
      </c>
      <c r="Q28" s="310">
        <f t="shared" si="16"/>
        <v>4228.4974999999995</v>
      </c>
      <c r="R28" s="309">
        <f t="shared" si="6"/>
        <v>0</v>
      </c>
      <c r="S28" s="310">
        <f t="shared" si="17"/>
        <v>4228.4974999999995</v>
      </c>
      <c r="T28" s="312">
        <f t="shared" si="18"/>
        <v>222.55250000000069</v>
      </c>
      <c r="U28" s="313" t="str">
        <f t="shared" si="9"/>
        <v>Paxus</v>
      </c>
      <c r="V28" s="309" t="str">
        <f t="shared" si="10"/>
        <v>Energy Queensland</v>
      </c>
      <c r="W28" s="314" t="str">
        <f t="shared" si="19"/>
        <v>2020-M02</v>
      </c>
      <c r="X28" s="314" t="str">
        <f t="shared" si="20"/>
        <v>2020-M02</v>
      </c>
    </row>
    <row r="29" spans="1:24" x14ac:dyDescent="0.25">
      <c r="A29" s="158" t="s">
        <v>145</v>
      </c>
      <c r="B29" s="158" t="s">
        <v>726</v>
      </c>
      <c r="C29" s="158" t="s">
        <v>156</v>
      </c>
      <c r="D29" s="158" t="s">
        <v>649</v>
      </c>
      <c r="E29" s="159">
        <v>10</v>
      </c>
      <c r="F29" s="369">
        <v>43688</v>
      </c>
      <c r="G29" s="374">
        <v>43691</v>
      </c>
      <c r="H29" s="157"/>
      <c r="I29" s="309">
        <f t="shared" si="1"/>
        <v>700</v>
      </c>
      <c r="J29" s="310">
        <f t="shared" si="12"/>
        <v>7000</v>
      </c>
      <c r="K29" s="310"/>
      <c r="L29" s="310">
        <f t="shared" si="13"/>
        <v>700</v>
      </c>
      <c r="M29" s="310"/>
      <c r="N29" s="311">
        <f t="shared" si="14"/>
        <v>7700</v>
      </c>
      <c r="O29" s="312">
        <f t="shared" si="15"/>
        <v>0</v>
      </c>
      <c r="P29" s="309">
        <f t="shared" si="5"/>
        <v>665</v>
      </c>
      <c r="Q29" s="310">
        <f t="shared" si="16"/>
        <v>6650</v>
      </c>
      <c r="R29" s="309">
        <f t="shared" si="6"/>
        <v>665</v>
      </c>
      <c r="S29" s="310">
        <f t="shared" si="17"/>
        <v>7315</v>
      </c>
      <c r="T29" s="312">
        <f t="shared" si="18"/>
        <v>350</v>
      </c>
      <c r="U29" s="313" t="str">
        <f t="shared" si="9"/>
        <v>Taggle Systems</v>
      </c>
      <c r="V29" s="309" t="str">
        <f t="shared" si="10"/>
        <v>Taggle</v>
      </c>
      <c r="W29" s="314" t="str">
        <f t="shared" si="19"/>
        <v>2020-M02</v>
      </c>
      <c r="X29" s="314" t="str">
        <f t="shared" si="20"/>
        <v>2020-M02</v>
      </c>
    </row>
    <row r="30" spans="1:24" x14ac:dyDescent="0.25">
      <c r="A30" s="158" t="s">
        <v>650</v>
      </c>
      <c r="B30" s="158" t="s">
        <v>691</v>
      </c>
      <c r="C30" s="158" t="s">
        <v>158</v>
      </c>
      <c r="D30" s="158" t="s">
        <v>55</v>
      </c>
      <c r="E30" s="159">
        <v>2.5</v>
      </c>
      <c r="F30" s="369">
        <v>43700</v>
      </c>
      <c r="G30" s="374">
        <v>43706</v>
      </c>
      <c r="H30" s="157"/>
      <c r="I30" s="309">
        <f t="shared" si="1"/>
        <v>950</v>
      </c>
      <c r="J30" s="310">
        <f t="shared" si="12"/>
        <v>2375</v>
      </c>
      <c r="K30" s="310"/>
      <c r="L30" s="310">
        <f t="shared" si="13"/>
        <v>237.5</v>
      </c>
      <c r="M30" s="310"/>
      <c r="N30" s="311">
        <f t="shared" si="14"/>
        <v>2612.5</v>
      </c>
      <c r="O30" s="312">
        <f t="shared" si="15"/>
        <v>0</v>
      </c>
      <c r="P30" s="309">
        <f t="shared" si="5"/>
        <v>900</v>
      </c>
      <c r="Q30" s="310">
        <f t="shared" si="16"/>
        <v>2250</v>
      </c>
      <c r="R30" s="309">
        <f t="shared" si="6"/>
        <v>0</v>
      </c>
      <c r="S30" s="310">
        <f t="shared" si="17"/>
        <v>2250</v>
      </c>
      <c r="T30" s="312">
        <f t="shared" si="18"/>
        <v>125</v>
      </c>
      <c r="U30" s="313" t="str">
        <f t="shared" si="9"/>
        <v>Mine Super</v>
      </c>
      <c r="V30" s="309" t="str">
        <f t="shared" si="10"/>
        <v>Mine Super</v>
      </c>
      <c r="W30" s="314" t="str">
        <f t="shared" si="19"/>
        <v>2020-M02</v>
      </c>
      <c r="X30" s="314" t="str">
        <f t="shared" si="20"/>
        <v>2020-M02</v>
      </c>
    </row>
    <row r="31" spans="1:24" x14ac:dyDescent="0.25">
      <c r="A31" s="157" t="s">
        <v>158</v>
      </c>
      <c r="B31" s="157" t="s">
        <v>731</v>
      </c>
      <c r="C31" s="157" t="s">
        <v>836</v>
      </c>
      <c r="D31" s="157" t="s">
        <v>55</v>
      </c>
      <c r="E31" s="159">
        <v>4</v>
      </c>
      <c r="F31" s="369">
        <v>43686</v>
      </c>
      <c r="G31" s="374">
        <v>43686</v>
      </c>
      <c r="H31" s="157"/>
      <c r="I31" s="309">
        <f>IF(ISBLANK(B31),0,VLOOKUP(A31&amp;B31,Project,3))</f>
        <v>980</v>
      </c>
      <c r="J31" s="310">
        <f>E31*I31</f>
        <v>3920</v>
      </c>
      <c r="K31" s="310"/>
      <c r="L31" s="310">
        <f>ROUND((J31+K31)*0.1,2)</f>
        <v>392</v>
      </c>
      <c r="M31" s="310"/>
      <c r="N31" s="311">
        <f>SUM(J31:M31)</f>
        <v>4312</v>
      </c>
      <c r="O31" s="312">
        <f>IF(ISBLANK(G31),N31,0)</f>
        <v>0</v>
      </c>
      <c r="P31" s="309">
        <f>IF(ISBLANK(C31),0,VLOOKUP(A31&amp;B31,Project,4))</f>
        <v>900</v>
      </c>
      <c r="Q31" s="310">
        <f>E31*P31</f>
        <v>3600</v>
      </c>
      <c r="R31" s="309">
        <f>IF(ISBLANK(C31),0,VLOOKUP(A31&amp;B31,Project,5))*Q31*0.1</f>
        <v>0</v>
      </c>
      <c r="S31" s="310">
        <f>SUM(Q31:R31)</f>
        <v>3600</v>
      </c>
      <c r="T31" s="312">
        <f>IF(Q31=0,0,J31-Q31)</f>
        <v>320</v>
      </c>
      <c r="U31" s="313" t="str">
        <f>IF(ISBLANK($A31),"",VLOOKUP($A31,Customer,2))</f>
        <v>Hays</v>
      </c>
      <c r="V31" s="309" t="str">
        <f>IF(ISBLANK($A31),"",VLOOKUP(CONCATENATE($A31,$B31),invProject,2))</f>
        <v>MLC</v>
      </c>
      <c r="W31" s="314" t="str">
        <f>GETPERIOD(F31)</f>
        <v>2020-M02</v>
      </c>
      <c r="X31" s="314" t="str">
        <f>GETPERIOD(G31)</f>
        <v>2020-M02</v>
      </c>
    </row>
    <row r="32" spans="1:24" x14ac:dyDescent="0.25">
      <c r="A32" s="158" t="s">
        <v>158</v>
      </c>
      <c r="B32" s="158" t="s">
        <v>731</v>
      </c>
      <c r="C32" s="158" t="s">
        <v>837</v>
      </c>
      <c r="D32" s="158" t="s">
        <v>55</v>
      </c>
      <c r="E32" s="159">
        <v>3.5</v>
      </c>
      <c r="F32" s="369">
        <v>43693</v>
      </c>
      <c r="G32" s="374">
        <v>43693</v>
      </c>
      <c r="H32" s="157"/>
      <c r="I32" s="309">
        <f t="shared" si="1"/>
        <v>980</v>
      </c>
      <c r="J32" s="310">
        <f t="shared" si="12"/>
        <v>3430</v>
      </c>
      <c r="K32" s="310"/>
      <c r="L32" s="310">
        <f t="shared" si="13"/>
        <v>343</v>
      </c>
      <c r="M32" s="310"/>
      <c r="N32" s="311">
        <f t="shared" si="14"/>
        <v>3773</v>
      </c>
      <c r="O32" s="312">
        <f t="shared" si="15"/>
        <v>0</v>
      </c>
      <c r="P32" s="309">
        <f t="shared" si="5"/>
        <v>900</v>
      </c>
      <c r="Q32" s="310">
        <f t="shared" si="16"/>
        <v>3150</v>
      </c>
      <c r="R32" s="309">
        <f t="shared" si="6"/>
        <v>0</v>
      </c>
      <c r="S32" s="310">
        <f t="shared" si="17"/>
        <v>3150</v>
      </c>
      <c r="T32" s="312">
        <f t="shared" si="18"/>
        <v>280</v>
      </c>
      <c r="U32" s="313" t="str">
        <f t="shared" si="9"/>
        <v>Hays</v>
      </c>
      <c r="V32" s="309" t="str">
        <f t="shared" si="10"/>
        <v>MLC</v>
      </c>
      <c r="W32" s="314" t="str">
        <f t="shared" si="19"/>
        <v>2020-M02</v>
      </c>
      <c r="X32" s="314" t="str">
        <f t="shared" si="20"/>
        <v>2020-M02</v>
      </c>
    </row>
    <row r="33" spans="1:24" x14ac:dyDescent="0.25">
      <c r="A33" s="157" t="s">
        <v>664</v>
      </c>
      <c r="B33" s="157" t="s">
        <v>726</v>
      </c>
      <c r="C33" s="157" t="s">
        <v>148</v>
      </c>
      <c r="D33" s="157" t="s">
        <v>657</v>
      </c>
      <c r="E33" s="159">
        <v>5</v>
      </c>
      <c r="F33" s="369">
        <v>43688</v>
      </c>
      <c r="G33" s="374">
        <v>43703</v>
      </c>
      <c r="H33" s="157"/>
      <c r="I33" s="309">
        <f t="shared" si="1"/>
        <v>890.21</v>
      </c>
      <c r="J33" s="310">
        <f t="shared" si="12"/>
        <v>4451.05</v>
      </c>
      <c r="K33" s="310"/>
      <c r="L33" s="310">
        <f t="shared" si="13"/>
        <v>445.11</v>
      </c>
      <c r="M33" s="310"/>
      <c r="N33" s="311">
        <f t="shared" si="14"/>
        <v>4896.16</v>
      </c>
      <c r="O33" s="312">
        <f t="shared" si="15"/>
        <v>0</v>
      </c>
      <c r="P33" s="309">
        <f t="shared" si="5"/>
        <v>845.69949999999994</v>
      </c>
      <c r="Q33" s="310">
        <f t="shared" si="16"/>
        <v>4228.4974999999995</v>
      </c>
      <c r="R33" s="309">
        <f t="shared" si="6"/>
        <v>0</v>
      </c>
      <c r="S33" s="310">
        <f t="shared" si="17"/>
        <v>4228.4974999999995</v>
      </c>
      <c r="T33" s="312">
        <f t="shared" si="18"/>
        <v>222.55250000000069</v>
      </c>
      <c r="U33" s="313" t="str">
        <f t="shared" si="9"/>
        <v>Paxus</v>
      </c>
      <c r="V33" s="309" t="str">
        <f t="shared" si="10"/>
        <v>Energy Queensland</v>
      </c>
      <c r="W33" s="314" t="str">
        <f t="shared" si="19"/>
        <v>2020-M02</v>
      </c>
      <c r="X33" s="314" t="str">
        <f t="shared" si="20"/>
        <v>2020-M02</v>
      </c>
    </row>
    <row r="34" spans="1:24" x14ac:dyDescent="0.25">
      <c r="A34" s="157" t="s">
        <v>664</v>
      </c>
      <c r="B34" s="157" t="s">
        <v>726</v>
      </c>
      <c r="C34" s="157" t="s">
        <v>152</v>
      </c>
      <c r="D34" s="157" t="s">
        <v>657</v>
      </c>
      <c r="E34" s="159">
        <v>5</v>
      </c>
      <c r="F34" s="369">
        <v>43695</v>
      </c>
      <c r="G34" s="374">
        <v>43710</v>
      </c>
      <c r="H34" s="157"/>
      <c r="I34" s="309">
        <f t="shared" ref="I34:I66" si="34">IF(ISBLANK(B34),0,VLOOKUP(A34&amp;B34,Project,3))</f>
        <v>890.21</v>
      </c>
      <c r="J34" s="310">
        <f t="shared" si="12"/>
        <v>4451.05</v>
      </c>
      <c r="K34" s="310"/>
      <c r="L34" s="310">
        <f t="shared" si="13"/>
        <v>445.11</v>
      </c>
      <c r="M34" s="310"/>
      <c r="N34" s="311">
        <f t="shared" si="14"/>
        <v>4896.16</v>
      </c>
      <c r="O34" s="312">
        <f t="shared" si="15"/>
        <v>0</v>
      </c>
      <c r="P34" s="309">
        <f t="shared" ref="P34:P66" si="35">IF(ISBLANK(C34),0,VLOOKUP(A34&amp;B34,Project,4))</f>
        <v>845.69949999999994</v>
      </c>
      <c r="Q34" s="310">
        <f t="shared" si="16"/>
        <v>4228.4974999999995</v>
      </c>
      <c r="R34" s="309">
        <f t="shared" ref="R34:R66" si="36">IF(ISBLANK(C34),0,VLOOKUP(A34&amp;B34,Project,5))*Q34*0.1</f>
        <v>0</v>
      </c>
      <c r="S34" s="310">
        <f t="shared" si="17"/>
        <v>4228.4974999999995</v>
      </c>
      <c r="T34" s="312">
        <f t="shared" si="18"/>
        <v>222.55250000000069</v>
      </c>
      <c r="U34" s="313" t="str">
        <f t="shared" si="9"/>
        <v>Paxus</v>
      </c>
      <c r="V34" s="309" t="str">
        <f t="shared" si="10"/>
        <v>Energy Queensland</v>
      </c>
      <c r="W34" s="314" t="str">
        <f t="shared" si="19"/>
        <v>2020-M02</v>
      </c>
      <c r="X34" s="314" t="str">
        <f t="shared" si="20"/>
        <v>2020-M03</v>
      </c>
    </row>
    <row r="35" spans="1:24" x14ac:dyDescent="0.25">
      <c r="A35" s="157" t="s">
        <v>147</v>
      </c>
      <c r="B35" s="157" t="s">
        <v>145</v>
      </c>
      <c r="C35" s="157" t="s">
        <v>838</v>
      </c>
      <c r="D35" s="157" t="s">
        <v>57</v>
      </c>
      <c r="E35" s="159">
        <v>12</v>
      </c>
      <c r="F35" s="369">
        <v>43695</v>
      </c>
      <c r="G35" s="374">
        <v>43699</v>
      </c>
      <c r="H35" s="157"/>
      <c r="I35" s="309">
        <f t="shared" si="34"/>
        <v>1000</v>
      </c>
      <c r="J35" s="310">
        <f t="shared" si="12"/>
        <v>12000</v>
      </c>
      <c r="K35" s="310"/>
      <c r="L35" s="310">
        <f t="shared" si="13"/>
        <v>1200</v>
      </c>
      <c r="M35" s="310"/>
      <c r="N35" s="311">
        <f t="shared" si="14"/>
        <v>13200</v>
      </c>
      <c r="O35" s="312">
        <f t="shared" si="15"/>
        <v>0</v>
      </c>
      <c r="P35" s="309">
        <f t="shared" si="35"/>
        <v>980</v>
      </c>
      <c r="Q35" s="310">
        <f t="shared" si="16"/>
        <v>11760</v>
      </c>
      <c r="R35" s="309">
        <f t="shared" si="36"/>
        <v>0</v>
      </c>
      <c r="S35" s="310">
        <f t="shared" si="17"/>
        <v>11760</v>
      </c>
      <c r="T35" s="312">
        <f t="shared" si="18"/>
        <v>240</v>
      </c>
      <c r="U35" s="313" t="str">
        <f t="shared" si="9"/>
        <v>M&amp;T Resources</v>
      </c>
      <c r="V35" s="309" t="str">
        <f t="shared" si="10"/>
        <v>Energy Queensland</v>
      </c>
      <c r="W35" s="314" t="str">
        <f t="shared" si="19"/>
        <v>2020-M02</v>
      </c>
      <c r="X35" s="314" t="str">
        <f t="shared" si="20"/>
        <v>2020-M02</v>
      </c>
    </row>
    <row r="36" spans="1:24" x14ac:dyDescent="0.25">
      <c r="A36" s="157" t="s">
        <v>147</v>
      </c>
      <c r="B36" s="157" t="s">
        <v>695</v>
      </c>
      <c r="C36" s="157" t="s">
        <v>838</v>
      </c>
      <c r="D36" s="157" t="s">
        <v>669</v>
      </c>
      <c r="E36" s="159">
        <v>11</v>
      </c>
      <c r="F36" s="369">
        <v>43695</v>
      </c>
      <c r="G36" s="374">
        <v>43699</v>
      </c>
      <c r="H36" s="157"/>
      <c r="I36" s="309">
        <f>IF(ISBLANK(B36),0,VLOOKUP(A36&amp;B36,Project,3))</f>
        <v>900</v>
      </c>
      <c r="J36" s="310">
        <f>E36*I36</f>
        <v>9900</v>
      </c>
      <c r="K36" s="310"/>
      <c r="L36" s="310">
        <f>ROUND((J36+K36)*0.1,2)</f>
        <v>990</v>
      </c>
      <c r="M36" s="310"/>
      <c r="N36" s="311">
        <f>SUM(J36:M36)</f>
        <v>10890</v>
      </c>
      <c r="O36" s="312">
        <f>IF(ISBLANK(G36),N36,0)</f>
        <v>0</v>
      </c>
      <c r="P36" s="309">
        <f>IF(ISBLANK(C36),0,VLOOKUP(A36&amp;B36,Project,4))</f>
        <v>855</v>
      </c>
      <c r="Q36" s="310">
        <f>E36*P36</f>
        <v>9405</v>
      </c>
      <c r="R36" s="309">
        <f>IF(ISBLANK(C36),0,VLOOKUP(A36&amp;B36,Project,5))*Q36*0.1</f>
        <v>0</v>
      </c>
      <c r="S36" s="310">
        <f>SUM(Q36:R36)</f>
        <v>9405</v>
      </c>
      <c r="T36" s="312">
        <f>IF(Q36=0,0,J36-Q36)</f>
        <v>495</v>
      </c>
      <c r="U36" s="313" t="str">
        <f>IF(ISBLANK($A36),"",VLOOKUP($A36,Customer,2))</f>
        <v>M&amp;T Resources</v>
      </c>
      <c r="V36" s="309" t="str">
        <f>IF(ISBLANK($A36),"",VLOOKUP(CONCATENATE($A36,$B36),invProject,2))</f>
        <v>Energy Queensland</v>
      </c>
      <c r="W36" s="314" t="str">
        <f>GETPERIOD(F36)</f>
        <v>2020-M02</v>
      </c>
      <c r="X36" s="314" t="str">
        <f>GETPERIOD(G36)</f>
        <v>2020-M02</v>
      </c>
    </row>
    <row r="37" spans="1:24" x14ac:dyDescent="0.25">
      <c r="A37" s="158" t="s">
        <v>145</v>
      </c>
      <c r="B37" s="158" t="s">
        <v>157</v>
      </c>
      <c r="C37" s="158" t="s">
        <v>149</v>
      </c>
      <c r="D37" s="158" t="s">
        <v>649</v>
      </c>
      <c r="E37" s="159">
        <v>17</v>
      </c>
      <c r="F37" s="369">
        <v>43705</v>
      </c>
      <c r="G37" s="374">
        <v>43712</v>
      </c>
      <c r="H37" s="157"/>
      <c r="I37" s="309">
        <f t="shared" si="34"/>
        <v>700</v>
      </c>
      <c r="J37" s="310">
        <f t="shared" si="12"/>
        <v>11900</v>
      </c>
      <c r="K37" s="310"/>
      <c r="L37" s="310">
        <f t="shared" si="13"/>
        <v>1190</v>
      </c>
      <c r="M37" s="310"/>
      <c r="N37" s="311">
        <f t="shared" si="14"/>
        <v>13090</v>
      </c>
      <c r="O37" s="312">
        <f t="shared" si="15"/>
        <v>0</v>
      </c>
      <c r="P37" s="309">
        <f t="shared" si="35"/>
        <v>665</v>
      </c>
      <c r="Q37" s="310">
        <f t="shared" si="16"/>
        <v>11305</v>
      </c>
      <c r="R37" s="309">
        <f t="shared" si="36"/>
        <v>1130.5</v>
      </c>
      <c r="S37" s="310">
        <f t="shared" si="17"/>
        <v>12435.5</v>
      </c>
      <c r="T37" s="312">
        <f t="shared" si="18"/>
        <v>595</v>
      </c>
      <c r="U37" s="313" t="str">
        <f t="shared" ref="U37:U68" si="37">IF(ISBLANK($A37),"",VLOOKUP($A37,Customer,2))</f>
        <v>Taggle Systems</v>
      </c>
      <c r="V37" s="309" t="str">
        <f t="shared" ref="V37:V68" si="38">IF(ISBLANK($A37),"",VLOOKUP(CONCATENATE($A37,$B37),invProject,2))</f>
        <v>Taggle</v>
      </c>
      <c r="W37" s="314" t="str">
        <f t="shared" si="19"/>
        <v>2020-M02</v>
      </c>
      <c r="X37" s="314" t="str">
        <f t="shared" si="20"/>
        <v>2020-M03</v>
      </c>
    </row>
    <row r="38" spans="1:24" x14ac:dyDescent="0.25">
      <c r="A38" s="157" t="s">
        <v>664</v>
      </c>
      <c r="B38" s="157" t="s">
        <v>726</v>
      </c>
      <c r="C38" s="157" t="s">
        <v>154</v>
      </c>
      <c r="D38" s="157" t="s">
        <v>657</v>
      </c>
      <c r="E38" s="159">
        <v>5</v>
      </c>
      <c r="F38" s="369">
        <v>43702</v>
      </c>
      <c r="G38" s="374">
        <v>43717</v>
      </c>
      <c r="H38" s="157"/>
      <c r="I38" s="309">
        <f t="shared" si="34"/>
        <v>890.21</v>
      </c>
      <c r="J38" s="310">
        <f t="shared" si="12"/>
        <v>4451.05</v>
      </c>
      <c r="K38" s="310"/>
      <c r="L38" s="310">
        <f t="shared" si="13"/>
        <v>445.11</v>
      </c>
      <c r="M38" s="310"/>
      <c r="N38" s="311">
        <f t="shared" si="14"/>
        <v>4896.16</v>
      </c>
      <c r="O38" s="312">
        <f t="shared" si="15"/>
        <v>0</v>
      </c>
      <c r="P38" s="309">
        <f t="shared" si="35"/>
        <v>845.69949999999994</v>
      </c>
      <c r="Q38" s="310">
        <f t="shared" si="16"/>
        <v>4228.4974999999995</v>
      </c>
      <c r="R38" s="309">
        <f t="shared" si="36"/>
        <v>0</v>
      </c>
      <c r="S38" s="310">
        <f t="shared" si="17"/>
        <v>4228.4974999999995</v>
      </c>
      <c r="T38" s="312">
        <f t="shared" si="18"/>
        <v>222.55250000000069</v>
      </c>
      <c r="U38" s="313" t="str">
        <f t="shared" si="37"/>
        <v>Paxus</v>
      </c>
      <c r="V38" s="309" t="str">
        <f t="shared" si="38"/>
        <v>Energy Queensland</v>
      </c>
      <c r="W38" s="314" t="str">
        <f t="shared" si="19"/>
        <v>2020-M02</v>
      </c>
      <c r="X38" s="314" t="str">
        <f t="shared" si="20"/>
        <v>2020-M03</v>
      </c>
    </row>
    <row r="39" spans="1:24" x14ac:dyDescent="0.25">
      <c r="A39" s="158" t="s">
        <v>147</v>
      </c>
      <c r="B39" s="158" t="s">
        <v>145</v>
      </c>
      <c r="C39" s="158" t="s">
        <v>856</v>
      </c>
      <c r="D39" s="158" t="s">
        <v>57</v>
      </c>
      <c r="E39" s="159">
        <v>14</v>
      </c>
      <c r="F39" s="369">
        <v>43709</v>
      </c>
      <c r="G39" s="374">
        <v>43713</v>
      </c>
      <c r="H39" s="157"/>
      <c r="I39" s="309">
        <f t="shared" si="34"/>
        <v>1000</v>
      </c>
      <c r="J39" s="310">
        <f t="shared" si="12"/>
        <v>14000</v>
      </c>
      <c r="K39" s="310"/>
      <c r="L39" s="310">
        <f t="shared" si="13"/>
        <v>1400</v>
      </c>
      <c r="M39" s="310"/>
      <c r="N39" s="311">
        <f t="shared" si="14"/>
        <v>15400</v>
      </c>
      <c r="O39" s="312">
        <f t="shared" si="15"/>
        <v>0</v>
      </c>
      <c r="P39" s="309">
        <f t="shared" si="35"/>
        <v>980</v>
      </c>
      <c r="Q39" s="310">
        <f t="shared" si="16"/>
        <v>13720</v>
      </c>
      <c r="R39" s="309">
        <f t="shared" si="36"/>
        <v>0</v>
      </c>
      <c r="S39" s="310">
        <f t="shared" si="17"/>
        <v>13720</v>
      </c>
      <c r="T39" s="312">
        <f t="shared" si="18"/>
        <v>280</v>
      </c>
      <c r="U39" s="313" t="str">
        <f t="shared" si="37"/>
        <v>M&amp;T Resources</v>
      </c>
      <c r="V39" s="309" t="str">
        <f t="shared" si="38"/>
        <v>Energy Queensland</v>
      </c>
      <c r="W39" s="314" t="str">
        <f t="shared" si="19"/>
        <v>2020-M03</v>
      </c>
      <c r="X39" s="314" t="str">
        <f t="shared" si="20"/>
        <v>2020-M03</v>
      </c>
    </row>
    <row r="40" spans="1:24" x14ac:dyDescent="0.25">
      <c r="A40" s="157" t="s">
        <v>147</v>
      </c>
      <c r="B40" s="157" t="s">
        <v>695</v>
      </c>
      <c r="C40" s="157" t="s">
        <v>856</v>
      </c>
      <c r="D40" s="157" t="s">
        <v>669</v>
      </c>
      <c r="E40" s="159">
        <v>13.5</v>
      </c>
      <c r="F40" s="369">
        <v>43709</v>
      </c>
      <c r="G40" s="374">
        <v>43713</v>
      </c>
      <c r="H40" s="157"/>
      <c r="I40" s="309">
        <f t="shared" si="34"/>
        <v>900</v>
      </c>
      <c r="J40" s="310">
        <f t="shared" si="12"/>
        <v>12150</v>
      </c>
      <c r="K40" s="310"/>
      <c r="L40" s="310">
        <f t="shared" si="13"/>
        <v>1215</v>
      </c>
      <c r="M40" s="310"/>
      <c r="N40" s="311">
        <f t="shared" si="14"/>
        <v>13365</v>
      </c>
      <c r="O40" s="312">
        <f t="shared" si="15"/>
        <v>0</v>
      </c>
      <c r="P40" s="309">
        <f t="shared" si="35"/>
        <v>855</v>
      </c>
      <c r="Q40" s="310">
        <f t="shared" si="16"/>
        <v>11542.5</v>
      </c>
      <c r="R40" s="309">
        <f t="shared" si="36"/>
        <v>0</v>
      </c>
      <c r="S40" s="310">
        <f t="shared" si="17"/>
        <v>11542.5</v>
      </c>
      <c r="T40" s="312">
        <f t="shared" si="18"/>
        <v>607.5</v>
      </c>
      <c r="U40" s="313" t="str">
        <f t="shared" si="37"/>
        <v>M&amp;T Resources</v>
      </c>
      <c r="V40" s="309" t="str">
        <f t="shared" si="38"/>
        <v>Energy Queensland</v>
      </c>
      <c r="W40" s="314" t="str">
        <f t="shared" si="19"/>
        <v>2020-M03</v>
      </c>
      <c r="X40" s="314" t="str">
        <f t="shared" si="20"/>
        <v>2020-M03</v>
      </c>
    </row>
    <row r="41" spans="1:24" x14ac:dyDescent="0.25">
      <c r="A41" s="158" t="s">
        <v>158</v>
      </c>
      <c r="B41" s="158" t="s">
        <v>731</v>
      </c>
      <c r="C41" s="158" t="s">
        <v>871</v>
      </c>
      <c r="D41" s="158" t="s">
        <v>55</v>
      </c>
      <c r="E41" s="159">
        <v>4</v>
      </c>
      <c r="F41" s="369">
        <v>43700</v>
      </c>
      <c r="G41" s="374">
        <v>43700</v>
      </c>
      <c r="H41" s="157"/>
      <c r="I41" s="309">
        <f t="shared" si="34"/>
        <v>980</v>
      </c>
      <c r="J41" s="310">
        <f t="shared" si="12"/>
        <v>3920</v>
      </c>
      <c r="K41" s="310"/>
      <c r="L41" s="310">
        <f t="shared" si="13"/>
        <v>392</v>
      </c>
      <c r="M41" s="310"/>
      <c r="N41" s="311">
        <f t="shared" si="14"/>
        <v>4312</v>
      </c>
      <c r="O41" s="312">
        <f t="shared" si="15"/>
        <v>0</v>
      </c>
      <c r="P41" s="309">
        <f t="shared" si="35"/>
        <v>900</v>
      </c>
      <c r="Q41" s="310">
        <f t="shared" si="16"/>
        <v>3600</v>
      </c>
      <c r="R41" s="309">
        <f t="shared" si="36"/>
        <v>0</v>
      </c>
      <c r="S41" s="310">
        <f t="shared" si="17"/>
        <v>3600</v>
      </c>
      <c r="T41" s="312">
        <f t="shared" si="18"/>
        <v>320</v>
      </c>
      <c r="U41" s="313" t="str">
        <f t="shared" si="37"/>
        <v>Hays</v>
      </c>
      <c r="V41" s="309" t="str">
        <f t="shared" si="38"/>
        <v>MLC</v>
      </c>
      <c r="W41" s="314" t="str">
        <f t="shared" si="19"/>
        <v>2020-M02</v>
      </c>
      <c r="X41" s="314" t="str">
        <f t="shared" si="20"/>
        <v>2020-M02</v>
      </c>
    </row>
    <row r="42" spans="1:24" x14ac:dyDescent="0.25">
      <c r="A42" s="158" t="s">
        <v>158</v>
      </c>
      <c r="B42" s="158" t="s">
        <v>731</v>
      </c>
      <c r="C42" s="158" t="s">
        <v>872</v>
      </c>
      <c r="D42" s="158" t="s">
        <v>55</v>
      </c>
      <c r="E42" s="159">
        <v>3.5</v>
      </c>
      <c r="F42" s="369">
        <v>43707</v>
      </c>
      <c r="G42" s="374">
        <v>43707</v>
      </c>
      <c r="H42" s="157"/>
      <c r="I42" s="309">
        <f t="shared" si="34"/>
        <v>980</v>
      </c>
      <c r="J42" s="310">
        <f t="shared" si="12"/>
        <v>3430</v>
      </c>
      <c r="K42" s="310"/>
      <c r="L42" s="310">
        <f t="shared" si="13"/>
        <v>343</v>
      </c>
      <c r="M42" s="310"/>
      <c r="N42" s="311">
        <f t="shared" si="14"/>
        <v>3773</v>
      </c>
      <c r="O42" s="312">
        <f t="shared" si="15"/>
        <v>0</v>
      </c>
      <c r="P42" s="309">
        <f t="shared" si="35"/>
        <v>900</v>
      </c>
      <c r="Q42" s="310">
        <f t="shared" si="16"/>
        <v>3150</v>
      </c>
      <c r="R42" s="309">
        <f t="shared" si="36"/>
        <v>0</v>
      </c>
      <c r="S42" s="310">
        <f t="shared" si="17"/>
        <v>3150</v>
      </c>
      <c r="T42" s="312">
        <f t="shared" si="18"/>
        <v>280</v>
      </c>
      <c r="U42" s="313" t="str">
        <f t="shared" si="37"/>
        <v>Hays</v>
      </c>
      <c r="V42" s="309" t="str">
        <f t="shared" si="38"/>
        <v>MLC</v>
      </c>
      <c r="W42" s="314" t="str">
        <f t="shared" si="19"/>
        <v>2020-M02</v>
      </c>
      <c r="X42" s="314" t="str">
        <f t="shared" si="20"/>
        <v>2020-M02</v>
      </c>
    </row>
    <row r="43" spans="1:24" x14ac:dyDescent="0.25">
      <c r="A43" s="158" t="s">
        <v>650</v>
      </c>
      <c r="B43" s="158" t="s">
        <v>691</v>
      </c>
      <c r="C43" s="158" t="s">
        <v>162</v>
      </c>
      <c r="D43" s="158" t="s">
        <v>55</v>
      </c>
      <c r="E43" s="159">
        <v>3</v>
      </c>
      <c r="F43" s="369">
        <v>43715</v>
      </c>
      <c r="G43" s="374">
        <v>43720</v>
      </c>
      <c r="H43" s="157"/>
      <c r="I43" s="309">
        <f t="shared" si="34"/>
        <v>950</v>
      </c>
      <c r="J43" s="310">
        <f t="shared" si="12"/>
        <v>2850</v>
      </c>
      <c r="K43" s="310"/>
      <c r="L43" s="310">
        <f t="shared" si="13"/>
        <v>285</v>
      </c>
      <c r="M43" s="310"/>
      <c r="N43" s="311">
        <f t="shared" si="14"/>
        <v>3135</v>
      </c>
      <c r="O43" s="312">
        <f t="shared" si="15"/>
        <v>0</v>
      </c>
      <c r="P43" s="309">
        <f t="shared" si="35"/>
        <v>900</v>
      </c>
      <c r="Q43" s="310">
        <f t="shared" si="16"/>
        <v>2700</v>
      </c>
      <c r="R43" s="309">
        <f t="shared" si="36"/>
        <v>0</v>
      </c>
      <c r="S43" s="310">
        <f t="shared" si="17"/>
        <v>2700</v>
      </c>
      <c r="T43" s="312">
        <f t="shared" si="18"/>
        <v>150</v>
      </c>
      <c r="U43" s="313" t="str">
        <f t="shared" si="37"/>
        <v>Mine Super</v>
      </c>
      <c r="V43" s="309" t="str">
        <f t="shared" si="38"/>
        <v>Mine Super</v>
      </c>
      <c r="W43" s="314" t="str">
        <f t="shared" si="19"/>
        <v>2020-M03</v>
      </c>
      <c r="X43" s="314" t="str">
        <f t="shared" si="20"/>
        <v>2020-M03</v>
      </c>
    </row>
    <row r="44" spans="1:24" x14ac:dyDescent="0.25">
      <c r="A44" s="158" t="s">
        <v>145</v>
      </c>
      <c r="B44" s="158" t="s">
        <v>157</v>
      </c>
      <c r="C44" s="158" t="s">
        <v>159</v>
      </c>
      <c r="D44" s="158" t="s">
        <v>649</v>
      </c>
      <c r="E44" s="159">
        <v>10</v>
      </c>
      <c r="F44" s="369">
        <v>43716</v>
      </c>
      <c r="G44" s="374">
        <v>43718</v>
      </c>
      <c r="H44" s="157"/>
      <c r="I44" s="309">
        <f t="shared" si="34"/>
        <v>700</v>
      </c>
      <c r="J44" s="310">
        <f t="shared" si="12"/>
        <v>7000</v>
      </c>
      <c r="K44" s="310"/>
      <c r="L44" s="310">
        <f t="shared" si="13"/>
        <v>700</v>
      </c>
      <c r="M44" s="310"/>
      <c r="N44" s="311">
        <f t="shared" si="14"/>
        <v>7700</v>
      </c>
      <c r="O44" s="312">
        <f t="shared" si="15"/>
        <v>0</v>
      </c>
      <c r="P44" s="309">
        <f t="shared" si="35"/>
        <v>665</v>
      </c>
      <c r="Q44" s="310">
        <f t="shared" si="16"/>
        <v>6650</v>
      </c>
      <c r="R44" s="309">
        <f t="shared" si="36"/>
        <v>665</v>
      </c>
      <c r="S44" s="310">
        <f t="shared" si="17"/>
        <v>7315</v>
      </c>
      <c r="T44" s="312">
        <f t="shared" si="18"/>
        <v>350</v>
      </c>
      <c r="U44" s="313" t="str">
        <f t="shared" si="37"/>
        <v>Taggle Systems</v>
      </c>
      <c r="V44" s="309" t="str">
        <f t="shared" si="38"/>
        <v>Taggle</v>
      </c>
      <c r="W44" s="314" t="str">
        <f t="shared" si="19"/>
        <v>2020-M03</v>
      </c>
      <c r="X44" s="314" t="str">
        <f t="shared" si="20"/>
        <v>2020-M03</v>
      </c>
    </row>
    <row r="45" spans="1:24" x14ac:dyDescent="0.25">
      <c r="A45" s="158" t="s">
        <v>158</v>
      </c>
      <c r="B45" s="158" t="s">
        <v>731</v>
      </c>
      <c r="C45" s="158" t="s">
        <v>875</v>
      </c>
      <c r="D45" s="158" t="s">
        <v>55</v>
      </c>
      <c r="E45" s="159">
        <v>5</v>
      </c>
      <c r="F45" s="369">
        <v>43717</v>
      </c>
      <c r="G45" s="374">
        <v>43719</v>
      </c>
      <c r="H45" s="157"/>
      <c r="I45" s="309">
        <f t="shared" si="34"/>
        <v>980</v>
      </c>
      <c r="J45" s="310">
        <f t="shared" si="12"/>
        <v>4900</v>
      </c>
      <c r="K45" s="310"/>
      <c r="L45" s="310">
        <f t="shared" si="13"/>
        <v>490</v>
      </c>
      <c r="M45" s="310"/>
      <c r="N45" s="311">
        <f t="shared" si="14"/>
        <v>5390</v>
      </c>
      <c r="O45" s="312">
        <f t="shared" si="15"/>
        <v>0</v>
      </c>
      <c r="P45" s="309">
        <f t="shared" si="35"/>
        <v>900</v>
      </c>
      <c r="Q45" s="310">
        <f t="shared" si="16"/>
        <v>4500</v>
      </c>
      <c r="R45" s="309">
        <f t="shared" si="36"/>
        <v>0</v>
      </c>
      <c r="S45" s="310">
        <f t="shared" si="17"/>
        <v>4500</v>
      </c>
      <c r="T45" s="312">
        <f t="shared" si="18"/>
        <v>400</v>
      </c>
      <c r="U45" s="313" t="str">
        <f t="shared" si="37"/>
        <v>Hays</v>
      </c>
      <c r="V45" s="309" t="str">
        <f t="shared" si="38"/>
        <v>MLC</v>
      </c>
      <c r="W45" s="314" t="str">
        <f t="shared" si="19"/>
        <v>2020-M03</v>
      </c>
      <c r="X45" s="314" t="str">
        <f t="shared" si="20"/>
        <v>2020-M03</v>
      </c>
    </row>
    <row r="46" spans="1:24" x14ac:dyDescent="0.25">
      <c r="A46" s="158" t="s">
        <v>664</v>
      </c>
      <c r="B46" s="158" t="s">
        <v>726</v>
      </c>
      <c r="C46" s="158" t="s">
        <v>147</v>
      </c>
      <c r="D46" s="158" t="s">
        <v>657</v>
      </c>
      <c r="E46" s="159">
        <v>5</v>
      </c>
      <c r="F46" s="369">
        <v>43709</v>
      </c>
      <c r="G46" s="374">
        <v>43724</v>
      </c>
      <c r="H46" s="157"/>
      <c r="I46" s="309">
        <f t="shared" si="34"/>
        <v>890.21</v>
      </c>
      <c r="J46" s="310">
        <f t="shared" si="12"/>
        <v>4451.05</v>
      </c>
      <c r="K46" s="310"/>
      <c r="L46" s="310">
        <f t="shared" si="13"/>
        <v>445.11</v>
      </c>
      <c r="M46" s="310"/>
      <c r="N46" s="311">
        <f t="shared" si="14"/>
        <v>4896.16</v>
      </c>
      <c r="O46" s="312">
        <f t="shared" si="15"/>
        <v>0</v>
      </c>
      <c r="P46" s="309">
        <f t="shared" si="35"/>
        <v>845.69949999999994</v>
      </c>
      <c r="Q46" s="310">
        <f t="shared" si="16"/>
        <v>4228.4974999999995</v>
      </c>
      <c r="R46" s="309">
        <f t="shared" si="36"/>
        <v>0</v>
      </c>
      <c r="S46" s="310">
        <f t="shared" si="17"/>
        <v>4228.4974999999995</v>
      </c>
      <c r="T46" s="312">
        <f t="shared" si="18"/>
        <v>222.55250000000069</v>
      </c>
      <c r="U46" s="313" t="str">
        <f t="shared" si="37"/>
        <v>Paxus</v>
      </c>
      <c r="V46" s="309" t="str">
        <f t="shared" si="38"/>
        <v>Energy Queensland</v>
      </c>
      <c r="W46" s="314" t="str">
        <f t="shared" si="19"/>
        <v>2020-M03</v>
      </c>
      <c r="X46" s="314" t="str">
        <f t="shared" si="20"/>
        <v>2020-M03</v>
      </c>
    </row>
    <row r="47" spans="1:24" x14ac:dyDescent="0.25">
      <c r="A47" s="157" t="s">
        <v>147</v>
      </c>
      <c r="B47" s="295" t="s">
        <v>145</v>
      </c>
      <c r="C47" s="295" t="s">
        <v>894</v>
      </c>
      <c r="D47" s="157" t="s">
        <v>57</v>
      </c>
      <c r="E47" s="159">
        <v>10</v>
      </c>
      <c r="F47" s="369">
        <v>43723</v>
      </c>
      <c r="G47" s="374">
        <v>43727</v>
      </c>
      <c r="H47" s="157"/>
      <c r="I47" s="309">
        <f t="shared" si="34"/>
        <v>1000</v>
      </c>
      <c r="J47" s="310">
        <f t="shared" si="12"/>
        <v>10000</v>
      </c>
      <c r="K47" s="310"/>
      <c r="L47" s="310">
        <f t="shared" si="13"/>
        <v>1000</v>
      </c>
      <c r="M47" s="310"/>
      <c r="N47" s="311">
        <f t="shared" si="14"/>
        <v>11000</v>
      </c>
      <c r="O47" s="312">
        <f t="shared" si="15"/>
        <v>0</v>
      </c>
      <c r="P47" s="309">
        <f t="shared" si="35"/>
        <v>980</v>
      </c>
      <c r="Q47" s="310">
        <f t="shared" si="16"/>
        <v>9800</v>
      </c>
      <c r="R47" s="309">
        <f t="shared" si="36"/>
        <v>0</v>
      </c>
      <c r="S47" s="310">
        <f t="shared" si="17"/>
        <v>9800</v>
      </c>
      <c r="T47" s="312">
        <f t="shared" si="18"/>
        <v>200</v>
      </c>
      <c r="U47" s="313" t="str">
        <f t="shared" si="37"/>
        <v>M&amp;T Resources</v>
      </c>
      <c r="V47" s="309" t="str">
        <f t="shared" si="38"/>
        <v>Energy Queensland</v>
      </c>
      <c r="W47" s="314" t="str">
        <f t="shared" si="19"/>
        <v>2020-M03</v>
      </c>
      <c r="X47" s="314" t="str">
        <f t="shared" si="20"/>
        <v>2020-M03</v>
      </c>
    </row>
    <row r="48" spans="1:24" x14ac:dyDescent="0.25">
      <c r="A48" s="157" t="s">
        <v>147</v>
      </c>
      <c r="B48" s="157" t="s">
        <v>695</v>
      </c>
      <c r="C48" s="157" t="s">
        <v>894</v>
      </c>
      <c r="D48" s="157" t="s">
        <v>669</v>
      </c>
      <c r="E48" s="159">
        <v>11.5</v>
      </c>
      <c r="F48" s="369">
        <v>43723</v>
      </c>
      <c r="G48" s="374">
        <v>43727</v>
      </c>
      <c r="H48" s="157"/>
      <c r="I48" s="309">
        <f t="shared" si="34"/>
        <v>900</v>
      </c>
      <c r="J48" s="310">
        <f t="shared" si="12"/>
        <v>10350</v>
      </c>
      <c r="K48" s="310"/>
      <c r="L48" s="310">
        <f t="shared" si="13"/>
        <v>1035</v>
      </c>
      <c r="M48" s="310"/>
      <c r="N48" s="311">
        <f t="shared" si="14"/>
        <v>11385</v>
      </c>
      <c r="O48" s="312">
        <f t="shared" si="15"/>
        <v>0</v>
      </c>
      <c r="P48" s="309">
        <f t="shared" si="35"/>
        <v>855</v>
      </c>
      <c r="Q48" s="310">
        <f t="shared" si="16"/>
        <v>9832.5</v>
      </c>
      <c r="R48" s="309">
        <f t="shared" si="36"/>
        <v>0</v>
      </c>
      <c r="S48" s="310">
        <f t="shared" si="17"/>
        <v>9832.5</v>
      </c>
      <c r="T48" s="312">
        <f t="shared" si="18"/>
        <v>517.5</v>
      </c>
      <c r="U48" s="313" t="str">
        <f t="shared" si="37"/>
        <v>M&amp;T Resources</v>
      </c>
      <c r="V48" s="309" t="str">
        <f t="shared" si="38"/>
        <v>Energy Queensland</v>
      </c>
      <c r="W48" s="314" t="str">
        <f t="shared" si="19"/>
        <v>2020-M03</v>
      </c>
      <c r="X48" s="314" t="str">
        <f t="shared" si="20"/>
        <v>2020-M03</v>
      </c>
    </row>
    <row r="49" spans="1:24" x14ac:dyDescent="0.25">
      <c r="A49" s="158" t="s">
        <v>664</v>
      </c>
      <c r="B49" s="158" t="s">
        <v>726</v>
      </c>
      <c r="C49" s="158" t="s">
        <v>156</v>
      </c>
      <c r="D49" s="158" t="s">
        <v>657</v>
      </c>
      <c r="E49" s="159">
        <v>5</v>
      </c>
      <c r="F49" s="369">
        <v>43716</v>
      </c>
      <c r="G49" s="374">
        <v>43731</v>
      </c>
      <c r="H49" s="157"/>
      <c r="I49" s="309">
        <f t="shared" si="34"/>
        <v>890.21</v>
      </c>
      <c r="J49" s="310">
        <f t="shared" si="12"/>
        <v>4451.05</v>
      </c>
      <c r="K49" s="310"/>
      <c r="L49" s="310">
        <f t="shared" si="13"/>
        <v>445.11</v>
      </c>
      <c r="M49" s="310"/>
      <c r="N49" s="311">
        <f t="shared" si="14"/>
        <v>4896.16</v>
      </c>
      <c r="O49" s="312">
        <f t="shared" si="15"/>
        <v>0</v>
      </c>
      <c r="P49" s="309">
        <f t="shared" si="35"/>
        <v>845.69949999999994</v>
      </c>
      <c r="Q49" s="310">
        <f t="shared" si="16"/>
        <v>4228.4974999999995</v>
      </c>
      <c r="R49" s="309">
        <f t="shared" si="36"/>
        <v>0</v>
      </c>
      <c r="S49" s="310">
        <f t="shared" si="17"/>
        <v>4228.4974999999995</v>
      </c>
      <c r="T49" s="312">
        <f t="shared" si="18"/>
        <v>222.55250000000069</v>
      </c>
      <c r="U49" s="313" t="str">
        <f t="shared" si="37"/>
        <v>Paxus</v>
      </c>
      <c r="V49" s="309" t="str">
        <f t="shared" si="38"/>
        <v>Energy Queensland</v>
      </c>
      <c r="W49" s="314" t="str">
        <f t="shared" si="19"/>
        <v>2020-M03</v>
      </c>
      <c r="X49" s="314" t="str">
        <f t="shared" si="20"/>
        <v>2020-M03</v>
      </c>
    </row>
    <row r="50" spans="1:24" x14ac:dyDescent="0.25">
      <c r="A50" s="158" t="s">
        <v>158</v>
      </c>
      <c r="B50" s="158" t="s">
        <v>731</v>
      </c>
      <c r="C50" s="158" t="s">
        <v>145</v>
      </c>
      <c r="D50" s="158" t="s">
        <v>55</v>
      </c>
      <c r="E50" s="159">
        <v>5</v>
      </c>
      <c r="F50" s="369">
        <v>43721</v>
      </c>
      <c r="G50" s="374">
        <v>43724</v>
      </c>
      <c r="H50" s="157"/>
      <c r="I50" s="309">
        <f t="shared" si="34"/>
        <v>980</v>
      </c>
      <c r="J50" s="310">
        <f t="shared" si="12"/>
        <v>4900</v>
      </c>
      <c r="K50" s="310"/>
      <c r="L50" s="310">
        <f t="shared" si="13"/>
        <v>490</v>
      </c>
      <c r="M50" s="310"/>
      <c r="N50" s="311">
        <f t="shared" si="14"/>
        <v>5390</v>
      </c>
      <c r="O50" s="312">
        <f t="shared" si="15"/>
        <v>0</v>
      </c>
      <c r="P50" s="309">
        <f t="shared" si="35"/>
        <v>900</v>
      </c>
      <c r="Q50" s="310">
        <f t="shared" si="16"/>
        <v>4500</v>
      </c>
      <c r="R50" s="309">
        <f t="shared" si="36"/>
        <v>0</v>
      </c>
      <c r="S50" s="310">
        <f t="shared" si="17"/>
        <v>4500</v>
      </c>
      <c r="T50" s="312">
        <f t="shared" si="18"/>
        <v>400</v>
      </c>
      <c r="U50" s="313" t="str">
        <f t="shared" si="37"/>
        <v>Hays</v>
      </c>
      <c r="V50" s="309" t="str">
        <f t="shared" si="38"/>
        <v>MLC</v>
      </c>
      <c r="W50" s="314" t="str">
        <f t="shared" si="19"/>
        <v>2020-M03</v>
      </c>
      <c r="X50" s="314" t="str">
        <f t="shared" si="20"/>
        <v>2020-M03</v>
      </c>
    </row>
    <row r="51" spans="1:24" x14ac:dyDescent="0.25">
      <c r="A51" s="158" t="s">
        <v>664</v>
      </c>
      <c r="B51" s="158" t="s">
        <v>726</v>
      </c>
      <c r="C51" s="158" t="s">
        <v>149</v>
      </c>
      <c r="D51" s="158" t="s">
        <v>657</v>
      </c>
      <c r="E51" s="159">
        <v>5</v>
      </c>
      <c r="F51" s="369">
        <v>43723</v>
      </c>
      <c r="G51" s="374">
        <v>43738</v>
      </c>
      <c r="H51" s="157"/>
      <c r="I51" s="309">
        <f t="shared" ref="I51" si="39">IF(ISBLANK(B51),0,VLOOKUP(A51&amp;B51,Project,3))</f>
        <v>890.21</v>
      </c>
      <c r="J51" s="310">
        <f t="shared" ref="J51" si="40">E51*I51</f>
        <v>4451.05</v>
      </c>
      <c r="K51" s="310"/>
      <c r="L51" s="310">
        <f t="shared" ref="L51" si="41">ROUND((J51+K51)*0.1,2)</f>
        <v>445.11</v>
      </c>
      <c r="M51" s="310"/>
      <c r="N51" s="311">
        <f t="shared" ref="N51" si="42">SUM(J51:M51)</f>
        <v>4896.16</v>
      </c>
      <c r="O51" s="312">
        <f t="shared" ref="O51" si="43">IF(ISBLANK(G51),N51,0)</f>
        <v>0</v>
      </c>
      <c r="P51" s="309">
        <f t="shared" ref="P51" si="44">IF(ISBLANK(C51),0,VLOOKUP(A51&amp;B51,Project,4))</f>
        <v>845.69949999999994</v>
      </c>
      <c r="Q51" s="310">
        <f t="shared" ref="Q51" si="45">E51*P51</f>
        <v>4228.4974999999995</v>
      </c>
      <c r="R51" s="309">
        <f t="shared" ref="R51" si="46">IF(ISBLANK(C51),0,VLOOKUP(A51&amp;B51,Project,5))*Q51*0.1</f>
        <v>0</v>
      </c>
      <c r="S51" s="310">
        <f t="shared" ref="S51" si="47">SUM(Q51:R51)</f>
        <v>4228.4974999999995</v>
      </c>
      <c r="T51" s="312">
        <f t="shared" ref="T51" si="48">IF(Q51=0,0,J51-Q51)</f>
        <v>222.55250000000069</v>
      </c>
      <c r="U51" s="313" t="str">
        <f t="shared" si="37"/>
        <v>Paxus</v>
      </c>
      <c r="V51" s="309" t="str">
        <f t="shared" si="38"/>
        <v>Energy Queensland</v>
      </c>
      <c r="W51" s="314" t="str">
        <f t="shared" ref="W51" si="49">GETPERIOD(F51)</f>
        <v>2020-M03</v>
      </c>
      <c r="X51" s="314" t="str">
        <f t="shared" ref="X51" si="50">GETPERIOD(G51)</f>
        <v>2020-M03</v>
      </c>
    </row>
    <row r="52" spans="1:24" x14ac:dyDescent="0.25">
      <c r="A52" s="158" t="s">
        <v>158</v>
      </c>
      <c r="B52" s="158" t="s">
        <v>731</v>
      </c>
      <c r="C52" s="158" t="s">
        <v>695</v>
      </c>
      <c r="D52" s="295" t="s">
        <v>55</v>
      </c>
      <c r="E52" s="159">
        <v>5</v>
      </c>
      <c r="F52" s="369">
        <v>43728</v>
      </c>
      <c r="G52" s="374">
        <v>43728</v>
      </c>
      <c r="H52" s="157"/>
      <c r="I52" s="309">
        <f t="shared" si="34"/>
        <v>980</v>
      </c>
      <c r="J52" s="310">
        <f t="shared" si="12"/>
        <v>4900</v>
      </c>
      <c r="K52" s="310"/>
      <c r="L52" s="310">
        <f t="shared" si="13"/>
        <v>490</v>
      </c>
      <c r="M52" s="310"/>
      <c r="N52" s="311">
        <f t="shared" si="14"/>
        <v>5390</v>
      </c>
      <c r="O52" s="312">
        <f t="shared" si="15"/>
        <v>0</v>
      </c>
      <c r="P52" s="309">
        <f t="shared" si="35"/>
        <v>900</v>
      </c>
      <c r="Q52" s="310">
        <f t="shared" si="16"/>
        <v>4500</v>
      </c>
      <c r="R52" s="309">
        <f t="shared" si="36"/>
        <v>0</v>
      </c>
      <c r="S52" s="310">
        <f t="shared" si="17"/>
        <v>4500</v>
      </c>
      <c r="T52" s="312">
        <f t="shared" si="18"/>
        <v>400</v>
      </c>
      <c r="U52" s="313" t="str">
        <f t="shared" si="37"/>
        <v>Hays</v>
      </c>
      <c r="V52" s="309" t="str">
        <f t="shared" si="38"/>
        <v>MLC</v>
      </c>
      <c r="W52" s="314" t="str">
        <f t="shared" si="19"/>
        <v>2020-M03</v>
      </c>
      <c r="X52" s="314" t="str">
        <f t="shared" si="20"/>
        <v>2020-M03</v>
      </c>
    </row>
    <row r="53" spans="1:24" x14ac:dyDescent="0.25">
      <c r="A53" s="157" t="s">
        <v>664</v>
      </c>
      <c r="B53" s="157" t="s">
        <v>726</v>
      </c>
      <c r="C53" s="157" t="s">
        <v>159</v>
      </c>
      <c r="D53" s="157" t="s">
        <v>657</v>
      </c>
      <c r="E53" s="159">
        <v>5</v>
      </c>
      <c r="F53" s="369">
        <v>43730</v>
      </c>
      <c r="G53" s="374">
        <v>43745</v>
      </c>
      <c r="H53" s="157"/>
      <c r="I53" s="309">
        <f t="shared" si="34"/>
        <v>890.21</v>
      </c>
      <c r="J53" s="310">
        <f t="shared" si="12"/>
        <v>4451.05</v>
      </c>
      <c r="K53" s="310"/>
      <c r="L53" s="310">
        <f t="shared" si="13"/>
        <v>445.11</v>
      </c>
      <c r="M53" s="310"/>
      <c r="N53" s="311">
        <f t="shared" si="14"/>
        <v>4896.16</v>
      </c>
      <c r="O53" s="312">
        <f t="shared" si="15"/>
        <v>0</v>
      </c>
      <c r="P53" s="309">
        <f t="shared" si="35"/>
        <v>845.69949999999994</v>
      </c>
      <c r="Q53" s="310">
        <f t="shared" si="16"/>
        <v>4228.4974999999995</v>
      </c>
      <c r="R53" s="309">
        <f t="shared" si="36"/>
        <v>0</v>
      </c>
      <c r="S53" s="310">
        <f t="shared" si="17"/>
        <v>4228.4974999999995</v>
      </c>
      <c r="T53" s="312">
        <f t="shared" si="18"/>
        <v>222.55250000000069</v>
      </c>
      <c r="U53" s="313" t="str">
        <f t="shared" si="37"/>
        <v>Paxus</v>
      </c>
      <c r="V53" s="309" t="str">
        <f t="shared" si="38"/>
        <v>Energy Queensland</v>
      </c>
      <c r="W53" s="314" t="str">
        <f t="shared" si="19"/>
        <v>2020-M03</v>
      </c>
      <c r="X53" s="314" t="str">
        <f t="shared" si="20"/>
        <v>2020-M04</v>
      </c>
    </row>
    <row r="54" spans="1:24" x14ac:dyDescent="0.25">
      <c r="A54" s="158" t="s">
        <v>147</v>
      </c>
      <c r="B54" s="158" t="s">
        <v>145</v>
      </c>
      <c r="C54" s="158" t="s">
        <v>923</v>
      </c>
      <c r="D54" s="158" t="s">
        <v>57</v>
      </c>
      <c r="E54" s="159">
        <v>10</v>
      </c>
      <c r="F54" s="369">
        <v>43737</v>
      </c>
      <c r="G54" s="374">
        <v>43741</v>
      </c>
      <c r="H54" s="157"/>
      <c r="I54" s="309">
        <f t="shared" si="34"/>
        <v>1000</v>
      </c>
      <c r="J54" s="310">
        <f t="shared" si="12"/>
        <v>10000</v>
      </c>
      <c r="K54" s="310"/>
      <c r="L54" s="310">
        <f t="shared" si="13"/>
        <v>1000</v>
      </c>
      <c r="M54" s="310"/>
      <c r="N54" s="311">
        <f t="shared" si="14"/>
        <v>11000</v>
      </c>
      <c r="O54" s="312">
        <f t="shared" si="15"/>
        <v>0</v>
      </c>
      <c r="P54" s="309">
        <f t="shared" si="35"/>
        <v>980</v>
      </c>
      <c r="Q54" s="310">
        <f t="shared" si="16"/>
        <v>9800</v>
      </c>
      <c r="R54" s="309">
        <f t="shared" si="36"/>
        <v>0</v>
      </c>
      <c r="S54" s="310">
        <f t="shared" si="17"/>
        <v>9800</v>
      </c>
      <c r="T54" s="312">
        <f t="shared" si="18"/>
        <v>200</v>
      </c>
      <c r="U54" s="313" t="str">
        <f t="shared" si="37"/>
        <v>M&amp;T Resources</v>
      </c>
      <c r="V54" s="309" t="str">
        <f t="shared" si="38"/>
        <v>Energy Queensland</v>
      </c>
      <c r="W54" s="314" t="str">
        <f t="shared" si="19"/>
        <v>2020-M03</v>
      </c>
      <c r="X54" s="314" t="str">
        <f t="shared" si="20"/>
        <v>2020-M04</v>
      </c>
    </row>
    <row r="55" spans="1:24" x14ac:dyDescent="0.25">
      <c r="A55" s="158" t="s">
        <v>147</v>
      </c>
      <c r="B55" s="158" t="s">
        <v>695</v>
      </c>
      <c r="C55" s="158" t="s">
        <v>923</v>
      </c>
      <c r="D55" s="158" t="s">
        <v>669</v>
      </c>
      <c r="E55" s="159">
        <v>10</v>
      </c>
      <c r="F55" s="369">
        <v>43737</v>
      </c>
      <c r="G55" s="374">
        <v>43741</v>
      </c>
      <c r="H55" s="157"/>
      <c r="I55" s="309">
        <f t="shared" si="34"/>
        <v>900</v>
      </c>
      <c r="J55" s="310">
        <f t="shared" si="12"/>
        <v>9000</v>
      </c>
      <c r="K55" s="310"/>
      <c r="L55" s="310">
        <f t="shared" si="13"/>
        <v>900</v>
      </c>
      <c r="M55" s="310"/>
      <c r="N55" s="311">
        <f t="shared" si="14"/>
        <v>9900</v>
      </c>
      <c r="O55" s="312">
        <f t="shared" si="15"/>
        <v>0</v>
      </c>
      <c r="P55" s="309">
        <f t="shared" si="35"/>
        <v>855</v>
      </c>
      <c r="Q55" s="310">
        <f t="shared" si="16"/>
        <v>8550</v>
      </c>
      <c r="R55" s="309">
        <f t="shared" si="36"/>
        <v>0</v>
      </c>
      <c r="S55" s="310">
        <f t="shared" si="17"/>
        <v>8550</v>
      </c>
      <c r="T55" s="312">
        <f t="shared" si="18"/>
        <v>450</v>
      </c>
      <c r="U55" s="313" t="str">
        <f t="shared" si="37"/>
        <v>M&amp;T Resources</v>
      </c>
      <c r="V55" s="309" t="str">
        <f t="shared" si="38"/>
        <v>Energy Queensland</v>
      </c>
      <c r="W55" s="314" t="str">
        <f t="shared" si="19"/>
        <v>2020-M03</v>
      </c>
      <c r="X55" s="314" t="str">
        <f t="shared" si="20"/>
        <v>2020-M04</v>
      </c>
    </row>
    <row r="56" spans="1:24" x14ac:dyDescent="0.25">
      <c r="A56" s="158" t="s">
        <v>158</v>
      </c>
      <c r="B56" s="158" t="s">
        <v>731</v>
      </c>
      <c r="C56" s="158" t="s">
        <v>927</v>
      </c>
      <c r="D56" s="158" t="s">
        <v>55</v>
      </c>
      <c r="E56" s="159">
        <v>5</v>
      </c>
      <c r="F56" s="369">
        <v>43735</v>
      </c>
      <c r="G56" s="374">
        <v>43740</v>
      </c>
      <c r="H56" s="157"/>
      <c r="I56" s="309">
        <f t="shared" si="34"/>
        <v>980</v>
      </c>
      <c r="J56" s="310">
        <f t="shared" si="12"/>
        <v>4900</v>
      </c>
      <c r="K56" s="310"/>
      <c r="L56" s="310">
        <f t="shared" si="13"/>
        <v>490</v>
      </c>
      <c r="M56" s="310"/>
      <c r="N56" s="311">
        <f t="shared" si="14"/>
        <v>5390</v>
      </c>
      <c r="O56" s="312">
        <f t="shared" si="15"/>
        <v>0</v>
      </c>
      <c r="P56" s="309">
        <f t="shared" si="35"/>
        <v>900</v>
      </c>
      <c r="Q56" s="310">
        <f t="shared" si="16"/>
        <v>4500</v>
      </c>
      <c r="R56" s="309">
        <f t="shared" si="36"/>
        <v>0</v>
      </c>
      <c r="S56" s="310">
        <f t="shared" si="17"/>
        <v>4500</v>
      </c>
      <c r="T56" s="312">
        <f t="shared" si="18"/>
        <v>400</v>
      </c>
      <c r="U56" s="313" t="str">
        <f t="shared" si="37"/>
        <v>Hays</v>
      </c>
      <c r="V56" s="309" t="str">
        <f t="shared" si="38"/>
        <v>MLC</v>
      </c>
      <c r="W56" s="314" t="str">
        <f t="shared" si="19"/>
        <v>2020-M03</v>
      </c>
      <c r="X56" s="314" t="str">
        <f t="shared" si="20"/>
        <v>2020-M04</v>
      </c>
    </row>
    <row r="57" spans="1:24" x14ac:dyDescent="0.25">
      <c r="A57" s="157" t="s">
        <v>145</v>
      </c>
      <c r="B57" s="157" t="s">
        <v>157</v>
      </c>
      <c r="C57" s="158" t="s">
        <v>664</v>
      </c>
      <c r="D57" s="157" t="s">
        <v>649</v>
      </c>
      <c r="E57" s="159">
        <v>16.5</v>
      </c>
      <c r="F57" s="369">
        <v>43746</v>
      </c>
      <c r="G57" s="374">
        <v>43747</v>
      </c>
      <c r="H57" s="157"/>
      <c r="I57" s="309">
        <f t="shared" si="34"/>
        <v>700</v>
      </c>
      <c r="J57" s="310">
        <f t="shared" si="12"/>
        <v>11550</v>
      </c>
      <c r="K57" s="310"/>
      <c r="L57" s="310">
        <f t="shared" si="13"/>
        <v>1155</v>
      </c>
      <c r="M57" s="310"/>
      <c r="N57" s="311">
        <f t="shared" si="14"/>
        <v>12705</v>
      </c>
      <c r="O57" s="312">
        <f t="shared" si="15"/>
        <v>0</v>
      </c>
      <c r="P57" s="309">
        <f t="shared" si="35"/>
        <v>665</v>
      </c>
      <c r="Q57" s="310">
        <f t="shared" si="16"/>
        <v>10972.5</v>
      </c>
      <c r="R57" s="309">
        <f t="shared" si="36"/>
        <v>1097.25</v>
      </c>
      <c r="S57" s="310">
        <f t="shared" si="17"/>
        <v>12069.75</v>
      </c>
      <c r="T57" s="312">
        <f t="shared" si="18"/>
        <v>577.5</v>
      </c>
      <c r="U57" s="313" t="str">
        <f t="shared" si="37"/>
        <v>Taggle Systems</v>
      </c>
      <c r="V57" s="309" t="str">
        <f t="shared" si="38"/>
        <v>Taggle</v>
      </c>
      <c r="W57" s="314" t="str">
        <f t="shared" si="19"/>
        <v>2020-M04</v>
      </c>
      <c r="X57" s="314" t="str">
        <f t="shared" si="20"/>
        <v>2020-M04</v>
      </c>
    </row>
    <row r="58" spans="1:24" x14ac:dyDescent="0.25">
      <c r="A58" s="158" t="s">
        <v>158</v>
      </c>
      <c r="B58" s="158" t="s">
        <v>731</v>
      </c>
      <c r="C58" s="158" t="s">
        <v>694</v>
      </c>
      <c r="D58" s="158" t="s">
        <v>55</v>
      </c>
      <c r="E58" s="159">
        <v>5</v>
      </c>
      <c r="F58" s="369">
        <v>43742</v>
      </c>
      <c r="G58" s="374">
        <v>43742</v>
      </c>
      <c r="H58" s="157"/>
      <c r="I58" s="309">
        <f t="shared" si="34"/>
        <v>980</v>
      </c>
      <c r="J58" s="310">
        <f t="shared" si="12"/>
        <v>4900</v>
      </c>
      <c r="K58" s="310"/>
      <c r="L58" s="310">
        <f t="shared" si="13"/>
        <v>490</v>
      </c>
      <c r="M58" s="310"/>
      <c r="N58" s="311">
        <f t="shared" si="14"/>
        <v>5390</v>
      </c>
      <c r="O58" s="312">
        <f t="shared" si="15"/>
        <v>0</v>
      </c>
      <c r="P58" s="309">
        <f t="shared" si="35"/>
        <v>900</v>
      </c>
      <c r="Q58" s="310">
        <f t="shared" si="16"/>
        <v>4500</v>
      </c>
      <c r="R58" s="309">
        <f t="shared" si="36"/>
        <v>0</v>
      </c>
      <c r="S58" s="310">
        <f t="shared" si="17"/>
        <v>4500</v>
      </c>
      <c r="T58" s="312">
        <f t="shared" si="18"/>
        <v>400</v>
      </c>
      <c r="U58" s="313" t="str">
        <f t="shared" si="37"/>
        <v>Hays</v>
      </c>
      <c r="V58" s="309" t="str">
        <f t="shared" si="38"/>
        <v>MLC</v>
      </c>
      <c r="W58" s="314" t="str">
        <f t="shared" si="19"/>
        <v>2020-M04</v>
      </c>
      <c r="X58" s="314" t="str">
        <f t="shared" si="20"/>
        <v>2020-M04</v>
      </c>
    </row>
    <row r="59" spans="1:24" x14ac:dyDescent="0.25">
      <c r="A59" s="158" t="s">
        <v>158</v>
      </c>
      <c r="B59" s="158" t="s">
        <v>731</v>
      </c>
      <c r="C59" s="158" t="s">
        <v>781</v>
      </c>
      <c r="D59" s="158" t="s">
        <v>55</v>
      </c>
      <c r="E59" s="159">
        <v>4</v>
      </c>
      <c r="F59" s="369">
        <v>43749</v>
      </c>
      <c r="G59" s="374">
        <v>43749</v>
      </c>
      <c r="H59" s="157"/>
      <c r="I59" s="309">
        <f>IF(ISBLANK(B59),0,VLOOKUP(A59&amp;B59,Project,3))</f>
        <v>980</v>
      </c>
      <c r="J59" s="310">
        <f>E59*I59</f>
        <v>3920</v>
      </c>
      <c r="K59" s="310"/>
      <c r="L59" s="310">
        <f>ROUND((J59+K59)*0.1,2)</f>
        <v>392</v>
      </c>
      <c r="M59" s="310"/>
      <c r="N59" s="311">
        <f>SUM(J59:M59)</f>
        <v>4312</v>
      </c>
      <c r="O59" s="312">
        <f>IF(ISBLANK(G59),N59,0)</f>
        <v>0</v>
      </c>
      <c r="P59" s="309">
        <f>IF(ISBLANK(C59),0,VLOOKUP(A59&amp;B59,Project,4))</f>
        <v>900</v>
      </c>
      <c r="Q59" s="310">
        <f>E59*P59</f>
        <v>3600</v>
      </c>
      <c r="R59" s="309">
        <f>IF(ISBLANK(C59),0,VLOOKUP(A59&amp;B59,Project,5))*Q59*0.1</f>
        <v>0</v>
      </c>
      <c r="S59" s="310">
        <f>SUM(Q59:R59)</f>
        <v>3600</v>
      </c>
      <c r="T59" s="312">
        <f>IF(Q59=0,0,J59-Q59)</f>
        <v>320</v>
      </c>
      <c r="U59" s="313" t="str">
        <f>IF(ISBLANK($A59),"",VLOOKUP($A59,Customer,2))</f>
        <v>Hays</v>
      </c>
      <c r="V59" s="309" t="str">
        <f>IF(ISBLANK($A59),"",VLOOKUP(CONCATENATE($A59,$B59),invProject,2))</f>
        <v>MLC</v>
      </c>
      <c r="W59" s="314" t="str">
        <f>GETPERIOD(F59)</f>
        <v>2020-M04</v>
      </c>
      <c r="X59" s="314" t="str">
        <f>GETPERIOD(G59)</f>
        <v>2020-M04</v>
      </c>
    </row>
    <row r="60" spans="1:24" x14ac:dyDescent="0.25">
      <c r="A60" s="158" t="s">
        <v>664</v>
      </c>
      <c r="B60" s="158" t="s">
        <v>726</v>
      </c>
      <c r="C60" s="158" t="s">
        <v>664</v>
      </c>
      <c r="D60" s="158" t="s">
        <v>657</v>
      </c>
      <c r="E60" s="159">
        <v>5</v>
      </c>
      <c r="F60" s="369">
        <v>43737</v>
      </c>
      <c r="G60" s="374">
        <v>43752</v>
      </c>
      <c r="H60" s="157"/>
      <c r="I60" s="309">
        <f t="shared" si="34"/>
        <v>890.21</v>
      </c>
      <c r="J60" s="310">
        <f t="shared" si="12"/>
        <v>4451.05</v>
      </c>
      <c r="K60" s="310"/>
      <c r="L60" s="310">
        <f t="shared" si="13"/>
        <v>445.11</v>
      </c>
      <c r="M60" s="310"/>
      <c r="N60" s="311">
        <f t="shared" si="14"/>
        <v>4896.16</v>
      </c>
      <c r="O60" s="312">
        <f t="shared" si="15"/>
        <v>0</v>
      </c>
      <c r="P60" s="309">
        <f t="shared" si="35"/>
        <v>845.69949999999994</v>
      </c>
      <c r="Q60" s="310">
        <f t="shared" si="16"/>
        <v>4228.4974999999995</v>
      </c>
      <c r="R60" s="309">
        <f t="shared" si="36"/>
        <v>0</v>
      </c>
      <c r="S60" s="310">
        <f t="shared" si="17"/>
        <v>4228.4974999999995</v>
      </c>
      <c r="T60" s="312">
        <f t="shared" si="18"/>
        <v>222.55250000000069</v>
      </c>
      <c r="U60" s="313" t="str">
        <f t="shared" si="37"/>
        <v>Paxus</v>
      </c>
      <c r="V60" s="309" t="str">
        <f t="shared" si="38"/>
        <v>Energy Queensland</v>
      </c>
      <c r="W60" s="314" t="str">
        <f t="shared" si="19"/>
        <v>2020-M03</v>
      </c>
      <c r="X60" s="314" t="str">
        <f t="shared" si="20"/>
        <v>2020-M04</v>
      </c>
    </row>
    <row r="61" spans="1:24" x14ac:dyDescent="0.25">
      <c r="A61" s="158"/>
      <c r="B61" s="158"/>
      <c r="C61" s="158"/>
      <c r="D61" s="158"/>
      <c r="E61" s="159"/>
      <c r="F61" s="369"/>
      <c r="G61" s="374"/>
      <c r="H61" s="157"/>
      <c r="I61" s="309">
        <f t="shared" si="34"/>
        <v>0</v>
      </c>
      <c r="J61" s="310">
        <f t="shared" si="12"/>
        <v>0</v>
      </c>
      <c r="K61" s="310"/>
      <c r="L61" s="310">
        <f t="shared" si="13"/>
        <v>0</v>
      </c>
      <c r="M61" s="310"/>
      <c r="N61" s="311">
        <f t="shared" si="14"/>
        <v>0</v>
      </c>
      <c r="O61" s="312">
        <f t="shared" si="15"/>
        <v>0</v>
      </c>
      <c r="P61" s="309">
        <f t="shared" si="35"/>
        <v>0</v>
      </c>
      <c r="Q61" s="310">
        <f t="shared" si="16"/>
        <v>0</v>
      </c>
      <c r="R61" s="309">
        <f t="shared" si="36"/>
        <v>0</v>
      </c>
      <c r="S61" s="310">
        <f t="shared" si="17"/>
        <v>0</v>
      </c>
      <c r="T61" s="312">
        <f t="shared" si="18"/>
        <v>0</v>
      </c>
      <c r="U61" s="313" t="str">
        <f t="shared" si="37"/>
        <v/>
      </c>
      <c r="V61" s="309" t="str">
        <f t="shared" si="38"/>
        <v/>
      </c>
      <c r="W61" s="314" t="str">
        <f t="shared" si="19"/>
        <v/>
      </c>
      <c r="X61" s="314" t="str">
        <f t="shared" si="20"/>
        <v/>
      </c>
    </row>
    <row r="62" spans="1:24" x14ac:dyDescent="0.25">
      <c r="A62" s="158"/>
      <c r="B62" s="158"/>
      <c r="C62" s="158"/>
      <c r="D62" s="158"/>
      <c r="E62" s="159"/>
      <c r="F62" s="369"/>
      <c r="G62" s="374"/>
      <c r="H62" s="157"/>
      <c r="I62" s="309">
        <f t="shared" si="34"/>
        <v>0</v>
      </c>
      <c r="J62" s="310">
        <f t="shared" si="12"/>
        <v>0</v>
      </c>
      <c r="K62" s="310"/>
      <c r="L62" s="310">
        <f t="shared" si="13"/>
        <v>0</v>
      </c>
      <c r="M62" s="310"/>
      <c r="N62" s="311">
        <f t="shared" si="14"/>
        <v>0</v>
      </c>
      <c r="O62" s="312">
        <f t="shared" si="15"/>
        <v>0</v>
      </c>
      <c r="P62" s="309">
        <f t="shared" si="35"/>
        <v>0</v>
      </c>
      <c r="Q62" s="310">
        <f t="shared" si="16"/>
        <v>0</v>
      </c>
      <c r="R62" s="309">
        <f t="shared" si="36"/>
        <v>0</v>
      </c>
      <c r="S62" s="310">
        <f t="shared" si="17"/>
        <v>0</v>
      </c>
      <c r="T62" s="312">
        <f t="shared" si="18"/>
        <v>0</v>
      </c>
      <c r="U62" s="313" t="str">
        <f t="shared" si="37"/>
        <v/>
      </c>
      <c r="V62" s="309" t="str">
        <f t="shared" si="38"/>
        <v/>
      </c>
      <c r="W62" s="314" t="str">
        <f t="shared" si="19"/>
        <v/>
      </c>
      <c r="X62" s="314" t="str">
        <f t="shared" si="20"/>
        <v/>
      </c>
    </row>
    <row r="63" spans="1:24" x14ac:dyDescent="0.25">
      <c r="A63" s="158"/>
      <c r="B63" s="158"/>
      <c r="C63" s="158"/>
      <c r="D63" s="158"/>
      <c r="E63" s="159"/>
      <c r="F63" s="369"/>
      <c r="G63" s="374"/>
      <c r="H63" s="157"/>
      <c r="I63" s="309">
        <f t="shared" si="34"/>
        <v>0</v>
      </c>
      <c r="J63" s="310">
        <f t="shared" si="12"/>
        <v>0</v>
      </c>
      <c r="K63" s="310"/>
      <c r="L63" s="310">
        <f t="shared" si="13"/>
        <v>0</v>
      </c>
      <c r="M63" s="310"/>
      <c r="N63" s="311">
        <f t="shared" si="14"/>
        <v>0</v>
      </c>
      <c r="O63" s="312">
        <f t="shared" si="15"/>
        <v>0</v>
      </c>
      <c r="P63" s="309">
        <f t="shared" si="35"/>
        <v>0</v>
      </c>
      <c r="Q63" s="310">
        <f t="shared" si="16"/>
        <v>0</v>
      </c>
      <c r="R63" s="309">
        <f t="shared" si="36"/>
        <v>0</v>
      </c>
      <c r="S63" s="310">
        <f t="shared" si="17"/>
        <v>0</v>
      </c>
      <c r="T63" s="312">
        <f t="shared" si="18"/>
        <v>0</v>
      </c>
      <c r="U63" s="313" t="str">
        <f t="shared" si="37"/>
        <v/>
      </c>
      <c r="V63" s="309" t="str">
        <f t="shared" si="38"/>
        <v/>
      </c>
      <c r="W63" s="314" t="str">
        <f t="shared" si="19"/>
        <v/>
      </c>
      <c r="X63" s="314" t="str">
        <f t="shared" si="20"/>
        <v/>
      </c>
    </row>
    <row r="64" spans="1:24" x14ac:dyDescent="0.25">
      <c r="A64" s="158"/>
      <c r="B64" s="158"/>
      <c r="C64" s="158"/>
      <c r="D64" s="158"/>
      <c r="E64" s="159"/>
      <c r="F64" s="369"/>
      <c r="G64" s="374"/>
      <c r="H64" s="157"/>
      <c r="I64" s="309">
        <f t="shared" si="34"/>
        <v>0</v>
      </c>
      <c r="J64" s="310">
        <f t="shared" si="12"/>
        <v>0</v>
      </c>
      <c r="K64" s="310"/>
      <c r="L64" s="310">
        <f t="shared" si="13"/>
        <v>0</v>
      </c>
      <c r="M64" s="310"/>
      <c r="N64" s="311">
        <f t="shared" si="14"/>
        <v>0</v>
      </c>
      <c r="O64" s="312">
        <f t="shared" si="15"/>
        <v>0</v>
      </c>
      <c r="P64" s="309">
        <f t="shared" si="35"/>
        <v>0</v>
      </c>
      <c r="Q64" s="310">
        <f t="shared" si="16"/>
        <v>0</v>
      </c>
      <c r="R64" s="309">
        <f t="shared" si="36"/>
        <v>0</v>
      </c>
      <c r="S64" s="310">
        <f t="shared" si="17"/>
        <v>0</v>
      </c>
      <c r="T64" s="312">
        <f t="shared" si="18"/>
        <v>0</v>
      </c>
      <c r="U64" s="313" t="str">
        <f t="shared" si="37"/>
        <v/>
      </c>
      <c r="V64" s="309" t="str">
        <f t="shared" si="38"/>
        <v/>
      </c>
      <c r="W64" s="314" t="str">
        <f t="shared" si="19"/>
        <v/>
      </c>
      <c r="X64" s="314" t="str">
        <f t="shared" si="20"/>
        <v/>
      </c>
    </row>
    <row r="65" spans="1:24" x14ac:dyDescent="0.25">
      <c r="A65" s="158"/>
      <c r="B65" s="158"/>
      <c r="C65" s="158"/>
      <c r="D65" s="158"/>
      <c r="E65" s="159"/>
      <c r="F65" s="369"/>
      <c r="G65" s="374"/>
      <c r="H65" s="157"/>
      <c r="I65" s="309">
        <f>IF(ISBLANK(B65),0,VLOOKUP(A65&amp;B65,Project,3))</f>
        <v>0</v>
      </c>
      <c r="J65" s="310">
        <f>E65*I65</f>
        <v>0</v>
      </c>
      <c r="K65" s="310"/>
      <c r="L65" s="310">
        <f>ROUND((J65+K65)*0.1,2)</f>
        <v>0</v>
      </c>
      <c r="M65" s="310"/>
      <c r="N65" s="311">
        <f>SUM(J65:M65)</f>
        <v>0</v>
      </c>
      <c r="O65" s="312">
        <f>IF(ISBLANK(G65),N65,0)</f>
        <v>0</v>
      </c>
      <c r="P65" s="309">
        <f>IF(ISBLANK(C65),0,VLOOKUP(A65&amp;B65,Project,4))</f>
        <v>0</v>
      </c>
      <c r="Q65" s="310">
        <f>E65*P65</f>
        <v>0</v>
      </c>
      <c r="R65" s="309">
        <f>IF(ISBLANK(C65),0,VLOOKUP(A65&amp;B65,Project,5))*Q65*0.1</f>
        <v>0</v>
      </c>
      <c r="S65" s="310">
        <f>SUM(Q65:R65)</f>
        <v>0</v>
      </c>
      <c r="T65" s="312">
        <f>IF(Q65=0,0,J65-Q65)</f>
        <v>0</v>
      </c>
      <c r="U65" s="313" t="str">
        <f>IF(ISBLANK($A65),"",VLOOKUP($A65,Customer,2))</f>
        <v/>
      </c>
      <c r="V65" s="309" t="str">
        <f>IF(ISBLANK($A65),"",VLOOKUP(CONCATENATE($A65,$B65),invProject,2))</f>
        <v/>
      </c>
      <c r="W65" s="314" t="str">
        <f>GETPERIOD(F65)</f>
        <v/>
      </c>
      <c r="X65" s="314" t="str">
        <f>GETPERIOD(G65)</f>
        <v/>
      </c>
    </row>
    <row r="66" spans="1:24" x14ac:dyDescent="0.25">
      <c r="A66" s="158"/>
      <c r="B66" s="158"/>
      <c r="C66" s="158"/>
      <c r="D66" s="158"/>
      <c r="E66" s="159"/>
      <c r="F66" s="369"/>
      <c r="G66" s="374"/>
      <c r="H66" s="157"/>
      <c r="I66" s="309">
        <f t="shared" si="34"/>
        <v>0</v>
      </c>
      <c r="J66" s="310">
        <f t="shared" si="12"/>
        <v>0</v>
      </c>
      <c r="K66" s="310"/>
      <c r="L66" s="310">
        <f t="shared" si="13"/>
        <v>0</v>
      </c>
      <c r="M66" s="310"/>
      <c r="N66" s="311">
        <f t="shared" si="14"/>
        <v>0</v>
      </c>
      <c r="O66" s="312">
        <f t="shared" si="15"/>
        <v>0</v>
      </c>
      <c r="P66" s="309">
        <f t="shared" si="35"/>
        <v>0</v>
      </c>
      <c r="Q66" s="310">
        <f t="shared" si="16"/>
        <v>0</v>
      </c>
      <c r="R66" s="309">
        <f t="shared" si="36"/>
        <v>0</v>
      </c>
      <c r="S66" s="310">
        <f t="shared" si="17"/>
        <v>0</v>
      </c>
      <c r="T66" s="312">
        <f t="shared" si="18"/>
        <v>0</v>
      </c>
      <c r="U66" s="313" t="str">
        <f t="shared" si="37"/>
        <v/>
      </c>
      <c r="V66" s="309" t="str">
        <f t="shared" si="38"/>
        <v/>
      </c>
      <c r="W66" s="314" t="str">
        <f t="shared" si="19"/>
        <v/>
      </c>
      <c r="X66" s="314" t="str">
        <f t="shared" si="20"/>
        <v/>
      </c>
    </row>
    <row r="67" spans="1:24" x14ac:dyDescent="0.25">
      <c r="A67" s="158"/>
      <c r="B67" s="158"/>
      <c r="C67" s="158"/>
      <c r="D67" s="158"/>
      <c r="E67" s="159"/>
      <c r="F67" s="369"/>
      <c r="G67" s="374"/>
      <c r="H67" s="157"/>
      <c r="I67" s="309">
        <f t="shared" ref="I67:I98" si="51">IF(ISBLANK(B67),0,VLOOKUP(A67&amp;B67,Project,3))</f>
        <v>0</v>
      </c>
      <c r="J67" s="310">
        <f t="shared" si="12"/>
        <v>0</v>
      </c>
      <c r="K67" s="310"/>
      <c r="L67" s="310">
        <f t="shared" si="13"/>
        <v>0</v>
      </c>
      <c r="M67" s="310"/>
      <c r="N67" s="311">
        <f t="shared" si="14"/>
        <v>0</v>
      </c>
      <c r="O67" s="312">
        <f t="shared" si="15"/>
        <v>0</v>
      </c>
      <c r="P67" s="309">
        <f t="shared" ref="P67:P98" si="52">IF(ISBLANK(C67),0,VLOOKUP(A67&amp;B67,Project,4))</f>
        <v>0</v>
      </c>
      <c r="Q67" s="310">
        <f t="shared" si="16"/>
        <v>0</v>
      </c>
      <c r="R67" s="309">
        <f t="shared" ref="R67:R98" si="53">IF(ISBLANK(C67),0,VLOOKUP(A67&amp;B67,Project,5))*Q67*0.1</f>
        <v>0</v>
      </c>
      <c r="S67" s="310">
        <f t="shared" si="17"/>
        <v>0</v>
      </c>
      <c r="T67" s="312">
        <f t="shared" si="18"/>
        <v>0</v>
      </c>
      <c r="U67" s="313" t="str">
        <f t="shared" si="37"/>
        <v/>
      </c>
      <c r="V67" s="309" t="str">
        <f t="shared" si="38"/>
        <v/>
      </c>
      <c r="W67" s="314" t="str">
        <f t="shared" si="19"/>
        <v/>
      </c>
      <c r="X67" s="314" t="str">
        <f t="shared" si="20"/>
        <v/>
      </c>
    </row>
    <row r="68" spans="1:24" x14ac:dyDescent="0.25">
      <c r="A68" s="157"/>
      <c r="B68" s="157"/>
      <c r="C68" s="157"/>
      <c r="D68" s="158"/>
      <c r="E68" s="159"/>
      <c r="F68" s="369"/>
      <c r="G68" s="374"/>
      <c r="H68" s="157"/>
      <c r="I68" s="309">
        <f t="shared" si="51"/>
        <v>0</v>
      </c>
      <c r="J68" s="310">
        <f t="shared" ref="J68:J131" si="54">E68*I68</f>
        <v>0</v>
      </c>
      <c r="K68" s="310"/>
      <c r="L68" s="310">
        <f t="shared" ref="L68:L131" si="55">ROUND((J68+K68)*0.1,2)</f>
        <v>0</v>
      </c>
      <c r="M68" s="310"/>
      <c r="N68" s="311">
        <f t="shared" ref="N68:N131" si="56">SUM(J68:M68)</f>
        <v>0</v>
      </c>
      <c r="O68" s="312">
        <f t="shared" ref="O68:O131" si="57">IF(ISBLANK(G68),N68,0)</f>
        <v>0</v>
      </c>
      <c r="P68" s="309">
        <f t="shared" si="52"/>
        <v>0</v>
      </c>
      <c r="Q68" s="310">
        <f t="shared" ref="Q68:Q131" si="58">E68*P68</f>
        <v>0</v>
      </c>
      <c r="R68" s="309">
        <f t="shared" si="53"/>
        <v>0</v>
      </c>
      <c r="S68" s="310">
        <f t="shared" ref="S68:S131" si="59">SUM(Q68:R68)</f>
        <v>0</v>
      </c>
      <c r="T68" s="312">
        <f t="shared" ref="T68:T131" si="60">IF(Q68=0,0,J68-Q68)</f>
        <v>0</v>
      </c>
      <c r="U68" s="313" t="str">
        <f t="shared" si="37"/>
        <v/>
      </c>
      <c r="V68" s="309" t="str">
        <f t="shared" si="38"/>
        <v/>
      </c>
      <c r="W68" s="314" t="str">
        <f t="shared" ref="W68:W131" si="61">GETPERIOD(F68)</f>
        <v/>
      </c>
      <c r="X68" s="314" t="str">
        <f t="shared" ref="X68:X131" si="62">GETPERIOD(G68)</f>
        <v/>
      </c>
    </row>
    <row r="69" spans="1:24" x14ac:dyDescent="0.25">
      <c r="A69" s="158"/>
      <c r="B69" s="158"/>
      <c r="C69" s="158"/>
      <c r="D69" s="158"/>
      <c r="E69" s="159"/>
      <c r="F69" s="369"/>
      <c r="G69" s="374"/>
      <c r="H69" s="157"/>
      <c r="I69" s="309">
        <f t="shared" si="51"/>
        <v>0</v>
      </c>
      <c r="J69" s="310">
        <f t="shared" si="54"/>
        <v>0</v>
      </c>
      <c r="K69" s="310"/>
      <c r="L69" s="310">
        <f t="shared" si="55"/>
        <v>0</v>
      </c>
      <c r="M69" s="310"/>
      <c r="N69" s="311">
        <f t="shared" si="56"/>
        <v>0</v>
      </c>
      <c r="O69" s="312">
        <f t="shared" si="57"/>
        <v>0</v>
      </c>
      <c r="P69" s="309">
        <f t="shared" si="52"/>
        <v>0</v>
      </c>
      <c r="Q69" s="310">
        <f t="shared" si="58"/>
        <v>0</v>
      </c>
      <c r="R69" s="309">
        <f t="shared" si="53"/>
        <v>0</v>
      </c>
      <c r="S69" s="310">
        <f t="shared" si="59"/>
        <v>0</v>
      </c>
      <c r="T69" s="312">
        <f t="shared" si="60"/>
        <v>0</v>
      </c>
      <c r="U69" s="313" t="str">
        <f t="shared" ref="U69:U100" si="63">IF(ISBLANK($A69),"",VLOOKUP($A69,Customer,2))</f>
        <v/>
      </c>
      <c r="V69" s="309" t="str">
        <f t="shared" ref="V69:V100" si="64">IF(ISBLANK($A69),"",VLOOKUP(CONCATENATE($A69,$B69),invProject,2))</f>
        <v/>
      </c>
      <c r="W69" s="314" t="str">
        <f t="shared" si="61"/>
        <v/>
      </c>
      <c r="X69" s="314" t="str">
        <f t="shared" si="62"/>
        <v/>
      </c>
    </row>
    <row r="70" spans="1:24" x14ac:dyDescent="0.25">
      <c r="A70" s="158"/>
      <c r="B70" s="158"/>
      <c r="C70" s="158"/>
      <c r="D70" s="158"/>
      <c r="E70" s="159"/>
      <c r="F70" s="369"/>
      <c r="G70" s="374"/>
      <c r="H70" s="157"/>
      <c r="I70" s="309">
        <f t="shared" si="51"/>
        <v>0</v>
      </c>
      <c r="J70" s="310">
        <f t="shared" si="54"/>
        <v>0</v>
      </c>
      <c r="K70" s="310"/>
      <c r="L70" s="310">
        <f t="shared" si="55"/>
        <v>0</v>
      </c>
      <c r="M70" s="310"/>
      <c r="N70" s="311">
        <f t="shared" si="56"/>
        <v>0</v>
      </c>
      <c r="O70" s="312">
        <f t="shared" si="57"/>
        <v>0</v>
      </c>
      <c r="P70" s="309">
        <f t="shared" si="52"/>
        <v>0</v>
      </c>
      <c r="Q70" s="310">
        <f t="shared" si="58"/>
        <v>0</v>
      </c>
      <c r="R70" s="309">
        <f t="shared" si="53"/>
        <v>0</v>
      </c>
      <c r="S70" s="310">
        <f t="shared" si="59"/>
        <v>0</v>
      </c>
      <c r="T70" s="312">
        <f t="shared" si="60"/>
        <v>0</v>
      </c>
      <c r="U70" s="313" t="str">
        <f t="shared" si="63"/>
        <v/>
      </c>
      <c r="V70" s="309" t="str">
        <f t="shared" si="64"/>
        <v/>
      </c>
      <c r="W70" s="314" t="str">
        <f t="shared" si="61"/>
        <v/>
      </c>
      <c r="X70" s="314" t="str">
        <f t="shared" si="62"/>
        <v/>
      </c>
    </row>
    <row r="71" spans="1:24" x14ac:dyDescent="0.25">
      <c r="A71" s="158"/>
      <c r="B71" s="158"/>
      <c r="C71" s="158"/>
      <c r="D71" s="158"/>
      <c r="E71" s="159"/>
      <c r="F71" s="369"/>
      <c r="G71" s="374"/>
      <c r="H71" s="157"/>
      <c r="I71" s="309">
        <f t="shared" si="51"/>
        <v>0</v>
      </c>
      <c r="J71" s="310">
        <f t="shared" si="54"/>
        <v>0</v>
      </c>
      <c r="K71" s="310"/>
      <c r="L71" s="310">
        <f t="shared" si="55"/>
        <v>0</v>
      </c>
      <c r="M71" s="310"/>
      <c r="N71" s="311">
        <f t="shared" si="56"/>
        <v>0</v>
      </c>
      <c r="O71" s="312">
        <f t="shared" si="57"/>
        <v>0</v>
      </c>
      <c r="P71" s="309">
        <f t="shared" si="52"/>
        <v>0</v>
      </c>
      <c r="Q71" s="310">
        <f t="shared" si="58"/>
        <v>0</v>
      </c>
      <c r="R71" s="309">
        <f t="shared" si="53"/>
        <v>0</v>
      </c>
      <c r="S71" s="310">
        <f t="shared" si="59"/>
        <v>0</v>
      </c>
      <c r="T71" s="312">
        <f t="shared" si="60"/>
        <v>0</v>
      </c>
      <c r="U71" s="313" t="str">
        <f t="shared" si="63"/>
        <v/>
      </c>
      <c r="V71" s="309" t="str">
        <f t="shared" si="64"/>
        <v/>
      </c>
      <c r="W71" s="314" t="str">
        <f t="shared" si="61"/>
        <v/>
      </c>
      <c r="X71" s="314" t="str">
        <f t="shared" si="62"/>
        <v/>
      </c>
    </row>
    <row r="72" spans="1:24" x14ac:dyDescent="0.25">
      <c r="A72" s="158"/>
      <c r="B72" s="158"/>
      <c r="C72" s="158"/>
      <c r="D72" s="158"/>
      <c r="E72" s="159"/>
      <c r="F72" s="369"/>
      <c r="G72" s="374"/>
      <c r="H72" s="157"/>
      <c r="I72" s="309">
        <f t="shared" si="51"/>
        <v>0</v>
      </c>
      <c r="J72" s="310">
        <f t="shared" si="54"/>
        <v>0</v>
      </c>
      <c r="K72" s="310"/>
      <c r="L72" s="310">
        <f t="shared" si="55"/>
        <v>0</v>
      </c>
      <c r="M72" s="310"/>
      <c r="N72" s="311">
        <f t="shared" si="56"/>
        <v>0</v>
      </c>
      <c r="O72" s="312">
        <f t="shared" si="57"/>
        <v>0</v>
      </c>
      <c r="P72" s="309">
        <f t="shared" si="52"/>
        <v>0</v>
      </c>
      <c r="Q72" s="310">
        <f t="shared" si="58"/>
        <v>0</v>
      </c>
      <c r="R72" s="309">
        <f t="shared" si="53"/>
        <v>0</v>
      </c>
      <c r="S72" s="310">
        <f t="shared" si="59"/>
        <v>0</v>
      </c>
      <c r="T72" s="312">
        <f t="shared" si="60"/>
        <v>0</v>
      </c>
      <c r="U72" s="313" t="str">
        <f t="shared" si="63"/>
        <v/>
      </c>
      <c r="V72" s="309" t="str">
        <f t="shared" si="64"/>
        <v/>
      </c>
      <c r="W72" s="314" t="str">
        <f t="shared" si="61"/>
        <v/>
      </c>
      <c r="X72" s="314" t="str">
        <f t="shared" si="62"/>
        <v/>
      </c>
    </row>
    <row r="73" spans="1:24" x14ac:dyDescent="0.25">
      <c r="A73" s="158"/>
      <c r="B73" s="158"/>
      <c r="C73" s="158"/>
      <c r="D73" s="158"/>
      <c r="E73" s="159"/>
      <c r="F73" s="369"/>
      <c r="G73" s="374"/>
      <c r="H73" s="157"/>
      <c r="I73" s="309">
        <f t="shared" si="51"/>
        <v>0</v>
      </c>
      <c r="J73" s="310">
        <f t="shared" si="54"/>
        <v>0</v>
      </c>
      <c r="K73" s="310"/>
      <c r="L73" s="310">
        <f t="shared" si="55"/>
        <v>0</v>
      </c>
      <c r="M73" s="310"/>
      <c r="N73" s="311">
        <f t="shared" si="56"/>
        <v>0</v>
      </c>
      <c r="O73" s="312">
        <f t="shared" si="57"/>
        <v>0</v>
      </c>
      <c r="P73" s="309">
        <f t="shared" si="52"/>
        <v>0</v>
      </c>
      <c r="Q73" s="310">
        <f t="shared" si="58"/>
        <v>0</v>
      </c>
      <c r="R73" s="309">
        <f t="shared" si="53"/>
        <v>0</v>
      </c>
      <c r="S73" s="310">
        <f t="shared" si="59"/>
        <v>0</v>
      </c>
      <c r="T73" s="312">
        <f t="shared" si="60"/>
        <v>0</v>
      </c>
      <c r="U73" s="313" t="str">
        <f t="shared" si="63"/>
        <v/>
      </c>
      <c r="V73" s="309" t="str">
        <f t="shared" si="64"/>
        <v/>
      </c>
      <c r="W73" s="314" t="str">
        <f t="shared" si="61"/>
        <v/>
      </c>
      <c r="X73" s="314" t="str">
        <f t="shared" si="62"/>
        <v/>
      </c>
    </row>
    <row r="74" spans="1:24" x14ac:dyDescent="0.25">
      <c r="A74" s="157"/>
      <c r="B74" s="157"/>
      <c r="C74" s="157"/>
      <c r="D74" s="157"/>
      <c r="E74" s="159"/>
      <c r="F74" s="369"/>
      <c r="G74" s="374"/>
      <c r="H74" s="157"/>
      <c r="I74" s="309">
        <f>IF(ISBLANK(B74),0,VLOOKUP(A74&amp;B74,Project,3))</f>
        <v>0</v>
      </c>
      <c r="J74" s="310">
        <f>E74*I74</f>
        <v>0</v>
      </c>
      <c r="K74" s="310"/>
      <c r="L74" s="310">
        <f>ROUND((J74+K74)*0.1,2)</f>
        <v>0</v>
      </c>
      <c r="M74" s="310"/>
      <c r="N74" s="311">
        <f>SUM(J74:M74)</f>
        <v>0</v>
      </c>
      <c r="O74" s="312">
        <f>IF(ISBLANK(G74),N74,0)</f>
        <v>0</v>
      </c>
      <c r="P74" s="309">
        <f>IF(ISBLANK(C74),0,VLOOKUP(A74&amp;B74,Project,4))</f>
        <v>0</v>
      </c>
      <c r="Q74" s="310">
        <f>E74*P74</f>
        <v>0</v>
      </c>
      <c r="R74" s="309">
        <f>IF(ISBLANK(C74),0,VLOOKUP(A74&amp;B74,Project,5))*Q74*0.1</f>
        <v>0</v>
      </c>
      <c r="S74" s="310">
        <f>SUM(Q74:R74)</f>
        <v>0</v>
      </c>
      <c r="T74" s="312">
        <f>IF(Q74=0,0,J74-Q74)</f>
        <v>0</v>
      </c>
      <c r="U74" s="313" t="str">
        <f>IF(ISBLANK($A74),"",VLOOKUP($A74,Customer,2))</f>
        <v/>
      </c>
      <c r="V74" s="309" t="str">
        <f>IF(ISBLANK($A74),"",VLOOKUP(CONCATENATE($A74,$B74),invProject,2))</f>
        <v/>
      </c>
      <c r="W74" s="314" t="str">
        <f>GETPERIOD(F74)</f>
        <v/>
      </c>
      <c r="X74" s="314" t="str">
        <f>GETPERIOD(G74)</f>
        <v/>
      </c>
    </row>
    <row r="75" spans="1:24" x14ac:dyDescent="0.25">
      <c r="A75" s="157"/>
      <c r="B75" s="157"/>
      <c r="C75" s="157"/>
      <c r="D75" s="157"/>
      <c r="E75" s="159"/>
      <c r="F75" s="369"/>
      <c r="G75" s="374"/>
      <c r="H75" s="157"/>
      <c r="I75" s="309">
        <f>IF(ISBLANK(B75),0,VLOOKUP(A75&amp;B75,Project,3))</f>
        <v>0</v>
      </c>
      <c r="J75" s="310">
        <f>E75*I75</f>
        <v>0</v>
      </c>
      <c r="K75" s="310"/>
      <c r="L75" s="310">
        <f>ROUND((J75+K75)*0.1,2)</f>
        <v>0</v>
      </c>
      <c r="M75" s="310"/>
      <c r="N75" s="311">
        <f>SUM(J75:M75)</f>
        <v>0</v>
      </c>
      <c r="O75" s="312">
        <f>IF(ISBLANK(G75),N75,0)</f>
        <v>0</v>
      </c>
      <c r="P75" s="309">
        <f>IF(ISBLANK(C75),0,VLOOKUP(A75&amp;B75,Project,4))</f>
        <v>0</v>
      </c>
      <c r="Q75" s="310">
        <f>E75*P75</f>
        <v>0</v>
      </c>
      <c r="R75" s="309">
        <f>IF(ISBLANK(C75),0,VLOOKUP(A75&amp;B75,Project,5))*Q75*0.1</f>
        <v>0</v>
      </c>
      <c r="S75" s="310">
        <f>SUM(Q75:R75)</f>
        <v>0</v>
      </c>
      <c r="T75" s="312">
        <f>IF(Q75=0,0,J75-Q75)</f>
        <v>0</v>
      </c>
      <c r="U75" s="313" t="str">
        <f>IF(ISBLANK($A75),"",VLOOKUP($A75,Customer,2))</f>
        <v/>
      </c>
      <c r="V75" s="309" t="str">
        <f>IF(ISBLANK($A75),"",VLOOKUP(CONCATENATE($A75,$B75),invProject,2))</f>
        <v/>
      </c>
      <c r="W75" s="314" t="str">
        <f>GETPERIOD(F75)</f>
        <v/>
      </c>
      <c r="X75" s="314" t="str">
        <f>GETPERIOD(G75)</f>
        <v/>
      </c>
    </row>
    <row r="76" spans="1:24" x14ac:dyDescent="0.25">
      <c r="A76" s="157"/>
      <c r="B76" s="157"/>
      <c r="C76" s="157"/>
      <c r="D76" s="157"/>
      <c r="E76" s="159"/>
      <c r="F76" s="369"/>
      <c r="G76" s="374"/>
      <c r="H76" s="157"/>
      <c r="I76" s="309">
        <f t="shared" si="51"/>
        <v>0</v>
      </c>
      <c r="J76" s="310">
        <f t="shared" si="54"/>
        <v>0</v>
      </c>
      <c r="K76" s="310"/>
      <c r="L76" s="310">
        <f t="shared" si="55"/>
        <v>0</v>
      </c>
      <c r="M76" s="310"/>
      <c r="N76" s="311">
        <f t="shared" si="56"/>
        <v>0</v>
      </c>
      <c r="O76" s="312">
        <f t="shared" si="57"/>
        <v>0</v>
      </c>
      <c r="P76" s="309">
        <f t="shared" si="52"/>
        <v>0</v>
      </c>
      <c r="Q76" s="310">
        <f t="shared" si="58"/>
        <v>0</v>
      </c>
      <c r="R76" s="309">
        <f t="shared" si="53"/>
        <v>0</v>
      </c>
      <c r="S76" s="310">
        <f t="shared" si="59"/>
        <v>0</v>
      </c>
      <c r="T76" s="312">
        <f t="shared" si="60"/>
        <v>0</v>
      </c>
      <c r="U76" s="313" t="str">
        <f t="shared" si="63"/>
        <v/>
      </c>
      <c r="V76" s="309" t="str">
        <f t="shared" si="64"/>
        <v/>
      </c>
      <c r="W76" s="314" t="str">
        <f t="shared" si="61"/>
        <v/>
      </c>
      <c r="X76" s="314" t="str">
        <f t="shared" si="62"/>
        <v/>
      </c>
    </row>
    <row r="77" spans="1:24" x14ac:dyDescent="0.25">
      <c r="A77" s="157"/>
      <c r="B77" s="157"/>
      <c r="C77" s="157"/>
      <c r="D77" s="157"/>
      <c r="E77" s="159"/>
      <c r="F77" s="369"/>
      <c r="G77" s="374"/>
      <c r="H77" s="157"/>
      <c r="I77" s="309">
        <f t="shared" si="51"/>
        <v>0</v>
      </c>
      <c r="J77" s="310">
        <f t="shared" si="54"/>
        <v>0</v>
      </c>
      <c r="K77" s="310"/>
      <c r="L77" s="310">
        <f t="shared" si="55"/>
        <v>0</v>
      </c>
      <c r="M77" s="310"/>
      <c r="N77" s="311">
        <f t="shared" si="56"/>
        <v>0</v>
      </c>
      <c r="O77" s="312">
        <f t="shared" si="57"/>
        <v>0</v>
      </c>
      <c r="P77" s="309">
        <f t="shared" si="52"/>
        <v>0</v>
      </c>
      <c r="Q77" s="310">
        <f t="shared" si="58"/>
        <v>0</v>
      </c>
      <c r="R77" s="309">
        <f t="shared" si="53"/>
        <v>0</v>
      </c>
      <c r="S77" s="310">
        <f t="shared" si="59"/>
        <v>0</v>
      </c>
      <c r="T77" s="312">
        <f t="shared" si="60"/>
        <v>0</v>
      </c>
      <c r="U77" s="313" t="str">
        <f t="shared" si="63"/>
        <v/>
      </c>
      <c r="V77" s="309" t="str">
        <f t="shared" si="64"/>
        <v/>
      </c>
      <c r="W77" s="314" t="str">
        <f t="shared" si="61"/>
        <v/>
      </c>
      <c r="X77" s="314" t="str">
        <f t="shared" si="62"/>
        <v/>
      </c>
    </row>
    <row r="78" spans="1:24" x14ac:dyDescent="0.25">
      <c r="A78" s="158"/>
      <c r="B78" s="158"/>
      <c r="C78" s="158"/>
      <c r="D78" s="158"/>
      <c r="E78" s="159"/>
      <c r="F78" s="369"/>
      <c r="G78" s="374"/>
      <c r="H78" s="157"/>
      <c r="I78" s="309">
        <f>IF(ISBLANK(B78),0,VLOOKUP(A78&amp;B78,Project,3))</f>
        <v>0</v>
      </c>
      <c r="J78" s="310">
        <f>E78*I78</f>
        <v>0</v>
      </c>
      <c r="K78" s="310"/>
      <c r="L78" s="310">
        <f>ROUND((J78+K78)*0.1,2)</f>
        <v>0</v>
      </c>
      <c r="M78" s="310"/>
      <c r="N78" s="311">
        <f>SUM(J78:M78)</f>
        <v>0</v>
      </c>
      <c r="O78" s="312">
        <f>IF(ISBLANK(G78),N78,0)</f>
        <v>0</v>
      </c>
      <c r="P78" s="309">
        <f>IF(ISBLANK(C78),0,VLOOKUP(A78&amp;B78,Project,4))</f>
        <v>0</v>
      </c>
      <c r="Q78" s="310">
        <f>E78*P78</f>
        <v>0</v>
      </c>
      <c r="R78" s="309">
        <f>IF(ISBLANK(C78),0,VLOOKUP(A78&amp;B78,Project,5))*Q78*0.1</f>
        <v>0</v>
      </c>
      <c r="S78" s="310">
        <f>SUM(Q78:R78)</f>
        <v>0</v>
      </c>
      <c r="T78" s="312">
        <f>IF(Q78=0,0,J78-Q78)</f>
        <v>0</v>
      </c>
      <c r="U78" s="313" t="str">
        <f>IF(ISBLANK($A78),"",VLOOKUP($A78,Customer,2))</f>
        <v/>
      </c>
      <c r="V78" s="309" t="str">
        <f>IF(ISBLANK($A78),"",VLOOKUP(CONCATENATE($A78,$B78),invProject,2))</f>
        <v/>
      </c>
      <c r="W78" s="314" t="str">
        <f>GETPERIOD(F78)</f>
        <v/>
      </c>
      <c r="X78" s="314" t="str">
        <f>GETPERIOD(G78)</f>
        <v/>
      </c>
    </row>
    <row r="79" spans="1:24" x14ac:dyDescent="0.25">
      <c r="A79" s="158"/>
      <c r="B79" s="158"/>
      <c r="C79" s="158"/>
      <c r="D79" s="158"/>
      <c r="E79" s="159"/>
      <c r="F79" s="369"/>
      <c r="G79" s="374"/>
      <c r="H79" s="157"/>
      <c r="I79" s="309">
        <f t="shared" si="51"/>
        <v>0</v>
      </c>
      <c r="J79" s="310">
        <f t="shared" si="54"/>
        <v>0</v>
      </c>
      <c r="K79" s="310"/>
      <c r="L79" s="310">
        <f t="shared" si="55"/>
        <v>0</v>
      </c>
      <c r="M79" s="310"/>
      <c r="N79" s="311">
        <f t="shared" si="56"/>
        <v>0</v>
      </c>
      <c r="O79" s="312">
        <f t="shared" si="57"/>
        <v>0</v>
      </c>
      <c r="P79" s="309">
        <f t="shared" si="52"/>
        <v>0</v>
      </c>
      <c r="Q79" s="310">
        <f t="shared" si="58"/>
        <v>0</v>
      </c>
      <c r="R79" s="309">
        <f t="shared" si="53"/>
        <v>0</v>
      </c>
      <c r="S79" s="310">
        <f t="shared" si="59"/>
        <v>0</v>
      </c>
      <c r="T79" s="312">
        <f t="shared" si="60"/>
        <v>0</v>
      </c>
      <c r="U79" s="313" t="str">
        <f t="shared" si="63"/>
        <v/>
      </c>
      <c r="V79" s="309" t="str">
        <f t="shared" si="64"/>
        <v/>
      </c>
      <c r="W79" s="314" t="str">
        <f t="shared" si="61"/>
        <v/>
      </c>
      <c r="X79" s="314" t="str">
        <f t="shared" si="62"/>
        <v/>
      </c>
    </row>
    <row r="80" spans="1:24" x14ac:dyDescent="0.25">
      <c r="A80" s="157"/>
      <c r="B80" s="157"/>
      <c r="C80" s="157"/>
      <c r="D80" s="157"/>
      <c r="E80" s="159"/>
      <c r="F80" s="369"/>
      <c r="G80" s="374"/>
      <c r="H80" s="157"/>
      <c r="I80" s="309">
        <f>IF(ISBLANK(B80),0,VLOOKUP(A80&amp;B80,Project,3))</f>
        <v>0</v>
      </c>
      <c r="J80" s="310">
        <f>E80*I80</f>
        <v>0</v>
      </c>
      <c r="K80" s="310"/>
      <c r="L80" s="310">
        <f>ROUND((J80+K80)*0.1,2)</f>
        <v>0</v>
      </c>
      <c r="M80" s="310"/>
      <c r="N80" s="311">
        <f>SUM(J80:M80)</f>
        <v>0</v>
      </c>
      <c r="O80" s="312">
        <f>IF(ISBLANK(G80),N80,0)</f>
        <v>0</v>
      </c>
      <c r="P80" s="309">
        <f>IF(ISBLANK(C80),0,VLOOKUP(A80&amp;B80,Project,4))</f>
        <v>0</v>
      </c>
      <c r="Q80" s="310">
        <f>E80*P80</f>
        <v>0</v>
      </c>
      <c r="R80" s="309">
        <f>IF(ISBLANK(C80),0,VLOOKUP(A80&amp;B80,Project,5))*Q80*0.1</f>
        <v>0</v>
      </c>
      <c r="S80" s="310">
        <f>SUM(Q80:R80)</f>
        <v>0</v>
      </c>
      <c r="T80" s="312">
        <f>IF(Q80=0,0,J80-Q80)</f>
        <v>0</v>
      </c>
      <c r="U80" s="313" t="str">
        <f>IF(ISBLANK($A80),"",VLOOKUP($A80,Customer,2))</f>
        <v/>
      </c>
      <c r="V80" s="309" t="str">
        <f>IF(ISBLANK($A80),"",VLOOKUP(CONCATENATE($A80,$B80),invProject,2))</f>
        <v/>
      </c>
      <c r="W80" s="314" t="str">
        <f>GETPERIOD(F80)</f>
        <v/>
      </c>
      <c r="X80" s="314" t="str">
        <f>GETPERIOD(G80)</f>
        <v/>
      </c>
    </row>
    <row r="81" spans="1:24" x14ac:dyDescent="0.25">
      <c r="A81" s="157"/>
      <c r="B81" s="157"/>
      <c r="C81" s="157"/>
      <c r="D81" s="157"/>
      <c r="E81" s="159"/>
      <c r="F81" s="369"/>
      <c r="G81" s="374"/>
      <c r="H81" s="157"/>
      <c r="I81" s="309">
        <f t="shared" si="51"/>
        <v>0</v>
      </c>
      <c r="J81" s="310">
        <f t="shared" si="54"/>
        <v>0</v>
      </c>
      <c r="K81" s="310"/>
      <c r="L81" s="310">
        <f t="shared" si="55"/>
        <v>0</v>
      </c>
      <c r="M81" s="310"/>
      <c r="N81" s="311">
        <f t="shared" si="56"/>
        <v>0</v>
      </c>
      <c r="O81" s="312">
        <f t="shared" si="57"/>
        <v>0</v>
      </c>
      <c r="P81" s="309">
        <f t="shared" si="52"/>
        <v>0</v>
      </c>
      <c r="Q81" s="310">
        <f t="shared" si="58"/>
        <v>0</v>
      </c>
      <c r="R81" s="309">
        <f t="shared" si="53"/>
        <v>0</v>
      </c>
      <c r="S81" s="310">
        <f t="shared" si="59"/>
        <v>0</v>
      </c>
      <c r="T81" s="312">
        <f t="shared" si="60"/>
        <v>0</v>
      </c>
      <c r="U81" s="313" t="str">
        <f t="shared" si="63"/>
        <v/>
      </c>
      <c r="V81" s="309" t="str">
        <f t="shared" si="64"/>
        <v/>
      </c>
      <c r="W81" s="314" t="str">
        <f t="shared" si="61"/>
        <v/>
      </c>
      <c r="X81" s="314" t="str">
        <f t="shared" si="62"/>
        <v/>
      </c>
    </row>
    <row r="82" spans="1:24" ht="14.1" customHeight="1" x14ac:dyDescent="0.25">
      <c r="A82" s="158"/>
      <c r="B82" s="158"/>
      <c r="C82" s="158"/>
      <c r="D82" s="158"/>
      <c r="E82" s="159"/>
      <c r="F82" s="369"/>
      <c r="G82" s="374"/>
      <c r="H82" s="157"/>
      <c r="I82" s="309">
        <f t="shared" si="51"/>
        <v>0</v>
      </c>
      <c r="J82" s="310">
        <f t="shared" si="54"/>
        <v>0</v>
      </c>
      <c r="K82" s="310"/>
      <c r="L82" s="310">
        <f t="shared" si="55"/>
        <v>0</v>
      </c>
      <c r="M82" s="310"/>
      <c r="N82" s="311">
        <f t="shared" si="56"/>
        <v>0</v>
      </c>
      <c r="O82" s="312">
        <f t="shared" si="57"/>
        <v>0</v>
      </c>
      <c r="P82" s="309">
        <f t="shared" si="52"/>
        <v>0</v>
      </c>
      <c r="Q82" s="310">
        <f t="shared" si="58"/>
        <v>0</v>
      </c>
      <c r="R82" s="309">
        <f t="shared" si="53"/>
        <v>0</v>
      </c>
      <c r="S82" s="310">
        <f t="shared" si="59"/>
        <v>0</v>
      </c>
      <c r="T82" s="312">
        <f t="shared" si="60"/>
        <v>0</v>
      </c>
      <c r="U82" s="313" t="str">
        <f t="shared" si="63"/>
        <v/>
      </c>
      <c r="V82" s="309" t="str">
        <f t="shared" si="64"/>
        <v/>
      </c>
      <c r="W82" s="314" t="str">
        <f t="shared" si="61"/>
        <v/>
      </c>
      <c r="X82" s="314" t="str">
        <f t="shared" si="62"/>
        <v/>
      </c>
    </row>
    <row r="83" spans="1:24" x14ac:dyDescent="0.25">
      <c r="A83" s="158"/>
      <c r="B83" s="158"/>
      <c r="C83" s="158"/>
      <c r="D83" s="158"/>
      <c r="E83" s="159"/>
      <c r="F83" s="369"/>
      <c r="G83" s="374"/>
      <c r="H83" s="157"/>
      <c r="I83" s="309">
        <f>IF(ISBLANK(B83),0,VLOOKUP(A83&amp;B83,Project,3))</f>
        <v>0</v>
      </c>
      <c r="J83" s="310">
        <f>E83*I83</f>
        <v>0</v>
      </c>
      <c r="K83" s="310"/>
      <c r="L83" s="310">
        <f>ROUND((J83+K83)*0.1,2)</f>
        <v>0</v>
      </c>
      <c r="M83" s="310"/>
      <c r="N83" s="311">
        <f>SUM(J83:M83)</f>
        <v>0</v>
      </c>
      <c r="O83" s="312">
        <f>IF(ISBLANK(G83),N83,0)</f>
        <v>0</v>
      </c>
      <c r="P83" s="309">
        <f>IF(ISBLANK(C83),0,VLOOKUP(A83&amp;B83,Project,4))</f>
        <v>0</v>
      </c>
      <c r="Q83" s="310">
        <f>E83*P83</f>
        <v>0</v>
      </c>
      <c r="R83" s="309">
        <f>IF(ISBLANK(C83),0,VLOOKUP(A83&amp;B83,Project,5))*Q83*0.1</f>
        <v>0</v>
      </c>
      <c r="S83" s="310">
        <f>SUM(Q83:R83)</f>
        <v>0</v>
      </c>
      <c r="T83" s="312">
        <f>IF(Q83=0,0,J83-Q83)</f>
        <v>0</v>
      </c>
      <c r="U83" s="313" t="str">
        <f>IF(ISBLANK($A83),"",VLOOKUP($A83,Customer,2))</f>
        <v/>
      </c>
      <c r="V83" s="309" t="str">
        <f>IF(ISBLANK($A83),"",VLOOKUP(CONCATENATE($A83,$B83),invProject,2))</f>
        <v/>
      </c>
      <c r="W83" s="314" t="str">
        <f>GETPERIOD(F83)</f>
        <v/>
      </c>
      <c r="X83" s="314" t="str">
        <f>GETPERIOD(G83)</f>
        <v/>
      </c>
    </row>
    <row r="84" spans="1:24" x14ac:dyDescent="0.25">
      <c r="A84" s="157"/>
      <c r="B84" s="157"/>
      <c r="C84" s="157"/>
      <c r="D84" s="157"/>
      <c r="E84" s="159"/>
      <c r="F84" s="369"/>
      <c r="G84" s="374"/>
      <c r="H84" s="157"/>
      <c r="I84" s="309">
        <f t="shared" si="51"/>
        <v>0</v>
      </c>
      <c r="J84" s="310">
        <f t="shared" si="54"/>
        <v>0</v>
      </c>
      <c r="K84" s="310"/>
      <c r="L84" s="310">
        <f t="shared" si="55"/>
        <v>0</v>
      </c>
      <c r="M84" s="310"/>
      <c r="N84" s="311">
        <f t="shared" si="56"/>
        <v>0</v>
      </c>
      <c r="O84" s="312">
        <f t="shared" si="57"/>
        <v>0</v>
      </c>
      <c r="P84" s="309">
        <f t="shared" si="52"/>
        <v>0</v>
      </c>
      <c r="Q84" s="310">
        <f t="shared" si="58"/>
        <v>0</v>
      </c>
      <c r="R84" s="309">
        <f t="shared" si="53"/>
        <v>0</v>
      </c>
      <c r="S84" s="310">
        <f t="shared" si="59"/>
        <v>0</v>
      </c>
      <c r="T84" s="312">
        <f t="shared" si="60"/>
        <v>0</v>
      </c>
      <c r="U84" s="313" t="str">
        <f t="shared" si="63"/>
        <v/>
      </c>
      <c r="V84" s="309" t="str">
        <f t="shared" si="64"/>
        <v/>
      </c>
      <c r="W84" s="314" t="str">
        <f t="shared" si="61"/>
        <v/>
      </c>
      <c r="X84" s="314" t="str">
        <f t="shared" si="62"/>
        <v/>
      </c>
    </row>
    <row r="85" spans="1:24" x14ac:dyDescent="0.25">
      <c r="A85" s="157"/>
      <c r="B85" s="157"/>
      <c r="C85" s="157"/>
      <c r="D85" s="157"/>
      <c r="E85" s="159"/>
      <c r="F85" s="369"/>
      <c r="G85" s="374"/>
      <c r="H85" s="157"/>
      <c r="I85" s="309">
        <f t="shared" si="51"/>
        <v>0</v>
      </c>
      <c r="J85" s="310">
        <f t="shared" si="54"/>
        <v>0</v>
      </c>
      <c r="K85" s="310"/>
      <c r="L85" s="310">
        <f t="shared" si="55"/>
        <v>0</v>
      </c>
      <c r="M85" s="310"/>
      <c r="N85" s="311">
        <f t="shared" si="56"/>
        <v>0</v>
      </c>
      <c r="O85" s="312">
        <f t="shared" si="57"/>
        <v>0</v>
      </c>
      <c r="P85" s="309">
        <f t="shared" si="52"/>
        <v>0</v>
      </c>
      <c r="Q85" s="310">
        <f t="shared" si="58"/>
        <v>0</v>
      </c>
      <c r="R85" s="309">
        <f t="shared" si="53"/>
        <v>0</v>
      </c>
      <c r="S85" s="310">
        <f t="shared" si="59"/>
        <v>0</v>
      </c>
      <c r="T85" s="312">
        <f t="shared" si="60"/>
        <v>0</v>
      </c>
      <c r="U85" s="313" t="str">
        <f t="shared" si="63"/>
        <v/>
      </c>
      <c r="V85" s="309" t="str">
        <f t="shared" si="64"/>
        <v/>
      </c>
      <c r="W85" s="314" t="str">
        <f t="shared" si="61"/>
        <v/>
      </c>
      <c r="X85" s="314" t="str">
        <f t="shared" si="62"/>
        <v/>
      </c>
    </row>
    <row r="86" spans="1:24" x14ac:dyDescent="0.25">
      <c r="A86" s="158"/>
      <c r="B86" s="158"/>
      <c r="C86" s="158"/>
      <c r="D86" s="158"/>
      <c r="E86" s="159"/>
      <c r="F86" s="369"/>
      <c r="G86" s="374"/>
      <c r="H86" s="157"/>
      <c r="I86" s="309">
        <f t="shared" si="51"/>
        <v>0</v>
      </c>
      <c r="J86" s="310">
        <f t="shared" si="54"/>
        <v>0</v>
      </c>
      <c r="K86" s="310"/>
      <c r="L86" s="310">
        <f t="shared" si="55"/>
        <v>0</v>
      </c>
      <c r="M86" s="310"/>
      <c r="N86" s="311">
        <f t="shared" si="56"/>
        <v>0</v>
      </c>
      <c r="O86" s="312">
        <f t="shared" si="57"/>
        <v>0</v>
      </c>
      <c r="P86" s="309">
        <f t="shared" si="52"/>
        <v>0</v>
      </c>
      <c r="Q86" s="310">
        <f t="shared" si="58"/>
        <v>0</v>
      </c>
      <c r="R86" s="309">
        <f t="shared" si="53"/>
        <v>0</v>
      </c>
      <c r="S86" s="310">
        <f t="shared" si="59"/>
        <v>0</v>
      </c>
      <c r="T86" s="312">
        <f t="shared" si="60"/>
        <v>0</v>
      </c>
      <c r="U86" s="313" t="str">
        <f t="shared" si="63"/>
        <v/>
      </c>
      <c r="V86" s="309" t="str">
        <f t="shared" si="64"/>
        <v/>
      </c>
      <c r="W86" s="314" t="str">
        <f t="shared" si="61"/>
        <v/>
      </c>
      <c r="X86" s="314" t="str">
        <f t="shared" si="62"/>
        <v/>
      </c>
    </row>
    <row r="87" spans="1:24" x14ac:dyDescent="0.25">
      <c r="A87" s="157"/>
      <c r="B87" s="157"/>
      <c r="C87" s="157"/>
      <c r="D87" s="157"/>
      <c r="E87" s="159"/>
      <c r="F87" s="369"/>
      <c r="G87" s="374"/>
      <c r="H87" s="157"/>
      <c r="I87" s="309">
        <f t="shared" si="51"/>
        <v>0</v>
      </c>
      <c r="J87" s="310">
        <f t="shared" si="54"/>
        <v>0</v>
      </c>
      <c r="K87" s="310"/>
      <c r="L87" s="310">
        <f t="shared" si="55"/>
        <v>0</v>
      </c>
      <c r="M87" s="310"/>
      <c r="N87" s="311">
        <f t="shared" si="56"/>
        <v>0</v>
      </c>
      <c r="O87" s="312">
        <f t="shared" si="57"/>
        <v>0</v>
      </c>
      <c r="P87" s="309">
        <f t="shared" si="52"/>
        <v>0</v>
      </c>
      <c r="Q87" s="310">
        <f t="shared" si="58"/>
        <v>0</v>
      </c>
      <c r="R87" s="309">
        <f t="shared" si="53"/>
        <v>0</v>
      </c>
      <c r="S87" s="310">
        <f t="shared" si="59"/>
        <v>0</v>
      </c>
      <c r="T87" s="312">
        <f t="shared" si="60"/>
        <v>0</v>
      </c>
      <c r="U87" s="313" t="str">
        <f t="shared" si="63"/>
        <v/>
      </c>
      <c r="V87" s="309" t="str">
        <f t="shared" si="64"/>
        <v/>
      </c>
      <c r="W87" s="314" t="str">
        <f t="shared" si="61"/>
        <v/>
      </c>
      <c r="X87" s="314" t="str">
        <f t="shared" si="62"/>
        <v/>
      </c>
    </row>
    <row r="88" spans="1:24" x14ac:dyDescent="0.25">
      <c r="A88" s="157"/>
      <c r="B88" s="157"/>
      <c r="C88" s="157"/>
      <c r="D88" s="157"/>
      <c r="E88" s="159"/>
      <c r="F88" s="369"/>
      <c r="G88" s="374"/>
      <c r="H88" s="157"/>
      <c r="I88" s="309">
        <f t="shared" si="51"/>
        <v>0</v>
      </c>
      <c r="J88" s="310">
        <f t="shared" si="54"/>
        <v>0</v>
      </c>
      <c r="K88" s="310"/>
      <c r="L88" s="310">
        <f t="shared" si="55"/>
        <v>0</v>
      </c>
      <c r="M88" s="310"/>
      <c r="N88" s="311">
        <f t="shared" si="56"/>
        <v>0</v>
      </c>
      <c r="O88" s="312">
        <f t="shared" si="57"/>
        <v>0</v>
      </c>
      <c r="P88" s="309">
        <f t="shared" si="52"/>
        <v>0</v>
      </c>
      <c r="Q88" s="310">
        <f t="shared" si="58"/>
        <v>0</v>
      </c>
      <c r="R88" s="309">
        <f t="shared" si="53"/>
        <v>0</v>
      </c>
      <c r="S88" s="310">
        <f t="shared" si="59"/>
        <v>0</v>
      </c>
      <c r="T88" s="312">
        <f t="shared" si="60"/>
        <v>0</v>
      </c>
      <c r="U88" s="313" t="str">
        <f t="shared" si="63"/>
        <v/>
      </c>
      <c r="V88" s="309" t="str">
        <f t="shared" si="64"/>
        <v/>
      </c>
      <c r="W88" s="314" t="str">
        <f t="shared" si="61"/>
        <v/>
      </c>
      <c r="X88" s="314" t="str">
        <f t="shared" si="62"/>
        <v/>
      </c>
    </row>
    <row r="89" spans="1:24" x14ac:dyDescent="0.25">
      <c r="A89" s="158"/>
      <c r="B89" s="158"/>
      <c r="C89" s="158"/>
      <c r="D89" s="158"/>
      <c r="E89" s="159"/>
      <c r="F89" s="369"/>
      <c r="G89" s="374"/>
      <c r="H89" s="157"/>
      <c r="I89" s="309">
        <f t="shared" si="51"/>
        <v>0</v>
      </c>
      <c r="J89" s="310">
        <f t="shared" si="54"/>
        <v>0</v>
      </c>
      <c r="K89" s="310"/>
      <c r="L89" s="310">
        <f t="shared" si="55"/>
        <v>0</v>
      </c>
      <c r="M89" s="310"/>
      <c r="N89" s="311">
        <f t="shared" si="56"/>
        <v>0</v>
      </c>
      <c r="O89" s="312">
        <f t="shared" si="57"/>
        <v>0</v>
      </c>
      <c r="P89" s="309">
        <f t="shared" si="52"/>
        <v>0</v>
      </c>
      <c r="Q89" s="310">
        <f t="shared" si="58"/>
        <v>0</v>
      </c>
      <c r="R89" s="309">
        <f t="shared" si="53"/>
        <v>0</v>
      </c>
      <c r="S89" s="310">
        <f t="shared" si="59"/>
        <v>0</v>
      </c>
      <c r="T89" s="312">
        <f t="shared" si="60"/>
        <v>0</v>
      </c>
      <c r="U89" s="313" t="str">
        <f t="shared" si="63"/>
        <v/>
      </c>
      <c r="V89" s="309" t="str">
        <f t="shared" si="64"/>
        <v/>
      </c>
      <c r="W89" s="314" t="str">
        <f t="shared" si="61"/>
        <v/>
      </c>
      <c r="X89" s="314" t="str">
        <f t="shared" si="62"/>
        <v/>
      </c>
    </row>
    <row r="90" spans="1:24" x14ac:dyDescent="0.25">
      <c r="A90" s="158"/>
      <c r="B90" s="158"/>
      <c r="C90" s="158"/>
      <c r="D90" s="158"/>
      <c r="E90" s="159"/>
      <c r="F90" s="369"/>
      <c r="G90" s="374"/>
      <c r="H90" s="157"/>
      <c r="I90" s="309">
        <f t="shared" si="51"/>
        <v>0</v>
      </c>
      <c r="J90" s="310">
        <f t="shared" si="54"/>
        <v>0</v>
      </c>
      <c r="K90" s="310"/>
      <c r="L90" s="310">
        <f t="shared" si="55"/>
        <v>0</v>
      </c>
      <c r="M90" s="310"/>
      <c r="N90" s="311">
        <f t="shared" si="56"/>
        <v>0</v>
      </c>
      <c r="O90" s="312">
        <f t="shared" si="57"/>
        <v>0</v>
      </c>
      <c r="P90" s="309">
        <f t="shared" si="52"/>
        <v>0</v>
      </c>
      <c r="Q90" s="310">
        <f t="shared" si="58"/>
        <v>0</v>
      </c>
      <c r="R90" s="309">
        <f t="shared" si="53"/>
        <v>0</v>
      </c>
      <c r="S90" s="310">
        <f t="shared" si="59"/>
        <v>0</v>
      </c>
      <c r="T90" s="312">
        <f t="shared" si="60"/>
        <v>0</v>
      </c>
      <c r="U90" s="313" t="str">
        <f t="shared" si="63"/>
        <v/>
      </c>
      <c r="V90" s="309" t="str">
        <f t="shared" si="64"/>
        <v/>
      </c>
      <c r="W90" s="314" t="str">
        <f t="shared" si="61"/>
        <v/>
      </c>
      <c r="X90" s="314" t="str">
        <f t="shared" si="62"/>
        <v/>
      </c>
    </row>
    <row r="91" spans="1:24" x14ac:dyDescent="0.25">
      <c r="A91" s="158"/>
      <c r="B91" s="158"/>
      <c r="C91" s="158"/>
      <c r="D91" s="158"/>
      <c r="E91" s="159"/>
      <c r="F91" s="369"/>
      <c r="G91" s="374"/>
      <c r="H91" s="157"/>
      <c r="I91" s="309">
        <f t="shared" si="51"/>
        <v>0</v>
      </c>
      <c r="J91" s="310">
        <f t="shared" si="54"/>
        <v>0</v>
      </c>
      <c r="K91" s="310"/>
      <c r="L91" s="310">
        <f t="shared" si="55"/>
        <v>0</v>
      </c>
      <c r="M91" s="310"/>
      <c r="N91" s="311">
        <f t="shared" si="56"/>
        <v>0</v>
      </c>
      <c r="O91" s="312">
        <f t="shared" si="57"/>
        <v>0</v>
      </c>
      <c r="P91" s="309">
        <f t="shared" si="52"/>
        <v>0</v>
      </c>
      <c r="Q91" s="310">
        <f t="shared" si="58"/>
        <v>0</v>
      </c>
      <c r="R91" s="309">
        <f t="shared" si="53"/>
        <v>0</v>
      </c>
      <c r="S91" s="310">
        <f t="shared" si="59"/>
        <v>0</v>
      </c>
      <c r="T91" s="312">
        <f t="shared" si="60"/>
        <v>0</v>
      </c>
      <c r="U91" s="313" t="str">
        <f t="shared" si="63"/>
        <v/>
      </c>
      <c r="V91" s="309" t="str">
        <f t="shared" si="64"/>
        <v/>
      </c>
      <c r="W91" s="314" t="str">
        <f t="shared" si="61"/>
        <v/>
      </c>
      <c r="X91" s="314" t="str">
        <f t="shared" si="62"/>
        <v/>
      </c>
    </row>
    <row r="92" spans="1:24" x14ac:dyDescent="0.25">
      <c r="A92" s="157"/>
      <c r="B92" s="157"/>
      <c r="C92" s="157"/>
      <c r="D92" s="157"/>
      <c r="E92" s="159"/>
      <c r="F92" s="369"/>
      <c r="G92" s="374"/>
      <c r="H92" s="157"/>
      <c r="I92" s="309">
        <f t="shared" si="51"/>
        <v>0</v>
      </c>
      <c r="J92" s="310">
        <f t="shared" si="54"/>
        <v>0</v>
      </c>
      <c r="K92" s="310"/>
      <c r="L92" s="310">
        <f t="shared" si="55"/>
        <v>0</v>
      </c>
      <c r="M92" s="310"/>
      <c r="N92" s="311">
        <f t="shared" si="56"/>
        <v>0</v>
      </c>
      <c r="O92" s="312">
        <f t="shared" si="57"/>
        <v>0</v>
      </c>
      <c r="P92" s="309">
        <f t="shared" si="52"/>
        <v>0</v>
      </c>
      <c r="Q92" s="310">
        <f t="shared" si="58"/>
        <v>0</v>
      </c>
      <c r="R92" s="309">
        <f t="shared" si="53"/>
        <v>0</v>
      </c>
      <c r="S92" s="310">
        <f t="shared" si="59"/>
        <v>0</v>
      </c>
      <c r="T92" s="312">
        <f t="shared" si="60"/>
        <v>0</v>
      </c>
      <c r="U92" s="313" t="str">
        <f t="shared" si="63"/>
        <v/>
      </c>
      <c r="V92" s="309" t="str">
        <f t="shared" si="64"/>
        <v/>
      </c>
      <c r="W92" s="314" t="str">
        <f t="shared" si="61"/>
        <v/>
      </c>
      <c r="X92" s="314" t="str">
        <f t="shared" si="62"/>
        <v/>
      </c>
    </row>
    <row r="93" spans="1:24" x14ac:dyDescent="0.25">
      <c r="A93" s="157"/>
      <c r="B93" s="157"/>
      <c r="C93" s="157"/>
      <c r="D93" s="157"/>
      <c r="E93" s="159"/>
      <c r="F93" s="369"/>
      <c r="G93" s="374"/>
      <c r="H93" s="157"/>
      <c r="I93" s="309">
        <f t="shared" si="51"/>
        <v>0</v>
      </c>
      <c r="J93" s="310">
        <f t="shared" si="54"/>
        <v>0</v>
      </c>
      <c r="K93" s="310"/>
      <c r="L93" s="310">
        <f t="shared" si="55"/>
        <v>0</v>
      </c>
      <c r="M93" s="310"/>
      <c r="N93" s="311">
        <f t="shared" si="56"/>
        <v>0</v>
      </c>
      <c r="O93" s="312">
        <f t="shared" si="57"/>
        <v>0</v>
      </c>
      <c r="P93" s="309">
        <f t="shared" si="52"/>
        <v>0</v>
      </c>
      <c r="Q93" s="310">
        <f t="shared" si="58"/>
        <v>0</v>
      </c>
      <c r="R93" s="309">
        <f t="shared" si="53"/>
        <v>0</v>
      </c>
      <c r="S93" s="310">
        <f t="shared" si="59"/>
        <v>0</v>
      </c>
      <c r="T93" s="312">
        <f t="shared" si="60"/>
        <v>0</v>
      </c>
      <c r="U93" s="313" t="str">
        <f t="shared" si="63"/>
        <v/>
      </c>
      <c r="V93" s="309" t="str">
        <f t="shared" si="64"/>
        <v/>
      </c>
      <c r="W93" s="314" t="str">
        <f t="shared" si="61"/>
        <v/>
      </c>
      <c r="X93" s="314" t="str">
        <f t="shared" si="62"/>
        <v/>
      </c>
    </row>
    <row r="94" spans="1:24" x14ac:dyDescent="0.25">
      <c r="A94" s="158"/>
      <c r="B94" s="158"/>
      <c r="C94" s="158"/>
      <c r="D94" s="158"/>
      <c r="E94" s="159"/>
      <c r="F94" s="369"/>
      <c r="G94" s="374"/>
      <c r="H94" s="157"/>
      <c r="I94" s="309">
        <f t="shared" si="51"/>
        <v>0</v>
      </c>
      <c r="J94" s="310">
        <f t="shared" si="54"/>
        <v>0</v>
      </c>
      <c r="K94" s="310"/>
      <c r="L94" s="310">
        <f t="shared" si="55"/>
        <v>0</v>
      </c>
      <c r="M94" s="310"/>
      <c r="N94" s="311">
        <f t="shared" si="56"/>
        <v>0</v>
      </c>
      <c r="O94" s="312">
        <f t="shared" si="57"/>
        <v>0</v>
      </c>
      <c r="P94" s="309">
        <f t="shared" si="52"/>
        <v>0</v>
      </c>
      <c r="Q94" s="310">
        <f t="shared" si="58"/>
        <v>0</v>
      </c>
      <c r="R94" s="309">
        <f t="shared" si="53"/>
        <v>0</v>
      </c>
      <c r="S94" s="310">
        <f t="shared" si="59"/>
        <v>0</v>
      </c>
      <c r="T94" s="312">
        <f t="shared" si="60"/>
        <v>0</v>
      </c>
      <c r="U94" s="313" t="str">
        <f t="shared" si="63"/>
        <v/>
      </c>
      <c r="V94" s="309" t="str">
        <f t="shared" si="64"/>
        <v/>
      </c>
      <c r="W94" s="314" t="str">
        <f t="shared" si="61"/>
        <v/>
      </c>
      <c r="X94" s="314" t="str">
        <f t="shared" si="62"/>
        <v/>
      </c>
    </row>
    <row r="95" spans="1:24" x14ac:dyDescent="0.25">
      <c r="A95" s="158"/>
      <c r="B95" s="158"/>
      <c r="C95" s="158"/>
      <c r="D95" s="158"/>
      <c r="E95" s="159"/>
      <c r="F95" s="369"/>
      <c r="G95" s="374"/>
      <c r="H95" s="157"/>
      <c r="I95" s="309">
        <f t="shared" si="51"/>
        <v>0</v>
      </c>
      <c r="J95" s="310">
        <f t="shared" si="54"/>
        <v>0</v>
      </c>
      <c r="K95" s="310"/>
      <c r="L95" s="310">
        <f t="shared" si="55"/>
        <v>0</v>
      </c>
      <c r="M95" s="310"/>
      <c r="N95" s="311">
        <f t="shared" si="56"/>
        <v>0</v>
      </c>
      <c r="O95" s="312">
        <f t="shared" si="57"/>
        <v>0</v>
      </c>
      <c r="P95" s="309">
        <f t="shared" si="52"/>
        <v>0</v>
      </c>
      <c r="Q95" s="310">
        <f t="shared" si="58"/>
        <v>0</v>
      </c>
      <c r="R95" s="309">
        <f t="shared" si="53"/>
        <v>0</v>
      </c>
      <c r="S95" s="310">
        <f t="shared" si="59"/>
        <v>0</v>
      </c>
      <c r="T95" s="312">
        <f t="shared" si="60"/>
        <v>0</v>
      </c>
      <c r="U95" s="313" t="str">
        <f t="shared" si="63"/>
        <v/>
      </c>
      <c r="V95" s="309" t="str">
        <f t="shared" si="64"/>
        <v/>
      </c>
      <c r="W95" s="314" t="str">
        <f t="shared" si="61"/>
        <v/>
      </c>
      <c r="X95" s="314" t="str">
        <f t="shared" si="62"/>
        <v/>
      </c>
    </row>
    <row r="96" spans="1:24" x14ac:dyDescent="0.25">
      <c r="A96" s="158"/>
      <c r="B96" s="158"/>
      <c r="C96" s="158"/>
      <c r="D96" s="158"/>
      <c r="E96" s="159"/>
      <c r="F96" s="369"/>
      <c r="G96" s="374"/>
      <c r="H96" s="157"/>
      <c r="I96" s="309">
        <f t="shared" si="51"/>
        <v>0</v>
      </c>
      <c r="J96" s="310">
        <f t="shared" si="54"/>
        <v>0</v>
      </c>
      <c r="K96" s="310"/>
      <c r="L96" s="310">
        <f t="shared" si="55"/>
        <v>0</v>
      </c>
      <c r="M96" s="310"/>
      <c r="N96" s="311">
        <f t="shared" si="56"/>
        <v>0</v>
      </c>
      <c r="O96" s="312">
        <f t="shared" si="57"/>
        <v>0</v>
      </c>
      <c r="P96" s="309">
        <f t="shared" si="52"/>
        <v>0</v>
      </c>
      <c r="Q96" s="310">
        <f t="shared" si="58"/>
        <v>0</v>
      </c>
      <c r="R96" s="309">
        <f t="shared" si="53"/>
        <v>0</v>
      </c>
      <c r="S96" s="310">
        <f t="shared" si="59"/>
        <v>0</v>
      </c>
      <c r="T96" s="312">
        <f t="shared" si="60"/>
        <v>0</v>
      </c>
      <c r="U96" s="313" t="str">
        <f t="shared" si="63"/>
        <v/>
      </c>
      <c r="V96" s="309" t="str">
        <f t="shared" si="64"/>
        <v/>
      </c>
      <c r="W96" s="314" t="str">
        <f t="shared" si="61"/>
        <v/>
      </c>
      <c r="X96" s="314" t="str">
        <f t="shared" si="62"/>
        <v/>
      </c>
    </row>
    <row r="97" spans="1:24" x14ac:dyDescent="0.25">
      <c r="A97" s="157"/>
      <c r="B97" s="157"/>
      <c r="C97" s="157"/>
      <c r="D97" s="157"/>
      <c r="E97" s="159"/>
      <c r="F97" s="369"/>
      <c r="G97" s="374"/>
      <c r="H97" s="157"/>
      <c r="I97" s="309">
        <f t="shared" si="51"/>
        <v>0</v>
      </c>
      <c r="J97" s="310">
        <f t="shared" si="54"/>
        <v>0</v>
      </c>
      <c r="K97" s="310"/>
      <c r="L97" s="310">
        <f t="shared" si="55"/>
        <v>0</v>
      </c>
      <c r="M97" s="310"/>
      <c r="N97" s="311">
        <f t="shared" si="56"/>
        <v>0</v>
      </c>
      <c r="O97" s="312">
        <f t="shared" si="57"/>
        <v>0</v>
      </c>
      <c r="P97" s="309">
        <f t="shared" si="52"/>
        <v>0</v>
      </c>
      <c r="Q97" s="310">
        <f t="shared" si="58"/>
        <v>0</v>
      </c>
      <c r="R97" s="309">
        <f t="shared" si="53"/>
        <v>0</v>
      </c>
      <c r="S97" s="310">
        <f t="shared" si="59"/>
        <v>0</v>
      </c>
      <c r="T97" s="312">
        <f t="shared" si="60"/>
        <v>0</v>
      </c>
      <c r="U97" s="313" t="str">
        <f t="shared" si="63"/>
        <v/>
      </c>
      <c r="V97" s="309" t="str">
        <f t="shared" si="64"/>
        <v/>
      </c>
      <c r="W97" s="314" t="str">
        <f t="shared" si="61"/>
        <v/>
      </c>
      <c r="X97" s="314" t="str">
        <f t="shared" si="62"/>
        <v/>
      </c>
    </row>
    <row r="98" spans="1:24" x14ac:dyDescent="0.25">
      <c r="A98" s="158"/>
      <c r="B98" s="158"/>
      <c r="C98" s="158"/>
      <c r="D98" s="158"/>
      <c r="E98" s="159"/>
      <c r="F98" s="369"/>
      <c r="G98" s="374"/>
      <c r="H98" s="157"/>
      <c r="I98" s="309">
        <f t="shared" si="51"/>
        <v>0</v>
      </c>
      <c r="J98" s="310">
        <f t="shared" si="54"/>
        <v>0</v>
      </c>
      <c r="K98" s="310"/>
      <c r="L98" s="310">
        <f t="shared" si="55"/>
        <v>0</v>
      </c>
      <c r="M98" s="310"/>
      <c r="N98" s="311">
        <f t="shared" si="56"/>
        <v>0</v>
      </c>
      <c r="O98" s="312">
        <f t="shared" si="57"/>
        <v>0</v>
      </c>
      <c r="P98" s="309">
        <f t="shared" si="52"/>
        <v>0</v>
      </c>
      <c r="Q98" s="310">
        <f t="shared" si="58"/>
        <v>0</v>
      </c>
      <c r="R98" s="309">
        <f t="shared" si="53"/>
        <v>0</v>
      </c>
      <c r="S98" s="310">
        <f t="shared" si="59"/>
        <v>0</v>
      </c>
      <c r="T98" s="312">
        <f t="shared" si="60"/>
        <v>0</v>
      </c>
      <c r="U98" s="313" t="str">
        <f t="shared" si="63"/>
        <v/>
      </c>
      <c r="V98" s="309" t="str">
        <f t="shared" si="64"/>
        <v/>
      </c>
      <c r="W98" s="314" t="str">
        <f t="shared" si="61"/>
        <v/>
      </c>
      <c r="X98" s="314" t="str">
        <f t="shared" si="62"/>
        <v/>
      </c>
    </row>
    <row r="99" spans="1:24" x14ac:dyDescent="0.25">
      <c r="A99" s="158"/>
      <c r="B99" s="158"/>
      <c r="C99" s="158"/>
      <c r="D99" s="158"/>
      <c r="E99" s="159"/>
      <c r="F99" s="369"/>
      <c r="G99" s="374"/>
      <c r="H99" s="157"/>
      <c r="I99" s="309">
        <f t="shared" ref="I99:I130" si="65">IF(ISBLANK(B99),0,VLOOKUP(A99&amp;B99,Project,3))</f>
        <v>0</v>
      </c>
      <c r="J99" s="310">
        <f t="shared" si="54"/>
        <v>0</v>
      </c>
      <c r="K99" s="310"/>
      <c r="L99" s="310">
        <f t="shared" si="55"/>
        <v>0</v>
      </c>
      <c r="M99" s="310"/>
      <c r="N99" s="311">
        <f t="shared" si="56"/>
        <v>0</v>
      </c>
      <c r="O99" s="312">
        <f t="shared" si="57"/>
        <v>0</v>
      </c>
      <c r="P99" s="309">
        <f t="shared" ref="P99:P130" si="66">IF(ISBLANK(C99),0,VLOOKUP(A99&amp;B99,Project,4))</f>
        <v>0</v>
      </c>
      <c r="Q99" s="310">
        <f t="shared" si="58"/>
        <v>0</v>
      </c>
      <c r="R99" s="309">
        <f t="shared" ref="R99:R130" si="67">IF(ISBLANK(C99),0,VLOOKUP(A99&amp;B99,Project,5))*Q99*0.1</f>
        <v>0</v>
      </c>
      <c r="S99" s="310">
        <f t="shared" si="59"/>
        <v>0</v>
      </c>
      <c r="T99" s="312">
        <f t="shared" si="60"/>
        <v>0</v>
      </c>
      <c r="U99" s="313" t="str">
        <f t="shared" si="63"/>
        <v/>
      </c>
      <c r="V99" s="309" t="str">
        <f t="shared" si="64"/>
        <v/>
      </c>
      <c r="W99" s="314" t="str">
        <f t="shared" si="61"/>
        <v/>
      </c>
      <c r="X99" s="314" t="str">
        <f t="shared" si="62"/>
        <v/>
      </c>
    </row>
    <row r="100" spans="1:24" x14ac:dyDescent="0.25">
      <c r="A100" s="295"/>
      <c r="B100" s="295"/>
      <c r="C100" s="295"/>
      <c r="D100" s="295"/>
      <c r="E100" s="159"/>
      <c r="F100" s="369"/>
      <c r="G100" s="374"/>
      <c r="H100" s="157"/>
      <c r="I100" s="309">
        <f t="shared" si="65"/>
        <v>0</v>
      </c>
      <c r="J100" s="310">
        <f t="shared" si="54"/>
        <v>0</v>
      </c>
      <c r="K100" s="310"/>
      <c r="L100" s="310">
        <f t="shared" si="55"/>
        <v>0</v>
      </c>
      <c r="M100" s="310"/>
      <c r="N100" s="311">
        <f t="shared" si="56"/>
        <v>0</v>
      </c>
      <c r="O100" s="312">
        <f t="shared" si="57"/>
        <v>0</v>
      </c>
      <c r="P100" s="309">
        <f t="shared" si="66"/>
        <v>0</v>
      </c>
      <c r="Q100" s="310">
        <f t="shared" si="58"/>
        <v>0</v>
      </c>
      <c r="R100" s="309">
        <f t="shared" si="67"/>
        <v>0</v>
      </c>
      <c r="S100" s="310">
        <f t="shared" si="59"/>
        <v>0</v>
      </c>
      <c r="T100" s="312">
        <f t="shared" si="60"/>
        <v>0</v>
      </c>
      <c r="U100" s="313" t="str">
        <f t="shared" si="63"/>
        <v/>
      </c>
      <c r="V100" s="309" t="str">
        <f t="shared" si="64"/>
        <v/>
      </c>
      <c r="W100" s="314" t="str">
        <f t="shared" si="61"/>
        <v/>
      </c>
      <c r="X100" s="314" t="str">
        <f t="shared" si="62"/>
        <v/>
      </c>
    </row>
    <row r="101" spans="1:24" x14ac:dyDescent="0.25">
      <c r="A101" s="157"/>
      <c r="B101" s="157"/>
      <c r="C101" s="157"/>
      <c r="D101" s="157"/>
      <c r="E101" s="159"/>
      <c r="F101" s="369"/>
      <c r="G101" s="374"/>
      <c r="H101" s="157"/>
      <c r="I101" s="309">
        <f t="shared" si="65"/>
        <v>0</v>
      </c>
      <c r="J101" s="310">
        <f t="shared" si="54"/>
        <v>0</v>
      </c>
      <c r="K101" s="310"/>
      <c r="L101" s="310">
        <f t="shared" si="55"/>
        <v>0</v>
      </c>
      <c r="M101" s="310"/>
      <c r="N101" s="311">
        <f t="shared" si="56"/>
        <v>0</v>
      </c>
      <c r="O101" s="312">
        <f t="shared" si="57"/>
        <v>0</v>
      </c>
      <c r="P101" s="309">
        <f t="shared" si="66"/>
        <v>0</v>
      </c>
      <c r="Q101" s="310">
        <f t="shared" si="58"/>
        <v>0</v>
      </c>
      <c r="R101" s="309">
        <f t="shared" si="67"/>
        <v>0</v>
      </c>
      <c r="S101" s="310">
        <f t="shared" si="59"/>
        <v>0</v>
      </c>
      <c r="T101" s="312">
        <f t="shared" si="60"/>
        <v>0</v>
      </c>
      <c r="U101" s="313" t="str">
        <f t="shared" ref="U101:U132" si="68">IF(ISBLANK($A101),"",VLOOKUP($A101,Customer,2))</f>
        <v/>
      </c>
      <c r="V101" s="309" t="str">
        <f t="shared" ref="V101:V132" si="69">IF(ISBLANK($A101),"",VLOOKUP(CONCATENATE($A101,$B101),invProject,2))</f>
        <v/>
      </c>
      <c r="W101" s="314" t="str">
        <f t="shared" si="61"/>
        <v/>
      </c>
      <c r="X101" s="314" t="str">
        <f t="shared" si="62"/>
        <v/>
      </c>
    </row>
    <row r="102" spans="1:24" x14ac:dyDescent="0.25">
      <c r="A102" s="158"/>
      <c r="B102" s="158"/>
      <c r="C102" s="158"/>
      <c r="D102" s="158"/>
      <c r="E102" s="159"/>
      <c r="F102" s="369"/>
      <c r="G102" s="374"/>
      <c r="H102" s="157"/>
      <c r="I102" s="309">
        <f t="shared" si="65"/>
        <v>0</v>
      </c>
      <c r="J102" s="310">
        <f t="shared" si="54"/>
        <v>0</v>
      </c>
      <c r="K102" s="310"/>
      <c r="L102" s="310">
        <f t="shared" si="55"/>
        <v>0</v>
      </c>
      <c r="M102" s="310"/>
      <c r="N102" s="311">
        <f t="shared" si="56"/>
        <v>0</v>
      </c>
      <c r="O102" s="312">
        <f t="shared" si="57"/>
        <v>0</v>
      </c>
      <c r="P102" s="309">
        <f t="shared" si="66"/>
        <v>0</v>
      </c>
      <c r="Q102" s="310">
        <f t="shared" si="58"/>
        <v>0</v>
      </c>
      <c r="R102" s="309">
        <f t="shared" si="67"/>
        <v>0</v>
      </c>
      <c r="S102" s="310">
        <f t="shared" si="59"/>
        <v>0</v>
      </c>
      <c r="T102" s="312">
        <f t="shared" si="60"/>
        <v>0</v>
      </c>
      <c r="U102" s="313" t="str">
        <f t="shared" si="68"/>
        <v/>
      </c>
      <c r="V102" s="309" t="str">
        <f t="shared" si="69"/>
        <v/>
      </c>
      <c r="W102" s="314" t="str">
        <f t="shared" si="61"/>
        <v/>
      </c>
      <c r="X102" s="314" t="str">
        <f t="shared" si="62"/>
        <v/>
      </c>
    </row>
    <row r="103" spans="1:24" x14ac:dyDescent="0.25">
      <c r="A103" s="157"/>
      <c r="B103" s="157"/>
      <c r="C103" s="157"/>
      <c r="D103" s="157"/>
      <c r="E103" s="159"/>
      <c r="F103" s="369"/>
      <c r="G103" s="374"/>
      <c r="H103" s="157"/>
      <c r="I103" s="309">
        <f t="shared" si="65"/>
        <v>0</v>
      </c>
      <c r="J103" s="310">
        <f t="shared" si="54"/>
        <v>0</v>
      </c>
      <c r="K103" s="310"/>
      <c r="L103" s="310">
        <f t="shared" si="55"/>
        <v>0</v>
      </c>
      <c r="M103" s="310"/>
      <c r="N103" s="311">
        <f t="shared" si="56"/>
        <v>0</v>
      </c>
      <c r="O103" s="312">
        <f t="shared" si="57"/>
        <v>0</v>
      </c>
      <c r="P103" s="309">
        <f t="shared" si="66"/>
        <v>0</v>
      </c>
      <c r="Q103" s="310">
        <f t="shared" si="58"/>
        <v>0</v>
      </c>
      <c r="R103" s="309">
        <f t="shared" si="67"/>
        <v>0</v>
      </c>
      <c r="S103" s="310">
        <f t="shared" si="59"/>
        <v>0</v>
      </c>
      <c r="T103" s="312">
        <f t="shared" si="60"/>
        <v>0</v>
      </c>
      <c r="U103" s="313" t="str">
        <f t="shared" si="68"/>
        <v/>
      </c>
      <c r="V103" s="309" t="str">
        <f t="shared" si="69"/>
        <v/>
      </c>
      <c r="W103" s="314" t="str">
        <f t="shared" si="61"/>
        <v/>
      </c>
      <c r="X103" s="314" t="str">
        <f t="shared" si="62"/>
        <v/>
      </c>
    </row>
    <row r="104" spans="1:24" x14ac:dyDescent="0.25">
      <c r="A104" s="157"/>
      <c r="B104" s="157"/>
      <c r="C104" s="157"/>
      <c r="D104" s="157"/>
      <c r="E104" s="159"/>
      <c r="F104" s="369"/>
      <c r="G104" s="374"/>
      <c r="H104" s="157"/>
      <c r="I104" s="309">
        <f t="shared" si="65"/>
        <v>0</v>
      </c>
      <c r="J104" s="310">
        <f t="shared" si="54"/>
        <v>0</v>
      </c>
      <c r="K104" s="310"/>
      <c r="L104" s="310">
        <f t="shared" si="55"/>
        <v>0</v>
      </c>
      <c r="M104" s="310"/>
      <c r="N104" s="311">
        <f t="shared" si="56"/>
        <v>0</v>
      </c>
      <c r="O104" s="312">
        <f t="shared" si="57"/>
        <v>0</v>
      </c>
      <c r="P104" s="309">
        <f t="shared" si="66"/>
        <v>0</v>
      </c>
      <c r="Q104" s="310">
        <f t="shared" si="58"/>
        <v>0</v>
      </c>
      <c r="R104" s="309">
        <f t="shared" si="67"/>
        <v>0</v>
      </c>
      <c r="S104" s="310">
        <f t="shared" si="59"/>
        <v>0</v>
      </c>
      <c r="T104" s="312">
        <f t="shared" si="60"/>
        <v>0</v>
      </c>
      <c r="U104" s="313" t="str">
        <f t="shared" si="68"/>
        <v/>
      </c>
      <c r="V104" s="309" t="str">
        <f t="shared" si="69"/>
        <v/>
      </c>
      <c r="W104" s="314" t="str">
        <f t="shared" si="61"/>
        <v/>
      </c>
      <c r="X104" s="314" t="str">
        <f t="shared" si="62"/>
        <v/>
      </c>
    </row>
    <row r="105" spans="1:24" x14ac:dyDescent="0.25">
      <c r="A105" s="158"/>
      <c r="B105" s="158"/>
      <c r="C105" s="158"/>
      <c r="D105" s="158"/>
      <c r="E105" s="159"/>
      <c r="F105" s="369"/>
      <c r="G105" s="374"/>
      <c r="H105" s="157"/>
      <c r="I105" s="309">
        <f t="shared" si="65"/>
        <v>0</v>
      </c>
      <c r="J105" s="310">
        <f t="shared" si="54"/>
        <v>0</v>
      </c>
      <c r="K105" s="310"/>
      <c r="L105" s="310">
        <f t="shared" si="55"/>
        <v>0</v>
      </c>
      <c r="M105" s="310"/>
      <c r="N105" s="311">
        <f t="shared" si="56"/>
        <v>0</v>
      </c>
      <c r="O105" s="312">
        <f t="shared" si="57"/>
        <v>0</v>
      </c>
      <c r="P105" s="309">
        <f t="shared" si="66"/>
        <v>0</v>
      </c>
      <c r="Q105" s="310">
        <f t="shared" si="58"/>
        <v>0</v>
      </c>
      <c r="R105" s="309">
        <f t="shared" si="67"/>
        <v>0</v>
      </c>
      <c r="S105" s="310">
        <f t="shared" si="59"/>
        <v>0</v>
      </c>
      <c r="T105" s="312">
        <f t="shared" si="60"/>
        <v>0</v>
      </c>
      <c r="U105" s="313" t="str">
        <f t="shared" si="68"/>
        <v/>
      </c>
      <c r="V105" s="309" t="str">
        <f t="shared" si="69"/>
        <v/>
      </c>
      <c r="W105" s="314" t="str">
        <f t="shared" si="61"/>
        <v/>
      </c>
      <c r="X105" s="314" t="str">
        <f t="shared" si="62"/>
        <v/>
      </c>
    </row>
    <row r="106" spans="1:24" x14ac:dyDescent="0.25">
      <c r="A106" s="157"/>
      <c r="B106" s="157"/>
      <c r="C106" s="157"/>
      <c r="D106" s="157"/>
      <c r="E106" s="159"/>
      <c r="F106" s="369"/>
      <c r="G106" s="374"/>
      <c r="H106" s="157"/>
      <c r="I106" s="309">
        <f t="shared" si="65"/>
        <v>0</v>
      </c>
      <c r="J106" s="310">
        <f t="shared" si="54"/>
        <v>0</v>
      </c>
      <c r="K106" s="310"/>
      <c r="L106" s="310">
        <f t="shared" si="55"/>
        <v>0</v>
      </c>
      <c r="M106" s="310"/>
      <c r="N106" s="311">
        <f t="shared" si="56"/>
        <v>0</v>
      </c>
      <c r="O106" s="312">
        <f t="shared" si="57"/>
        <v>0</v>
      </c>
      <c r="P106" s="309">
        <f t="shared" si="66"/>
        <v>0</v>
      </c>
      <c r="Q106" s="310">
        <f t="shared" si="58"/>
        <v>0</v>
      </c>
      <c r="R106" s="309">
        <f t="shared" si="67"/>
        <v>0</v>
      </c>
      <c r="S106" s="310">
        <f t="shared" si="59"/>
        <v>0</v>
      </c>
      <c r="T106" s="312">
        <f t="shared" si="60"/>
        <v>0</v>
      </c>
      <c r="U106" s="313" t="str">
        <f t="shared" si="68"/>
        <v/>
      </c>
      <c r="V106" s="309" t="str">
        <f t="shared" si="69"/>
        <v/>
      </c>
      <c r="W106" s="314" t="str">
        <f t="shared" si="61"/>
        <v/>
      </c>
      <c r="X106" s="314" t="str">
        <f t="shared" si="62"/>
        <v/>
      </c>
    </row>
    <row r="107" spans="1:24" x14ac:dyDescent="0.25">
      <c r="A107" s="157"/>
      <c r="B107" s="157"/>
      <c r="C107" s="157"/>
      <c r="D107" s="157"/>
      <c r="E107" s="159"/>
      <c r="F107" s="369"/>
      <c r="G107" s="374"/>
      <c r="H107" s="157"/>
      <c r="I107" s="309">
        <f t="shared" si="65"/>
        <v>0</v>
      </c>
      <c r="J107" s="310">
        <f t="shared" si="54"/>
        <v>0</v>
      </c>
      <c r="K107" s="310"/>
      <c r="L107" s="310">
        <f t="shared" si="55"/>
        <v>0</v>
      </c>
      <c r="M107" s="310"/>
      <c r="N107" s="311">
        <f t="shared" si="56"/>
        <v>0</v>
      </c>
      <c r="O107" s="312">
        <f t="shared" si="57"/>
        <v>0</v>
      </c>
      <c r="P107" s="309">
        <f t="shared" si="66"/>
        <v>0</v>
      </c>
      <c r="Q107" s="310">
        <f t="shared" si="58"/>
        <v>0</v>
      </c>
      <c r="R107" s="309">
        <f t="shared" si="67"/>
        <v>0</v>
      </c>
      <c r="S107" s="310">
        <f t="shared" si="59"/>
        <v>0</v>
      </c>
      <c r="T107" s="312">
        <f t="shared" si="60"/>
        <v>0</v>
      </c>
      <c r="U107" s="313" t="str">
        <f t="shared" si="68"/>
        <v/>
      </c>
      <c r="V107" s="309" t="str">
        <f t="shared" si="69"/>
        <v/>
      </c>
      <c r="W107" s="314" t="str">
        <f t="shared" si="61"/>
        <v/>
      </c>
      <c r="X107" s="314" t="str">
        <f t="shared" si="62"/>
        <v/>
      </c>
    </row>
    <row r="108" spans="1:24" x14ac:dyDescent="0.25">
      <c r="A108" s="158"/>
      <c r="B108" s="158"/>
      <c r="C108" s="158"/>
      <c r="D108" s="158"/>
      <c r="E108" s="159"/>
      <c r="F108" s="369"/>
      <c r="G108" s="374"/>
      <c r="H108" s="157"/>
      <c r="I108" s="309">
        <f t="shared" si="65"/>
        <v>0</v>
      </c>
      <c r="J108" s="310">
        <f t="shared" si="54"/>
        <v>0</v>
      </c>
      <c r="K108" s="310"/>
      <c r="L108" s="310">
        <f t="shared" si="55"/>
        <v>0</v>
      </c>
      <c r="M108" s="310"/>
      <c r="N108" s="311">
        <f t="shared" si="56"/>
        <v>0</v>
      </c>
      <c r="O108" s="312">
        <f t="shared" si="57"/>
        <v>0</v>
      </c>
      <c r="P108" s="309">
        <f t="shared" si="66"/>
        <v>0</v>
      </c>
      <c r="Q108" s="310">
        <f t="shared" si="58"/>
        <v>0</v>
      </c>
      <c r="R108" s="309">
        <f t="shared" si="67"/>
        <v>0</v>
      </c>
      <c r="S108" s="310">
        <f t="shared" si="59"/>
        <v>0</v>
      </c>
      <c r="T108" s="312">
        <f t="shared" si="60"/>
        <v>0</v>
      </c>
      <c r="U108" s="313" t="str">
        <f t="shared" si="68"/>
        <v/>
      </c>
      <c r="V108" s="309" t="str">
        <f t="shared" si="69"/>
        <v/>
      </c>
      <c r="W108" s="314" t="str">
        <f t="shared" si="61"/>
        <v/>
      </c>
      <c r="X108" s="314" t="str">
        <f t="shared" si="62"/>
        <v/>
      </c>
    </row>
    <row r="109" spans="1:24" x14ac:dyDescent="0.25">
      <c r="A109" s="158"/>
      <c r="B109" s="158"/>
      <c r="C109" s="158"/>
      <c r="D109" s="158"/>
      <c r="E109" s="159"/>
      <c r="F109" s="369"/>
      <c r="G109" s="374"/>
      <c r="H109" s="157"/>
      <c r="I109" s="309">
        <f t="shared" si="65"/>
        <v>0</v>
      </c>
      <c r="J109" s="310">
        <f t="shared" si="54"/>
        <v>0</v>
      </c>
      <c r="K109" s="310"/>
      <c r="L109" s="310">
        <f t="shared" si="55"/>
        <v>0</v>
      </c>
      <c r="M109" s="310"/>
      <c r="N109" s="311">
        <f t="shared" si="56"/>
        <v>0</v>
      </c>
      <c r="O109" s="312">
        <f t="shared" si="57"/>
        <v>0</v>
      </c>
      <c r="P109" s="309">
        <f t="shared" si="66"/>
        <v>0</v>
      </c>
      <c r="Q109" s="310">
        <f t="shared" si="58"/>
        <v>0</v>
      </c>
      <c r="R109" s="309">
        <f t="shared" si="67"/>
        <v>0</v>
      </c>
      <c r="S109" s="310">
        <f t="shared" si="59"/>
        <v>0</v>
      </c>
      <c r="T109" s="312">
        <f t="shared" si="60"/>
        <v>0</v>
      </c>
      <c r="U109" s="313" t="str">
        <f t="shared" si="68"/>
        <v/>
      </c>
      <c r="V109" s="309" t="str">
        <f t="shared" si="69"/>
        <v/>
      </c>
      <c r="W109" s="314" t="str">
        <f t="shared" si="61"/>
        <v/>
      </c>
      <c r="X109" s="314" t="str">
        <f t="shared" si="62"/>
        <v/>
      </c>
    </row>
    <row r="110" spans="1:24" x14ac:dyDescent="0.25">
      <c r="A110" s="157"/>
      <c r="B110" s="157"/>
      <c r="C110" s="157"/>
      <c r="D110" s="157"/>
      <c r="E110" s="159"/>
      <c r="F110" s="369"/>
      <c r="G110" s="374"/>
      <c r="H110" s="157"/>
      <c r="I110" s="309">
        <f t="shared" si="65"/>
        <v>0</v>
      </c>
      <c r="J110" s="310">
        <f t="shared" si="54"/>
        <v>0</v>
      </c>
      <c r="K110" s="310"/>
      <c r="L110" s="310">
        <f t="shared" si="55"/>
        <v>0</v>
      </c>
      <c r="M110" s="310"/>
      <c r="N110" s="311">
        <f t="shared" si="56"/>
        <v>0</v>
      </c>
      <c r="O110" s="312">
        <f t="shared" si="57"/>
        <v>0</v>
      </c>
      <c r="P110" s="309">
        <f t="shared" si="66"/>
        <v>0</v>
      </c>
      <c r="Q110" s="310">
        <f t="shared" si="58"/>
        <v>0</v>
      </c>
      <c r="R110" s="309">
        <f t="shared" si="67"/>
        <v>0</v>
      </c>
      <c r="S110" s="310">
        <f t="shared" si="59"/>
        <v>0</v>
      </c>
      <c r="T110" s="312">
        <f t="shared" si="60"/>
        <v>0</v>
      </c>
      <c r="U110" s="313" t="str">
        <f t="shared" si="68"/>
        <v/>
      </c>
      <c r="V110" s="309" t="str">
        <f t="shared" si="69"/>
        <v/>
      </c>
      <c r="W110" s="314" t="str">
        <f t="shared" si="61"/>
        <v/>
      </c>
      <c r="X110" s="314" t="str">
        <f t="shared" si="62"/>
        <v/>
      </c>
    </row>
    <row r="111" spans="1:24" x14ac:dyDescent="0.25">
      <c r="A111" s="157"/>
      <c r="B111" s="157"/>
      <c r="C111" s="157"/>
      <c r="D111" s="157"/>
      <c r="E111" s="159"/>
      <c r="F111" s="369"/>
      <c r="G111" s="374"/>
      <c r="H111" s="157"/>
      <c r="I111" s="309">
        <f t="shared" si="65"/>
        <v>0</v>
      </c>
      <c r="J111" s="310">
        <f t="shared" si="54"/>
        <v>0</v>
      </c>
      <c r="K111" s="310"/>
      <c r="L111" s="310">
        <f t="shared" si="55"/>
        <v>0</v>
      </c>
      <c r="M111" s="310"/>
      <c r="N111" s="311">
        <f t="shared" si="56"/>
        <v>0</v>
      </c>
      <c r="O111" s="312">
        <f t="shared" si="57"/>
        <v>0</v>
      </c>
      <c r="P111" s="309">
        <f t="shared" si="66"/>
        <v>0</v>
      </c>
      <c r="Q111" s="310">
        <f t="shared" si="58"/>
        <v>0</v>
      </c>
      <c r="R111" s="309">
        <f t="shared" si="67"/>
        <v>0</v>
      </c>
      <c r="S111" s="310">
        <f t="shared" si="59"/>
        <v>0</v>
      </c>
      <c r="T111" s="312">
        <f t="shared" si="60"/>
        <v>0</v>
      </c>
      <c r="U111" s="313" t="str">
        <f t="shared" si="68"/>
        <v/>
      </c>
      <c r="V111" s="309" t="str">
        <f t="shared" si="69"/>
        <v/>
      </c>
      <c r="W111" s="314" t="str">
        <f t="shared" si="61"/>
        <v/>
      </c>
      <c r="X111" s="314" t="str">
        <f t="shared" si="62"/>
        <v/>
      </c>
    </row>
    <row r="112" spans="1:24" x14ac:dyDescent="0.25">
      <c r="A112" s="158"/>
      <c r="B112" s="158"/>
      <c r="C112" s="158"/>
      <c r="D112" s="158"/>
      <c r="E112" s="159"/>
      <c r="F112" s="369"/>
      <c r="G112" s="374"/>
      <c r="H112" s="157"/>
      <c r="I112" s="309">
        <f t="shared" si="65"/>
        <v>0</v>
      </c>
      <c r="J112" s="310">
        <f t="shared" si="54"/>
        <v>0</v>
      </c>
      <c r="K112" s="310"/>
      <c r="L112" s="310">
        <f t="shared" si="55"/>
        <v>0</v>
      </c>
      <c r="M112" s="310"/>
      <c r="N112" s="311">
        <f t="shared" si="56"/>
        <v>0</v>
      </c>
      <c r="O112" s="312">
        <f t="shared" si="57"/>
        <v>0</v>
      </c>
      <c r="P112" s="309">
        <f t="shared" si="66"/>
        <v>0</v>
      </c>
      <c r="Q112" s="310">
        <f t="shared" si="58"/>
        <v>0</v>
      </c>
      <c r="R112" s="309">
        <f t="shared" si="67"/>
        <v>0</v>
      </c>
      <c r="S112" s="310">
        <f t="shared" si="59"/>
        <v>0</v>
      </c>
      <c r="T112" s="312">
        <f t="shared" si="60"/>
        <v>0</v>
      </c>
      <c r="U112" s="313" t="str">
        <f t="shared" si="68"/>
        <v/>
      </c>
      <c r="V112" s="309" t="str">
        <f t="shared" si="69"/>
        <v/>
      </c>
      <c r="W112" s="314" t="str">
        <f t="shared" si="61"/>
        <v/>
      </c>
      <c r="X112" s="314" t="str">
        <f t="shared" si="62"/>
        <v/>
      </c>
    </row>
    <row r="113" spans="1:24" x14ac:dyDescent="0.25">
      <c r="A113" s="158"/>
      <c r="B113" s="158"/>
      <c r="C113" s="158"/>
      <c r="D113" s="158"/>
      <c r="E113" s="159"/>
      <c r="F113" s="369"/>
      <c r="G113" s="374"/>
      <c r="H113" s="157"/>
      <c r="I113" s="309">
        <f t="shared" si="65"/>
        <v>0</v>
      </c>
      <c r="J113" s="310">
        <f t="shared" si="54"/>
        <v>0</v>
      </c>
      <c r="K113" s="310"/>
      <c r="L113" s="310">
        <f t="shared" si="55"/>
        <v>0</v>
      </c>
      <c r="M113" s="310"/>
      <c r="N113" s="311">
        <f t="shared" si="56"/>
        <v>0</v>
      </c>
      <c r="O113" s="312">
        <f t="shared" si="57"/>
        <v>0</v>
      </c>
      <c r="P113" s="309">
        <f t="shared" si="66"/>
        <v>0</v>
      </c>
      <c r="Q113" s="310">
        <f t="shared" si="58"/>
        <v>0</v>
      </c>
      <c r="R113" s="309">
        <f t="shared" si="67"/>
        <v>0</v>
      </c>
      <c r="S113" s="310">
        <f t="shared" si="59"/>
        <v>0</v>
      </c>
      <c r="T113" s="312">
        <f t="shared" si="60"/>
        <v>0</v>
      </c>
      <c r="U113" s="313" t="str">
        <f t="shared" si="68"/>
        <v/>
      </c>
      <c r="V113" s="309" t="str">
        <f t="shared" si="69"/>
        <v/>
      </c>
      <c r="W113" s="314" t="str">
        <f t="shared" si="61"/>
        <v/>
      </c>
      <c r="X113" s="314" t="str">
        <f t="shared" si="62"/>
        <v/>
      </c>
    </row>
    <row r="114" spans="1:24" x14ac:dyDescent="0.25">
      <c r="A114" s="157"/>
      <c r="B114" s="157"/>
      <c r="C114" s="157"/>
      <c r="D114" s="157"/>
      <c r="E114" s="159"/>
      <c r="F114" s="369"/>
      <c r="G114" s="374"/>
      <c r="H114" s="157"/>
      <c r="I114" s="309">
        <f t="shared" si="65"/>
        <v>0</v>
      </c>
      <c r="J114" s="310">
        <f t="shared" si="54"/>
        <v>0</v>
      </c>
      <c r="K114" s="310"/>
      <c r="L114" s="310">
        <f t="shared" si="55"/>
        <v>0</v>
      </c>
      <c r="M114" s="310"/>
      <c r="N114" s="311">
        <f t="shared" si="56"/>
        <v>0</v>
      </c>
      <c r="O114" s="312">
        <f t="shared" si="57"/>
        <v>0</v>
      </c>
      <c r="P114" s="309">
        <f t="shared" si="66"/>
        <v>0</v>
      </c>
      <c r="Q114" s="310">
        <f t="shared" si="58"/>
        <v>0</v>
      </c>
      <c r="R114" s="309">
        <f t="shared" si="67"/>
        <v>0</v>
      </c>
      <c r="S114" s="310">
        <f t="shared" si="59"/>
        <v>0</v>
      </c>
      <c r="T114" s="312">
        <f t="shared" si="60"/>
        <v>0</v>
      </c>
      <c r="U114" s="313" t="str">
        <f t="shared" si="68"/>
        <v/>
      </c>
      <c r="V114" s="309" t="str">
        <f t="shared" si="69"/>
        <v/>
      </c>
      <c r="W114" s="314" t="str">
        <f t="shared" si="61"/>
        <v/>
      </c>
      <c r="X114" s="314" t="str">
        <f t="shared" si="62"/>
        <v/>
      </c>
    </row>
    <row r="115" spans="1:24" x14ac:dyDescent="0.25">
      <c r="A115" s="157"/>
      <c r="B115" s="157"/>
      <c r="C115" s="157"/>
      <c r="D115" s="157"/>
      <c r="E115" s="159"/>
      <c r="F115" s="369"/>
      <c r="G115" s="374"/>
      <c r="H115" s="157"/>
      <c r="I115" s="309">
        <f>IF(ISBLANK(B115),0,VLOOKUP(A115&amp;B115,Project,3))</f>
        <v>0</v>
      </c>
      <c r="J115" s="310">
        <f>E115*I115</f>
        <v>0</v>
      </c>
      <c r="K115" s="310"/>
      <c r="L115" s="310">
        <f>ROUND((J115+K115)*0.1,2)</f>
        <v>0</v>
      </c>
      <c r="M115" s="310"/>
      <c r="N115" s="311">
        <f>SUM(J115:M115)</f>
        <v>0</v>
      </c>
      <c r="O115" s="312">
        <f>IF(ISBLANK(G115),N115,0)</f>
        <v>0</v>
      </c>
      <c r="P115" s="309">
        <f>IF(ISBLANK(C115),0,VLOOKUP(A115&amp;B115,Project,4))</f>
        <v>0</v>
      </c>
      <c r="Q115" s="310">
        <f>E115*P115</f>
        <v>0</v>
      </c>
      <c r="R115" s="309">
        <f>IF(ISBLANK(C115),0,VLOOKUP(A115&amp;B115,Project,5))*Q115*0.1</f>
        <v>0</v>
      </c>
      <c r="S115" s="310">
        <f>SUM(Q115:R115)</f>
        <v>0</v>
      </c>
      <c r="T115" s="312">
        <f>IF(Q115=0,0,J115-Q115)</f>
        <v>0</v>
      </c>
      <c r="U115" s="313" t="str">
        <f>IF(ISBLANK($A115),"",VLOOKUP($A115,Customer,2))</f>
        <v/>
      </c>
      <c r="V115" s="309" t="str">
        <f>IF(ISBLANK($A115),"",VLOOKUP(CONCATENATE($A115,$B115),invProject,2))</f>
        <v/>
      </c>
      <c r="W115" s="314" t="str">
        <f>GETPERIOD(F115)</f>
        <v/>
      </c>
      <c r="X115" s="314" t="str">
        <f>GETPERIOD(G115)</f>
        <v/>
      </c>
    </row>
    <row r="116" spans="1:24" x14ac:dyDescent="0.25">
      <c r="A116" s="157"/>
      <c r="B116" s="157"/>
      <c r="C116" s="157"/>
      <c r="D116" s="157"/>
      <c r="E116" s="159"/>
      <c r="F116" s="369"/>
      <c r="G116" s="374"/>
      <c r="H116" s="157"/>
      <c r="I116" s="309">
        <f t="shared" si="65"/>
        <v>0</v>
      </c>
      <c r="J116" s="310">
        <f t="shared" si="54"/>
        <v>0</v>
      </c>
      <c r="K116" s="310"/>
      <c r="L116" s="310">
        <f t="shared" si="55"/>
        <v>0</v>
      </c>
      <c r="M116" s="310"/>
      <c r="N116" s="311">
        <f t="shared" si="56"/>
        <v>0</v>
      </c>
      <c r="O116" s="312">
        <f t="shared" si="57"/>
        <v>0</v>
      </c>
      <c r="P116" s="309">
        <f t="shared" si="66"/>
        <v>0</v>
      </c>
      <c r="Q116" s="310">
        <f t="shared" si="58"/>
        <v>0</v>
      </c>
      <c r="R116" s="309">
        <f t="shared" si="67"/>
        <v>0</v>
      </c>
      <c r="S116" s="310">
        <f t="shared" si="59"/>
        <v>0</v>
      </c>
      <c r="T116" s="312">
        <f t="shared" si="60"/>
        <v>0</v>
      </c>
      <c r="U116" s="313" t="str">
        <f t="shared" si="68"/>
        <v/>
      </c>
      <c r="V116" s="309" t="str">
        <f t="shared" si="69"/>
        <v/>
      </c>
      <c r="W116" s="314" t="str">
        <f t="shared" si="61"/>
        <v/>
      </c>
      <c r="X116" s="314" t="str">
        <f t="shared" si="62"/>
        <v/>
      </c>
    </row>
    <row r="117" spans="1:24" x14ac:dyDescent="0.25">
      <c r="A117" s="157"/>
      <c r="B117" s="157"/>
      <c r="C117" s="157"/>
      <c r="D117" s="157"/>
      <c r="E117" s="159"/>
      <c r="F117" s="369"/>
      <c r="G117" s="374"/>
      <c r="H117" s="157"/>
      <c r="I117" s="309">
        <f t="shared" si="65"/>
        <v>0</v>
      </c>
      <c r="J117" s="310">
        <f t="shared" si="54"/>
        <v>0</v>
      </c>
      <c r="K117" s="310"/>
      <c r="L117" s="310">
        <f t="shared" si="55"/>
        <v>0</v>
      </c>
      <c r="M117" s="310"/>
      <c r="N117" s="311">
        <f t="shared" si="56"/>
        <v>0</v>
      </c>
      <c r="O117" s="312">
        <f t="shared" si="57"/>
        <v>0</v>
      </c>
      <c r="P117" s="309">
        <f t="shared" si="66"/>
        <v>0</v>
      </c>
      <c r="Q117" s="310">
        <f t="shared" si="58"/>
        <v>0</v>
      </c>
      <c r="R117" s="309">
        <f t="shared" si="67"/>
        <v>0</v>
      </c>
      <c r="S117" s="310">
        <f t="shared" si="59"/>
        <v>0</v>
      </c>
      <c r="T117" s="312">
        <f t="shared" si="60"/>
        <v>0</v>
      </c>
      <c r="U117" s="313" t="str">
        <f t="shared" si="68"/>
        <v/>
      </c>
      <c r="V117" s="309" t="str">
        <f t="shared" si="69"/>
        <v/>
      </c>
      <c r="W117" s="314" t="str">
        <f t="shared" si="61"/>
        <v/>
      </c>
      <c r="X117" s="314" t="str">
        <f t="shared" si="62"/>
        <v/>
      </c>
    </row>
    <row r="118" spans="1:24" x14ac:dyDescent="0.25">
      <c r="A118" s="157"/>
      <c r="B118" s="157"/>
      <c r="C118" s="157"/>
      <c r="D118" s="157"/>
      <c r="E118" s="159"/>
      <c r="F118" s="369"/>
      <c r="G118" s="374"/>
      <c r="H118" s="157"/>
      <c r="I118" s="309">
        <f t="shared" si="65"/>
        <v>0</v>
      </c>
      <c r="J118" s="310">
        <f t="shared" si="54"/>
        <v>0</v>
      </c>
      <c r="K118" s="310"/>
      <c r="L118" s="310">
        <f t="shared" si="55"/>
        <v>0</v>
      </c>
      <c r="M118" s="310"/>
      <c r="N118" s="311">
        <f t="shared" si="56"/>
        <v>0</v>
      </c>
      <c r="O118" s="312">
        <f t="shared" si="57"/>
        <v>0</v>
      </c>
      <c r="P118" s="309">
        <f t="shared" si="66"/>
        <v>0</v>
      </c>
      <c r="Q118" s="310">
        <f t="shared" si="58"/>
        <v>0</v>
      </c>
      <c r="R118" s="309">
        <f t="shared" si="67"/>
        <v>0</v>
      </c>
      <c r="S118" s="310">
        <f t="shared" si="59"/>
        <v>0</v>
      </c>
      <c r="T118" s="312">
        <f t="shared" si="60"/>
        <v>0</v>
      </c>
      <c r="U118" s="313" t="str">
        <f t="shared" si="68"/>
        <v/>
      </c>
      <c r="V118" s="309" t="str">
        <f t="shared" si="69"/>
        <v/>
      </c>
      <c r="W118" s="314" t="str">
        <f t="shared" si="61"/>
        <v/>
      </c>
      <c r="X118" s="314" t="str">
        <f t="shared" si="62"/>
        <v/>
      </c>
    </row>
    <row r="119" spans="1:24" x14ac:dyDescent="0.25">
      <c r="A119" s="158"/>
      <c r="B119" s="158"/>
      <c r="C119" s="158"/>
      <c r="D119" s="158"/>
      <c r="E119" s="159"/>
      <c r="F119" s="369"/>
      <c r="G119" s="374"/>
      <c r="H119" s="157"/>
      <c r="I119" s="309">
        <f t="shared" si="65"/>
        <v>0</v>
      </c>
      <c r="J119" s="310">
        <f t="shared" si="54"/>
        <v>0</v>
      </c>
      <c r="K119" s="310"/>
      <c r="L119" s="310">
        <f t="shared" si="55"/>
        <v>0</v>
      </c>
      <c r="M119" s="310"/>
      <c r="N119" s="311">
        <f t="shared" si="56"/>
        <v>0</v>
      </c>
      <c r="O119" s="312">
        <f t="shared" si="57"/>
        <v>0</v>
      </c>
      <c r="P119" s="309">
        <f t="shared" si="66"/>
        <v>0</v>
      </c>
      <c r="Q119" s="310">
        <f t="shared" si="58"/>
        <v>0</v>
      </c>
      <c r="R119" s="309">
        <f t="shared" si="67"/>
        <v>0</v>
      </c>
      <c r="S119" s="310">
        <f t="shared" si="59"/>
        <v>0</v>
      </c>
      <c r="T119" s="312">
        <f t="shared" si="60"/>
        <v>0</v>
      </c>
      <c r="U119" s="313" t="str">
        <f t="shared" si="68"/>
        <v/>
      </c>
      <c r="V119" s="309" t="str">
        <f t="shared" si="69"/>
        <v/>
      </c>
      <c r="W119" s="314" t="str">
        <f t="shared" si="61"/>
        <v/>
      </c>
      <c r="X119" s="314" t="str">
        <f t="shared" si="62"/>
        <v/>
      </c>
    </row>
    <row r="120" spans="1:24" x14ac:dyDescent="0.25">
      <c r="A120" s="157"/>
      <c r="B120" s="157"/>
      <c r="C120" s="157"/>
      <c r="D120" s="157"/>
      <c r="E120" s="159"/>
      <c r="F120" s="369"/>
      <c r="G120" s="374"/>
      <c r="H120" s="157"/>
      <c r="I120" s="309">
        <f t="shared" si="65"/>
        <v>0</v>
      </c>
      <c r="J120" s="310">
        <f t="shared" si="54"/>
        <v>0</v>
      </c>
      <c r="K120" s="310"/>
      <c r="L120" s="310">
        <f t="shared" si="55"/>
        <v>0</v>
      </c>
      <c r="M120" s="310"/>
      <c r="N120" s="311">
        <f t="shared" si="56"/>
        <v>0</v>
      </c>
      <c r="O120" s="312">
        <f t="shared" si="57"/>
        <v>0</v>
      </c>
      <c r="P120" s="309">
        <f t="shared" si="66"/>
        <v>0</v>
      </c>
      <c r="Q120" s="310">
        <f t="shared" si="58"/>
        <v>0</v>
      </c>
      <c r="R120" s="309">
        <f t="shared" si="67"/>
        <v>0</v>
      </c>
      <c r="S120" s="310">
        <f t="shared" si="59"/>
        <v>0</v>
      </c>
      <c r="T120" s="312">
        <f t="shared" si="60"/>
        <v>0</v>
      </c>
      <c r="U120" s="313" t="str">
        <f t="shared" si="68"/>
        <v/>
      </c>
      <c r="V120" s="309" t="str">
        <f t="shared" si="69"/>
        <v/>
      </c>
      <c r="W120" s="314" t="str">
        <f t="shared" si="61"/>
        <v/>
      </c>
      <c r="X120" s="314" t="str">
        <f t="shared" si="62"/>
        <v/>
      </c>
    </row>
    <row r="121" spans="1:24" x14ac:dyDescent="0.25">
      <c r="A121" s="157"/>
      <c r="B121" s="157"/>
      <c r="C121" s="157"/>
      <c r="D121" s="157"/>
      <c r="E121" s="159"/>
      <c r="F121" s="369"/>
      <c r="G121" s="374"/>
      <c r="H121" s="157"/>
      <c r="I121" s="309">
        <f t="shared" si="65"/>
        <v>0</v>
      </c>
      <c r="J121" s="310">
        <f t="shared" si="54"/>
        <v>0</v>
      </c>
      <c r="K121" s="310"/>
      <c r="L121" s="310">
        <f t="shared" si="55"/>
        <v>0</v>
      </c>
      <c r="M121" s="310"/>
      <c r="N121" s="311">
        <f t="shared" si="56"/>
        <v>0</v>
      </c>
      <c r="O121" s="312">
        <f t="shared" si="57"/>
        <v>0</v>
      </c>
      <c r="P121" s="309">
        <f t="shared" si="66"/>
        <v>0</v>
      </c>
      <c r="Q121" s="310">
        <f t="shared" si="58"/>
        <v>0</v>
      </c>
      <c r="R121" s="309">
        <f t="shared" si="67"/>
        <v>0</v>
      </c>
      <c r="S121" s="310">
        <f t="shared" si="59"/>
        <v>0</v>
      </c>
      <c r="T121" s="312">
        <f t="shared" si="60"/>
        <v>0</v>
      </c>
      <c r="U121" s="313" t="str">
        <f t="shared" si="68"/>
        <v/>
      </c>
      <c r="V121" s="309" t="str">
        <f t="shared" si="69"/>
        <v/>
      </c>
      <c r="W121" s="314" t="str">
        <f t="shared" si="61"/>
        <v/>
      </c>
      <c r="X121" s="314" t="str">
        <f t="shared" si="62"/>
        <v/>
      </c>
    </row>
    <row r="122" spans="1:24" x14ac:dyDescent="0.25">
      <c r="A122" s="158"/>
      <c r="B122" s="158"/>
      <c r="C122" s="158"/>
      <c r="D122" s="158"/>
      <c r="E122" s="159"/>
      <c r="F122" s="369"/>
      <c r="G122" s="374"/>
      <c r="H122" s="157"/>
      <c r="I122" s="309">
        <f t="shared" si="65"/>
        <v>0</v>
      </c>
      <c r="J122" s="310">
        <f t="shared" si="54"/>
        <v>0</v>
      </c>
      <c r="K122" s="310"/>
      <c r="L122" s="310">
        <f t="shared" si="55"/>
        <v>0</v>
      </c>
      <c r="M122" s="310"/>
      <c r="N122" s="311">
        <f t="shared" si="56"/>
        <v>0</v>
      </c>
      <c r="O122" s="312">
        <f t="shared" si="57"/>
        <v>0</v>
      </c>
      <c r="P122" s="309">
        <f t="shared" si="66"/>
        <v>0</v>
      </c>
      <c r="Q122" s="310">
        <f t="shared" si="58"/>
        <v>0</v>
      </c>
      <c r="R122" s="309">
        <f t="shared" si="67"/>
        <v>0</v>
      </c>
      <c r="S122" s="310">
        <f t="shared" si="59"/>
        <v>0</v>
      </c>
      <c r="T122" s="312">
        <f t="shared" si="60"/>
        <v>0</v>
      </c>
      <c r="U122" s="313" t="str">
        <f t="shared" si="68"/>
        <v/>
      </c>
      <c r="V122" s="309" t="str">
        <f t="shared" si="69"/>
        <v/>
      </c>
      <c r="W122" s="314" t="str">
        <f t="shared" si="61"/>
        <v/>
      </c>
      <c r="X122" s="314" t="str">
        <f t="shared" si="62"/>
        <v/>
      </c>
    </row>
    <row r="123" spans="1:24" x14ac:dyDescent="0.25">
      <c r="A123" s="295"/>
      <c r="B123" s="295"/>
      <c r="C123" s="295"/>
      <c r="D123" s="295"/>
      <c r="E123" s="159"/>
      <c r="F123" s="369"/>
      <c r="G123" s="374"/>
      <c r="H123" s="157"/>
      <c r="I123" s="309">
        <f t="shared" si="65"/>
        <v>0</v>
      </c>
      <c r="J123" s="310">
        <f t="shared" si="54"/>
        <v>0</v>
      </c>
      <c r="K123" s="310"/>
      <c r="L123" s="310">
        <f t="shared" si="55"/>
        <v>0</v>
      </c>
      <c r="M123" s="310"/>
      <c r="N123" s="311">
        <f t="shared" si="56"/>
        <v>0</v>
      </c>
      <c r="O123" s="312">
        <f t="shared" si="57"/>
        <v>0</v>
      </c>
      <c r="P123" s="309">
        <f t="shared" si="66"/>
        <v>0</v>
      </c>
      <c r="Q123" s="310">
        <f t="shared" si="58"/>
        <v>0</v>
      </c>
      <c r="R123" s="309">
        <f t="shared" si="67"/>
        <v>0</v>
      </c>
      <c r="S123" s="310">
        <f t="shared" si="59"/>
        <v>0</v>
      </c>
      <c r="T123" s="312">
        <f t="shared" si="60"/>
        <v>0</v>
      </c>
      <c r="U123" s="313" t="str">
        <f t="shared" si="68"/>
        <v/>
      </c>
      <c r="V123" s="309" t="str">
        <f t="shared" si="69"/>
        <v/>
      </c>
      <c r="W123" s="314" t="str">
        <f t="shared" si="61"/>
        <v/>
      </c>
      <c r="X123" s="314" t="str">
        <f t="shared" si="62"/>
        <v/>
      </c>
    </row>
    <row r="124" spans="1:24" x14ac:dyDescent="0.25">
      <c r="A124" s="158"/>
      <c r="B124" s="158"/>
      <c r="C124" s="158"/>
      <c r="D124" s="158"/>
      <c r="E124" s="159"/>
      <c r="F124" s="369"/>
      <c r="G124" s="374"/>
      <c r="H124" s="157"/>
      <c r="I124" s="309">
        <f t="shared" si="65"/>
        <v>0</v>
      </c>
      <c r="J124" s="310">
        <f t="shared" si="54"/>
        <v>0</v>
      </c>
      <c r="K124" s="310"/>
      <c r="L124" s="310">
        <f t="shared" si="55"/>
        <v>0</v>
      </c>
      <c r="M124" s="310"/>
      <c r="N124" s="311">
        <f t="shared" si="56"/>
        <v>0</v>
      </c>
      <c r="O124" s="312">
        <f t="shared" si="57"/>
        <v>0</v>
      </c>
      <c r="P124" s="309">
        <f t="shared" si="66"/>
        <v>0</v>
      </c>
      <c r="Q124" s="310">
        <f t="shared" si="58"/>
        <v>0</v>
      </c>
      <c r="R124" s="309">
        <f t="shared" si="67"/>
        <v>0</v>
      </c>
      <c r="S124" s="310">
        <f t="shared" si="59"/>
        <v>0</v>
      </c>
      <c r="T124" s="312">
        <f t="shared" si="60"/>
        <v>0</v>
      </c>
      <c r="U124" s="313" t="str">
        <f t="shared" si="68"/>
        <v/>
      </c>
      <c r="V124" s="309" t="str">
        <f t="shared" si="69"/>
        <v/>
      </c>
      <c r="W124" s="314" t="str">
        <f t="shared" si="61"/>
        <v/>
      </c>
      <c r="X124" s="314" t="str">
        <f t="shared" si="62"/>
        <v/>
      </c>
    </row>
    <row r="125" spans="1:24" x14ac:dyDescent="0.25">
      <c r="A125" s="157"/>
      <c r="B125" s="157"/>
      <c r="C125" s="157"/>
      <c r="D125" s="157"/>
      <c r="E125" s="159"/>
      <c r="F125" s="369"/>
      <c r="G125" s="374"/>
      <c r="H125" s="157"/>
      <c r="I125" s="309">
        <f t="shared" si="65"/>
        <v>0</v>
      </c>
      <c r="J125" s="310">
        <f t="shared" si="54"/>
        <v>0</v>
      </c>
      <c r="K125" s="310"/>
      <c r="L125" s="310">
        <f t="shared" si="55"/>
        <v>0</v>
      </c>
      <c r="M125" s="310"/>
      <c r="N125" s="311">
        <f t="shared" si="56"/>
        <v>0</v>
      </c>
      <c r="O125" s="312">
        <f t="shared" si="57"/>
        <v>0</v>
      </c>
      <c r="P125" s="309">
        <f t="shared" si="66"/>
        <v>0</v>
      </c>
      <c r="Q125" s="310">
        <f t="shared" si="58"/>
        <v>0</v>
      </c>
      <c r="R125" s="309">
        <f t="shared" si="67"/>
        <v>0</v>
      </c>
      <c r="S125" s="310">
        <f t="shared" si="59"/>
        <v>0</v>
      </c>
      <c r="T125" s="312">
        <f t="shared" si="60"/>
        <v>0</v>
      </c>
      <c r="U125" s="313" t="str">
        <f t="shared" si="68"/>
        <v/>
      </c>
      <c r="V125" s="309" t="str">
        <f t="shared" si="69"/>
        <v/>
      </c>
      <c r="W125" s="314" t="str">
        <f t="shared" si="61"/>
        <v/>
      </c>
      <c r="X125" s="314" t="str">
        <f t="shared" si="62"/>
        <v/>
      </c>
    </row>
    <row r="126" spans="1:24" x14ac:dyDescent="0.25">
      <c r="A126" s="157"/>
      <c r="B126" s="157"/>
      <c r="C126" s="157"/>
      <c r="D126" s="157"/>
      <c r="E126" s="159"/>
      <c r="F126" s="369"/>
      <c r="G126" s="374"/>
      <c r="H126" s="157"/>
      <c r="I126" s="309">
        <f t="shared" si="65"/>
        <v>0</v>
      </c>
      <c r="J126" s="310">
        <f t="shared" si="54"/>
        <v>0</v>
      </c>
      <c r="K126" s="310"/>
      <c r="L126" s="310">
        <f t="shared" si="55"/>
        <v>0</v>
      </c>
      <c r="M126" s="310"/>
      <c r="N126" s="311">
        <f t="shared" si="56"/>
        <v>0</v>
      </c>
      <c r="O126" s="312">
        <f t="shared" si="57"/>
        <v>0</v>
      </c>
      <c r="P126" s="309">
        <f t="shared" si="66"/>
        <v>0</v>
      </c>
      <c r="Q126" s="310">
        <f t="shared" si="58"/>
        <v>0</v>
      </c>
      <c r="R126" s="309">
        <f t="shared" si="67"/>
        <v>0</v>
      </c>
      <c r="S126" s="310">
        <f t="shared" si="59"/>
        <v>0</v>
      </c>
      <c r="T126" s="312">
        <f t="shared" si="60"/>
        <v>0</v>
      </c>
      <c r="U126" s="313" t="str">
        <f t="shared" si="68"/>
        <v/>
      </c>
      <c r="V126" s="309" t="str">
        <f t="shared" si="69"/>
        <v/>
      </c>
      <c r="W126" s="314" t="str">
        <f t="shared" si="61"/>
        <v/>
      </c>
      <c r="X126" s="314" t="str">
        <f t="shared" si="62"/>
        <v/>
      </c>
    </row>
    <row r="127" spans="1:24" x14ac:dyDescent="0.25">
      <c r="A127" s="157"/>
      <c r="B127" s="157"/>
      <c r="C127" s="157"/>
      <c r="D127" s="157"/>
      <c r="E127" s="159"/>
      <c r="F127" s="369"/>
      <c r="G127" s="374"/>
      <c r="H127" s="157"/>
      <c r="I127" s="309">
        <f t="shared" si="65"/>
        <v>0</v>
      </c>
      <c r="J127" s="310">
        <f t="shared" si="54"/>
        <v>0</v>
      </c>
      <c r="K127" s="310"/>
      <c r="L127" s="310">
        <f t="shared" si="55"/>
        <v>0</v>
      </c>
      <c r="M127" s="310"/>
      <c r="N127" s="311">
        <f t="shared" si="56"/>
        <v>0</v>
      </c>
      <c r="O127" s="312">
        <f t="shared" si="57"/>
        <v>0</v>
      </c>
      <c r="P127" s="309">
        <f t="shared" si="66"/>
        <v>0</v>
      </c>
      <c r="Q127" s="310">
        <f t="shared" si="58"/>
        <v>0</v>
      </c>
      <c r="R127" s="309">
        <f t="shared" si="67"/>
        <v>0</v>
      </c>
      <c r="S127" s="310">
        <f t="shared" si="59"/>
        <v>0</v>
      </c>
      <c r="T127" s="312">
        <f t="shared" si="60"/>
        <v>0</v>
      </c>
      <c r="U127" s="313" t="str">
        <f t="shared" si="68"/>
        <v/>
      </c>
      <c r="V127" s="309" t="str">
        <f t="shared" si="69"/>
        <v/>
      </c>
      <c r="W127" s="314" t="str">
        <f t="shared" si="61"/>
        <v/>
      </c>
      <c r="X127" s="314" t="str">
        <f t="shared" si="62"/>
        <v/>
      </c>
    </row>
    <row r="128" spans="1:24" x14ac:dyDescent="0.25">
      <c r="A128" s="157"/>
      <c r="B128" s="157"/>
      <c r="C128" s="157"/>
      <c r="D128" s="157"/>
      <c r="E128" s="159"/>
      <c r="F128" s="369"/>
      <c r="G128" s="374"/>
      <c r="H128" s="157"/>
      <c r="I128" s="309">
        <f t="shared" si="65"/>
        <v>0</v>
      </c>
      <c r="J128" s="310">
        <f t="shared" si="54"/>
        <v>0</v>
      </c>
      <c r="K128" s="310"/>
      <c r="L128" s="310">
        <f t="shared" si="55"/>
        <v>0</v>
      </c>
      <c r="M128" s="310"/>
      <c r="N128" s="311">
        <f t="shared" si="56"/>
        <v>0</v>
      </c>
      <c r="O128" s="312">
        <f t="shared" si="57"/>
        <v>0</v>
      </c>
      <c r="P128" s="309">
        <f t="shared" si="66"/>
        <v>0</v>
      </c>
      <c r="Q128" s="310">
        <f t="shared" si="58"/>
        <v>0</v>
      </c>
      <c r="R128" s="309">
        <f t="shared" si="67"/>
        <v>0</v>
      </c>
      <c r="S128" s="310">
        <f t="shared" si="59"/>
        <v>0</v>
      </c>
      <c r="T128" s="312">
        <f t="shared" si="60"/>
        <v>0</v>
      </c>
      <c r="U128" s="313" t="str">
        <f t="shared" si="68"/>
        <v/>
      </c>
      <c r="V128" s="309" t="str">
        <f t="shared" si="69"/>
        <v/>
      </c>
      <c r="W128" s="314" t="str">
        <f t="shared" si="61"/>
        <v/>
      </c>
      <c r="X128" s="314" t="str">
        <f t="shared" si="62"/>
        <v/>
      </c>
    </row>
    <row r="129" spans="1:24" x14ac:dyDescent="0.25">
      <c r="A129" s="158"/>
      <c r="B129" s="158"/>
      <c r="C129" s="158"/>
      <c r="D129" s="158"/>
      <c r="E129" s="159"/>
      <c r="F129" s="369"/>
      <c r="G129" s="374"/>
      <c r="H129" s="157"/>
      <c r="I129" s="309">
        <f t="shared" si="65"/>
        <v>0</v>
      </c>
      <c r="J129" s="310">
        <f t="shared" si="54"/>
        <v>0</v>
      </c>
      <c r="K129" s="310"/>
      <c r="L129" s="310">
        <f t="shared" si="55"/>
        <v>0</v>
      </c>
      <c r="M129" s="310"/>
      <c r="N129" s="311">
        <f t="shared" si="56"/>
        <v>0</v>
      </c>
      <c r="O129" s="312">
        <f t="shared" si="57"/>
        <v>0</v>
      </c>
      <c r="P129" s="309">
        <f t="shared" si="66"/>
        <v>0</v>
      </c>
      <c r="Q129" s="310">
        <f t="shared" si="58"/>
        <v>0</v>
      </c>
      <c r="R129" s="309">
        <f t="shared" si="67"/>
        <v>0</v>
      </c>
      <c r="S129" s="310">
        <f t="shared" si="59"/>
        <v>0</v>
      </c>
      <c r="T129" s="312">
        <f t="shared" si="60"/>
        <v>0</v>
      </c>
      <c r="U129" s="313" t="str">
        <f t="shared" si="68"/>
        <v/>
      </c>
      <c r="V129" s="309" t="str">
        <f t="shared" si="69"/>
        <v/>
      </c>
      <c r="W129" s="314" t="str">
        <f t="shared" si="61"/>
        <v/>
      </c>
      <c r="X129" s="314" t="str">
        <f t="shared" si="62"/>
        <v/>
      </c>
    </row>
    <row r="130" spans="1:24" x14ac:dyDescent="0.25">
      <c r="A130" s="158"/>
      <c r="B130" s="158"/>
      <c r="C130" s="158"/>
      <c r="D130" s="158"/>
      <c r="E130" s="159"/>
      <c r="F130" s="369"/>
      <c r="G130" s="374"/>
      <c r="H130" s="157"/>
      <c r="I130" s="309">
        <f t="shared" si="65"/>
        <v>0</v>
      </c>
      <c r="J130" s="310">
        <f t="shared" si="54"/>
        <v>0</v>
      </c>
      <c r="K130" s="310"/>
      <c r="L130" s="310">
        <f t="shared" si="55"/>
        <v>0</v>
      </c>
      <c r="M130" s="310"/>
      <c r="N130" s="311">
        <f t="shared" si="56"/>
        <v>0</v>
      </c>
      <c r="O130" s="312">
        <f t="shared" si="57"/>
        <v>0</v>
      </c>
      <c r="P130" s="309">
        <f t="shared" si="66"/>
        <v>0</v>
      </c>
      <c r="Q130" s="310">
        <f t="shared" si="58"/>
        <v>0</v>
      </c>
      <c r="R130" s="309">
        <f t="shared" si="67"/>
        <v>0</v>
      </c>
      <c r="S130" s="310">
        <f t="shared" si="59"/>
        <v>0</v>
      </c>
      <c r="T130" s="312">
        <f t="shared" si="60"/>
        <v>0</v>
      </c>
      <c r="U130" s="313" t="str">
        <f t="shared" si="68"/>
        <v/>
      </c>
      <c r="V130" s="309" t="str">
        <f t="shared" si="69"/>
        <v/>
      </c>
      <c r="W130" s="314" t="str">
        <f t="shared" si="61"/>
        <v/>
      </c>
      <c r="X130" s="314" t="str">
        <f t="shared" si="62"/>
        <v/>
      </c>
    </row>
    <row r="131" spans="1:24" x14ac:dyDescent="0.25">
      <c r="A131" s="295"/>
      <c r="B131" s="295"/>
      <c r="C131" s="295"/>
      <c r="D131" s="295"/>
      <c r="E131" s="159"/>
      <c r="F131" s="369"/>
      <c r="G131" s="374"/>
      <c r="H131" s="157"/>
      <c r="I131" s="309">
        <f t="shared" ref="I131:I140" si="70">IF(ISBLANK(B131),0,VLOOKUP(A131&amp;B131,Project,3))</f>
        <v>0</v>
      </c>
      <c r="J131" s="310">
        <f t="shared" si="54"/>
        <v>0</v>
      </c>
      <c r="K131" s="310"/>
      <c r="L131" s="310">
        <f t="shared" si="55"/>
        <v>0</v>
      </c>
      <c r="M131" s="310"/>
      <c r="N131" s="311">
        <f t="shared" si="56"/>
        <v>0</v>
      </c>
      <c r="O131" s="312">
        <f t="shared" si="57"/>
        <v>0</v>
      </c>
      <c r="P131" s="309">
        <f t="shared" ref="P131:P140" si="71">IF(ISBLANK(C131),0,VLOOKUP(A131&amp;B131,Project,4))</f>
        <v>0</v>
      </c>
      <c r="Q131" s="310">
        <f t="shared" si="58"/>
        <v>0</v>
      </c>
      <c r="R131" s="309">
        <f t="shared" ref="R131:R140" si="72">IF(ISBLANK(C131),0,VLOOKUP(A131&amp;B131,Project,5))*Q131*0.1</f>
        <v>0</v>
      </c>
      <c r="S131" s="310">
        <f t="shared" si="59"/>
        <v>0</v>
      </c>
      <c r="T131" s="312">
        <f t="shared" si="60"/>
        <v>0</v>
      </c>
      <c r="U131" s="313" t="str">
        <f t="shared" si="68"/>
        <v/>
      </c>
      <c r="V131" s="309" t="str">
        <f t="shared" si="69"/>
        <v/>
      </c>
      <c r="W131" s="314" t="str">
        <f t="shared" si="61"/>
        <v/>
      </c>
      <c r="X131" s="314" t="str">
        <f t="shared" si="62"/>
        <v/>
      </c>
    </row>
    <row r="132" spans="1:24" x14ac:dyDescent="0.25">
      <c r="A132" s="295"/>
      <c r="B132" s="295"/>
      <c r="C132" s="295"/>
      <c r="D132" s="295"/>
      <c r="E132" s="159"/>
      <c r="F132" s="369"/>
      <c r="G132" s="374"/>
      <c r="H132" s="157"/>
      <c r="I132" s="309">
        <f t="shared" si="70"/>
        <v>0</v>
      </c>
      <c r="J132" s="310">
        <f t="shared" ref="J132:J140" si="73">E132*I132</f>
        <v>0</v>
      </c>
      <c r="K132" s="310"/>
      <c r="L132" s="310">
        <f t="shared" ref="L132:L140" si="74">ROUND((J132+K132)*0.1,2)</f>
        <v>0</v>
      </c>
      <c r="M132" s="310"/>
      <c r="N132" s="311">
        <f t="shared" ref="N132:N140" si="75">SUM(J132:M132)</f>
        <v>0</v>
      </c>
      <c r="O132" s="312">
        <f t="shared" ref="O132:O140" si="76">IF(ISBLANK(G132),N132,0)</f>
        <v>0</v>
      </c>
      <c r="P132" s="309">
        <f t="shared" si="71"/>
        <v>0</v>
      </c>
      <c r="Q132" s="310">
        <f t="shared" ref="Q132:Q140" si="77">E132*P132</f>
        <v>0</v>
      </c>
      <c r="R132" s="309">
        <f t="shared" si="72"/>
        <v>0</v>
      </c>
      <c r="S132" s="310">
        <f t="shared" ref="S132:S140" si="78">SUM(Q132:R132)</f>
        <v>0</v>
      </c>
      <c r="T132" s="312">
        <f t="shared" ref="T132:T140" si="79">IF(Q132=0,0,J132-Q132)</f>
        <v>0</v>
      </c>
      <c r="U132" s="313" t="str">
        <f t="shared" si="68"/>
        <v/>
      </c>
      <c r="V132" s="309" t="str">
        <f t="shared" si="69"/>
        <v/>
      </c>
      <c r="W132" s="314" t="str">
        <f t="shared" ref="W132:W140" si="80">GETPERIOD(F132)</f>
        <v/>
      </c>
      <c r="X132" s="314" t="str">
        <f t="shared" ref="X132:X140" si="81">GETPERIOD(G132)</f>
        <v/>
      </c>
    </row>
    <row r="133" spans="1:24" x14ac:dyDescent="0.25">
      <c r="A133" s="295"/>
      <c r="B133" s="295"/>
      <c r="C133" s="295"/>
      <c r="D133" s="295"/>
      <c r="E133" s="159"/>
      <c r="F133" s="369"/>
      <c r="G133" s="374"/>
      <c r="H133" s="157"/>
      <c r="I133" s="309">
        <f t="shared" si="70"/>
        <v>0</v>
      </c>
      <c r="J133" s="310">
        <f t="shared" si="73"/>
        <v>0</v>
      </c>
      <c r="K133" s="310"/>
      <c r="L133" s="310">
        <f t="shared" si="74"/>
        <v>0</v>
      </c>
      <c r="M133" s="310"/>
      <c r="N133" s="311">
        <f t="shared" si="75"/>
        <v>0</v>
      </c>
      <c r="O133" s="312">
        <f t="shared" si="76"/>
        <v>0</v>
      </c>
      <c r="P133" s="309">
        <f t="shared" si="71"/>
        <v>0</v>
      </c>
      <c r="Q133" s="310">
        <f t="shared" si="77"/>
        <v>0</v>
      </c>
      <c r="R133" s="309">
        <f t="shared" si="72"/>
        <v>0</v>
      </c>
      <c r="S133" s="310">
        <f t="shared" si="78"/>
        <v>0</v>
      </c>
      <c r="T133" s="312">
        <f t="shared" si="79"/>
        <v>0</v>
      </c>
      <c r="U133" s="313" t="str">
        <f t="shared" ref="U133:U140" si="82">IF(ISBLANK($A133),"",VLOOKUP($A133,Customer,2))</f>
        <v/>
      </c>
      <c r="V133" s="309" t="str">
        <f t="shared" ref="V133:V140" si="83">IF(ISBLANK($A133),"",VLOOKUP(CONCATENATE($A133,$B133),invProject,2))</f>
        <v/>
      </c>
      <c r="W133" s="314" t="str">
        <f t="shared" si="80"/>
        <v/>
      </c>
      <c r="X133" s="314" t="str">
        <f t="shared" si="81"/>
        <v/>
      </c>
    </row>
    <row r="134" spans="1:24" x14ac:dyDescent="0.25">
      <c r="A134" s="295"/>
      <c r="B134" s="295"/>
      <c r="C134" s="295"/>
      <c r="D134" s="295"/>
      <c r="E134" s="159"/>
      <c r="F134" s="369"/>
      <c r="G134" s="374"/>
      <c r="H134" s="157"/>
      <c r="I134" s="309">
        <f t="shared" si="70"/>
        <v>0</v>
      </c>
      <c r="J134" s="310">
        <f t="shared" si="73"/>
        <v>0</v>
      </c>
      <c r="K134" s="310"/>
      <c r="L134" s="310">
        <f t="shared" si="74"/>
        <v>0</v>
      </c>
      <c r="M134" s="310"/>
      <c r="N134" s="311">
        <f t="shared" si="75"/>
        <v>0</v>
      </c>
      <c r="O134" s="312">
        <f t="shared" si="76"/>
        <v>0</v>
      </c>
      <c r="P134" s="309">
        <f t="shared" si="71"/>
        <v>0</v>
      </c>
      <c r="Q134" s="310">
        <f t="shared" si="77"/>
        <v>0</v>
      </c>
      <c r="R134" s="309">
        <f t="shared" si="72"/>
        <v>0</v>
      </c>
      <c r="S134" s="310">
        <f t="shared" si="78"/>
        <v>0</v>
      </c>
      <c r="T134" s="312">
        <f t="shared" si="79"/>
        <v>0</v>
      </c>
      <c r="U134" s="313" t="str">
        <f t="shared" si="82"/>
        <v/>
      </c>
      <c r="V134" s="309" t="str">
        <f t="shared" si="83"/>
        <v/>
      </c>
      <c r="W134" s="314" t="str">
        <f t="shared" si="80"/>
        <v/>
      </c>
      <c r="X134" s="314" t="str">
        <f t="shared" si="81"/>
        <v/>
      </c>
    </row>
    <row r="135" spans="1:24" x14ac:dyDescent="0.25">
      <c r="A135" s="295"/>
      <c r="B135" s="295"/>
      <c r="C135" s="295"/>
      <c r="D135" s="295"/>
      <c r="E135" s="159"/>
      <c r="F135" s="369"/>
      <c r="G135" s="374"/>
      <c r="H135" s="157"/>
      <c r="I135" s="309">
        <f t="shared" si="70"/>
        <v>0</v>
      </c>
      <c r="J135" s="310">
        <f t="shared" si="73"/>
        <v>0</v>
      </c>
      <c r="K135" s="310"/>
      <c r="L135" s="310">
        <f t="shared" si="74"/>
        <v>0</v>
      </c>
      <c r="M135" s="310"/>
      <c r="N135" s="311">
        <f t="shared" si="75"/>
        <v>0</v>
      </c>
      <c r="O135" s="312">
        <f t="shared" si="76"/>
        <v>0</v>
      </c>
      <c r="P135" s="309">
        <f t="shared" si="71"/>
        <v>0</v>
      </c>
      <c r="Q135" s="310">
        <f t="shared" si="77"/>
        <v>0</v>
      </c>
      <c r="R135" s="309">
        <f t="shared" si="72"/>
        <v>0</v>
      </c>
      <c r="S135" s="310">
        <f t="shared" si="78"/>
        <v>0</v>
      </c>
      <c r="T135" s="312">
        <f t="shared" si="79"/>
        <v>0</v>
      </c>
      <c r="U135" s="313" t="str">
        <f t="shared" si="82"/>
        <v/>
      </c>
      <c r="V135" s="309" t="str">
        <f t="shared" si="83"/>
        <v/>
      </c>
      <c r="W135" s="314" t="str">
        <f t="shared" si="80"/>
        <v/>
      </c>
      <c r="X135" s="314" t="str">
        <f t="shared" si="81"/>
        <v/>
      </c>
    </row>
    <row r="136" spans="1:24" x14ac:dyDescent="0.25">
      <c r="A136" s="295"/>
      <c r="B136" s="295"/>
      <c r="C136" s="295"/>
      <c r="D136" s="295"/>
      <c r="E136" s="159"/>
      <c r="F136" s="369"/>
      <c r="G136" s="374"/>
      <c r="H136" s="157"/>
      <c r="I136" s="309">
        <f t="shared" si="70"/>
        <v>0</v>
      </c>
      <c r="J136" s="310">
        <f t="shared" si="73"/>
        <v>0</v>
      </c>
      <c r="K136" s="310"/>
      <c r="L136" s="310">
        <f t="shared" si="74"/>
        <v>0</v>
      </c>
      <c r="M136" s="310"/>
      <c r="N136" s="311">
        <f t="shared" si="75"/>
        <v>0</v>
      </c>
      <c r="O136" s="312">
        <f t="shared" si="76"/>
        <v>0</v>
      </c>
      <c r="P136" s="309">
        <f t="shared" si="71"/>
        <v>0</v>
      </c>
      <c r="Q136" s="310">
        <f t="shared" si="77"/>
        <v>0</v>
      </c>
      <c r="R136" s="309">
        <f t="shared" si="72"/>
        <v>0</v>
      </c>
      <c r="S136" s="310">
        <f t="shared" si="78"/>
        <v>0</v>
      </c>
      <c r="T136" s="312">
        <f t="shared" si="79"/>
        <v>0</v>
      </c>
      <c r="U136" s="313" t="str">
        <f t="shared" si="82"/>
        <v/>
      </c>
      <c r="V136" s="309" t="str">
        <f t="shared" si="83"/>
        <v/>
      </c>
      <c r="W136" s="314" t="str">
        <f t="shared" si="80"/>
        <v/>
      </c>
      <c r="X136" s="314" t="str">
        <f t="shared" si="81"/>
        <v/>
      </c>
    </row>
    <row r="137" spans="1:24" x14ac:dyDescent="0.25">
      <c r="A137" s="157"/>
      <c r="B137" s="157"/>
      <c r="C137" s="157"/>
      <c r="D137" s="295"/>
      <c r="E137" s="159"/>
      <c r="F137" s="369"/>
      <c r="G137" s="374"/>
      <c r="H137" s="157"/>
      <c r="I137" s="309">
        <f t="shared" si="70"/>
        <v>0</v>
      </c>
      <c r="J137" s="310">
        <f t="shared" si="73"/>
        <v>0</v>
      </c>
      <c r="K137" s="310"/>
      <c r="L137" s="310">
        <f t="shared" si="74"/>
        <v>0</v>
      </c>
      <c r="M137" s="310"/>
      <c r="N137" s="311">
        <f t="shared" si="75"/>
        <v>0</v>
      </c>
      <c r="O137" s="312">
        <f t="shared" si="76"/>
        <v>0</v>
      </c>
      <c r="P137" s="309">
        <f t="shared" si="71"/>
        <v>0</v>
      </c>
      <c r="Q137" s="310">
        <f t="shared" si="77"/>
        <v>0</v>
      </c>
      <c r="R137" s="309">
        <f t="shared" si="72"/>
        <v>0</v>
      </c>
      <c r="S137" s="310">
        <f t="shared" si="78"/>
        <v>0</v>
      </c>
      <c r="T137" s="312">
        <f t="shared" si="79"/>
        <v>0</v>
      </c>
      <c r="U137" s="313" t="str">
        <f t="shared" si="82"/>
        <v/>
      </c>
      <c r="V137" s="309" t="str">
        <f t="shared" si="83"/>
        <v/>
      </c>
      <c r="W137" s="314" t="str">
        <f t="shared" si="80"/>
        <v/>
      </c>
      <c r="X137" s="314" t="str">
        <f t="shared" si="81"/>
        <v/>
      </c>
    </row>
    <row r="138" spans="1:24" x14ac:dyDescent="0.25">
      <c r="A138" s="157"/>
      <c r="B138" s="157"/>
      <c r="C138" s="157"/>
      <c r="D138" s="157"/>
      <c r="E138" s="159"/>
      <c r="F138" s="369"/>
      <c r="G138" s="374"/>
      <c r="H138" s="157"/>
      <c r="I138" s="309">
        <f t="shared" si="70"/>
        <v>0</v>
      </c>
      <c r="J138" s="310">
        <f t="shared" si="73"/>
        <v>0</v>
      </c>
      <c r="K138" s="310"/>
      <c r="L138" s="310">
        <f t="shared" si="74"/>
        <v>0</v>
      </c>
      <c r="M138" s="310"/>
      <c r="N138" s="311">
        <f t="shared" si="75"/>
        <v>0</v>
      </c>
      <c r="O138" s="312">
        <f t="shared" si="76"/>
        <v>0</v>
      </c>
      <c r="P138" s="309">
        <f t="shared" si="71"/>
        <v>0</v>
      </c>
      <c r="Q138" s="310">
        <f t="shared" si="77"/>
        <v>0</v>
      </c>
      <c r="R138" s="309">
        <f t="shared" si="72"/>
        <v>0</v>
      </c>
      <c r="S138" s="310">
        <f t="shared" si="78"/>
        <v>0</v>
      </c>
      <c r="T138" s="312">
        <f t="shared" si="79"/>
        <v>0</v>
      </c>
      <c r="U138" s="313" t="str">
        <f t="shared" si="82"/>
        <v/>
      </c>
      <c r="V138" s="309" t="str">
        <f t="shared" si="83"/>
        <v/>
      </c>
      <c r="W138" s="314" t="str">
        <f t="shared" si="80"/>
        <v/>
      </c>
      <c r="X138" s="314" t="str">
        <f t="shared" si="81"/>
        <v/>
      </c>
    </row>
    <row r="139" spans="1:24" x14ac:dyDescent="0.25">
      <c r="A139" s="157"/>
      <c r="B139" s="157"/>
      <c r="C139" s="157"/>
      <c r="D139" s="157"/>
      <c r="E139" s="159"/>
      <c r="F139" s="369"/>
      <c r="G139" s="374"/>
      <c r="H139" s="157"/>
      <c r="I139" s="309">
        <f t="shared" si="70"/>
        <v>0</v>
      </c>
      <c r="J139" s="310">
        <f t="shared" si="73"/>
        <v>0</v>
      </c>
      <c r="K139" s="310"/>
      <c r="L139" s="310">
        <f t="shared" si="74"/>
        <v>0</v>
      </c>
      <c r="M139" s="310"/>
      <c r="N139" s="311">
        <f t="shared" si="75"/>
        <v>0</v>
      </c>
      <c r="O139" s="312">
        <f t="shared" si="76"/>
        <v>0</v>
      </c>
      <c r="P139" s="309">
        <f t="shared" si="71"/>
        <v>0</v>
      </c>
      <c r="Q139" s="310">
        <f t="shared" si="77"/>
        <v>0</v>
      </c>
      <c r="R139" s="309">
        <f t="shared" si="72"/>
        <v>0</v>
      </c>
      <c r="S139" s="310">
        <f t="shared" si="78"/>
        <v>0</v>
      </c>
      <c r="T139" s="312">
        <f t="shared" si="79"/>
        <v>0</v>
      </c>
      <c r="U139" s="313" t="str">
        <f t="shared" si="82"/>
        <v/>
      </c>
      <c r="V139" s="309" t="str">
        <f t="shared" si="83"/>
        <v/>
      </c>
      <c r="W139" s="314" t="str">
        <f t="shared" si="80"/>
        <v/>
      </c>
      <c r="X139" s="314" t="str">
        <f t="shared" si="81"/>
        <v/>
      </c>
    </row>
    <row r="140" spans="1:24" x14ac:dyDescent="0.25">
      <c r="A140" s="157"/>
      <c r="B140" s="157"/>
      <c r="C140" s="157"/>
      <c r="D140" s="157"/>
      <c r="E140" s="159"/>
      <c r="F140" s="369"/>
      <c r="G140" s="374"/>
      <c r="H140" s="157"/>
      <c r="I140" s="309">
        <f t="shared" si="70"/>
        <v>0</v>
      </c>
      <c r="J140" s="310">
        <f t="shared" si="73"/>
        <v>0</v>
      </c>
      <c r="K140" s="310"/>
      <c r="L140" s="310">
        <f t="shared" si="74"/>
        <v>0</v>
      </c>
      <c r="M140" s="310"/>
      <c r="N140" s="311">
        <f t="shared" si="75"/>
        <v>0</v>
      </c>
      <c r="O140" s="312">
        <f t="shared" si="76"/>
        <v>0</v>
      </c>
      <c r="P140" s="309">
        <f t="shared" si="71"/>
        <v>0</v>
      </c>
      <c r="Q140" s="310">
        <f t="shared" si="77"/>
        <v>0</v>
      </c>
      <c r="R140" s="309">
        <f t="shared" si="72"/>
        <v>0</v>
      </c>
      <c r="S140" s="310">
        <f t="shared" si="78"/>
        <v>0</v>
      </c>
      <c r="T140" s="312">
        <f t="shared" si="79"/>
        <v>0</v>
      </c>
      <c r="U140" s="313" t="str">
        <f t="shared" si="82"/>
        <v/>
      </c>
      <c r="V140" s="309" t="str">
        <f t="shared" si="83"/>
        <v/>
      </c>
      <c r="W140" s="314" t="str">
        <f t="shared" si="80"/>
        <v/>
      </c>
      <c r="X140" s="314" t="str">
        <f t="shared" si="81"/>
        <v/>
      </c>
    </row>
  </sheetData>
  <autoFilter ref="A4:X140"/>
  <conditionalFormatting sqref="A52:X140 A5:X50">
    <cfRule type="expression" dxfId="87" priority="2">
      <formula>ISBLANK($G5)</formula>
    </cfRule>
  </conditionalFormatting>
  <conditionalFormatting sqref="A51:X51">
    <cfRule type="expression" dxfId="86" priority="1">
      <formula>ISBLANK($G51)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ignoredErrors>
    <ignoredError sqref="N118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50"/>
  <sheetViews>
    <sheetView showZeros="0" topLeftCell="A61" zoomScaleNormal="100" workbookViewId="0">
      <selection activeCell="D74" sqref="D74"/>
    </sheetView>
  </sheetViews>
  <sheetFormatPr defaultRowHeight="13.2" x14ac:dyDescent="0.25"/>
  <cols>
    <col min="1" max="1" width="10.5546875"/>
    <col min="2" max="2" width="38.44140625"/>
    <col min="3" max="3" width="8.44140625"/>
    <col min="4" max="4" width="8.5546875"/>
    <col min="5" max="5" width="8.5546875" style="161"/>
    <col min="6" max="6" width="49.44140625"/>
    <col min="7" max="7" width="33.44140625" style="162"/>
    <col min="8" max="1025" width="11"/>
  </cols>
  <sheetData>
    <row r="1" spans="1:7" x14ac:dyDescent="0.25">
      <c r="A1" s="163" t="s">
        <v>171</v>
      </c>
      <c r="B1" s="164" t="s">
        <v>172</v>
      </c>
      <c r="C1" s="164"/>
      <c r="D1" s="164"/>
      <c r="E1" s="163"/>
      <c r="F1" s="165" t="s">
        <v>173</v>
      </c>
      <c r="G1" s="165" t="s">
        <v>174</v>
      </c>
    </row>
    <row r="2" spans="1:7" x14ac:dyDescent="0.25">
      <c r="A2" s="166" t="s">
        <v>175</v>
      </c>
      <c r="B2" s="160" t="s">
        <v>175</v>
      </c>
      <c r="C2" s="160"/>
      <c r="D2" s="160"/>
      <c r="E2" s="167"/>
      <c r="F2" s="168" t="s">
        <v>175</v>
      </c>
      <c r="G2" s="168" t="s">
        <v>175</v>
      </c>
    </row>
    <row r="3" spans="1:7" x14ac:dyDescent="0.25">
      <c r="A3" s="166" t="s">
        <v>176</v>
      </c>
      <c r="B3" s="160" t="s">
        <v>175</v>
      </c>
      <c r="C3" s="160"/>
      <c r="D3" s="160" t="s">
        <v>175</v>
      </c>
      <c r="E3" s="167" t="s">
        <v>175</v>
      </c>
      <c r="F3" s="168" t="s">
        <v>175</v>
      </c>
      <c r="G3" s="168" t="s">
        <v>175</v>
      </c>
    </row>
    <row r="4" spans="1:7" x14ac:dyDescent="0.25">
      <c r="A4" s="169" t="s">
        <v>145</v>
      </c>
      <c r="B4" s="170" t="s">
        <v>177</v>
      </c>
      <c r="C4" s="170"/>
      <c r="D4" s="170" t="s">
        <v>175</v>
      </c>
      <c r="E4" s="171" t="s">
        <v>175</v>
      </c>
      <c r="F4" s="172" t="s">
        <v>178</v>
      </c>
      <c r="G4" s="173" t="s">
        <v>179</v>
      </c>
    </row>
    <row r="5" spans="1:7" x14ac:dyDescent="0.25">
      <c r="A5" s="169" t="s">
        <v>157</v>
      </c>
      <c r="B5" s="170" t="s">
        <v>180</v>
      </c>
      <c r="C5" s="170"/>
      <c r="D5" s="170" t="s">
        <v>175</v>
      </c>
      <c r="E5" s="171" t="s">
        <v>175</v>
      </c>
      <c r="F5" s="172"/>
      <c r="G5" s="173" t="s">
        <v>181</v>
      </c>
    </row>
    <row r="6" spans="1:7" x14ac:dyDescent="0.25">
      <c r="A6" s="169" t="s">
        <v>160</v>
      </c>
      <c r="B6" s="170" t="s">
        <v>182</v>
      </c>
      <c r="C6" s="170"/>
      <c r="D6" s="170"/>
      <c r="E6" s="171"/>
      <c r="F6" s="172"/>
      <c r="G6" s="172"/>
    </row>
    <row r="7" spans="1:7" x14ac:dyDescent="0.25">
      <c r="A7" s="169" t="s">
        <v>161</v>
      </c>
      <c r="B7" s="170" t="s">
        <v>183</v>
      </c>
      <c r="C7" s="170"/>
      <c r="D7" s="170"/>
      <c r="E7" s="171"/>
      <c r="F7" s="172"/>
      <c r="G7" s="172"/>
    </row>
    <row r="8" spans="1:7" x14ac:dyDescent="0.25">
      <c r="A8" s="169" t="s">
        <v>142</v>
      </c>
      <c r="B8" s="170" t="s">
        <v>184</v>
      </c>
      <c r="C8" s="170"/>
      <c r="D8" s="170"/>
      <c r="E8" s="171"/>
      <c r="F8" s="172" t="s">
        <v>185</v>
      </c>
      <c r="G8" s="172" t="s">
        <v>186</v>
      </c>
    </row>
    <row r="9" spans="1:7" x14ac:dyDescent="0.25">
      <c r="A9" s="169" t="s">
        <v>144</v>
      </c>
      <c r="B9" s="170" t="s">
        <v>187</v>
      </c>
      <c r="C9" s="170"/>
      <c r="D9" s="170"/>
      <c r="E9" s="171"/>
      <c r="F9" s="172"/>
      <c r="G9" s="172"/>
    </row>
    <row r="10" spans="1:7" x14ac:dyDescent="0.25">
      <c r="A10" s="169" t="s">
        <v>151</v>
      </c>
      <c r="B10" s="170" t="s">
        <v>188</v>
      </c>
      <c r="C10" s="170"/>
      <c r="D10" s="170"/>
      <c r="E10" s="171"/>
      <c r="F10" s="172"/>
      <c r="G10" s="172"/>
    </row>
    <row r="11" spans="1:7" x14ac:dyDescent="0.25">
      <c r="A11" s="169" t="s">
        <v>155</v>
      </c>
      <c r="B11" s="170" t="s">
        <v>189</v>
      </c>
      <c r="C11" s="170"/>
      <c r="D11" s="170"/>
      <c r="E11" s="171"/>
      <c r="F11" s="172"/>
      <c r="G11" s="173" t="s">
        <v>190</v>
      </c>
    </row>
    <row r="12" spans="1:7" x14ac:dyDescent="0.25">
      <c r="A12" s="169" t="s">
        <v>158</v>
      </c>
      <c r="B12" s="170" t="s">
        <v>729</v>
      </c>
      <c r="C12" s="170"/>
      <c r="D12" s="170" t="s">
        <v>175</v>
      </c>
      <c r="E12" s="171" t="s">
        <v>175</v>
      </c>
      <c r="F12" s="172"/>
      <c r="G12" s="173"/>
    </row>
    <row r="13" spans="1:7" x14ac:dyDescent="0.25">
      <c r="A13" s="169" t="s">
        <v>162</v>
      </c>
      <c r="B13" s="170" t="s">
        <v>191</v>
      </c>
      <c r="C13" s="170"/>
      <c r="D13" s="170" t="s">
        <v>175</v>
      </c>
      <c r="E13" s="171" t="s">
        <v>175</v>
      </c>
      <c r="F13" s="172" t="s">
        <v>192</v>
      </c>
      <c r="G13" s="173" t="s">
        <v>193</v>
      </c>
    </row>
    <row r="14" spans="1:7" x14ac:dyDescent="0.25">
      <c r="A14" s="169" t="s">
        <v>165</v>
      </c>
      <c r="B14" s="170" t="s">
        <v>194</v>
      </c>
      <c r="C14" s="170"/>
      <c r="D14" s="170" t="s">
        <v>175</v>
      </c>
      <c r="E14" s="171" t="s">
        <v>175</v>
      </c>
      <c r="F14" s="172"/>
      <c r="G14" s="173"/>
    </row>
    <row r="15" spans="1:7" x14ac:dyDescent="0.25">
      <c r="A15" s="169" t="s">
        <v>169</v>
      </c>
      <c r="B15" s="170" t="s">
        <v>195</v>
      </c>
      <c r="C15" s="170"/>
      <c r="D15" s="170" t="s">
        <v>175</v>
      </c>
      <c r="E15" s="171" t="s">
        <v>175</v>
      </c>
      <c r="F15" s="172"/>
      <c r="G15" s="173" t="s">
        <v>196</v>
      </c>
    </row>
    <row r="16" spans="1:7" x14ac:dyDescent="0.25">
      <c r="A16" s="169" t="s">
        <v>170</v>
      </c>
      <c r="B16" s="170" t="s">
        <v>197</v>
      </c>
      <c r="C16" s="170"/>
      <c r="D16" s="170" t="s">
        <v>175</v>
      </c>
      <c r="E16" s="171" t="s">
        <v>175</v>
      </c>
      <c r="F16" s="172"/>
      <c r="G16" s="173" t="s">
        <v>198</v>
      </c>
    </row>
    <row r="17" spans="1:7" x14ac:dyDescent="0.25">
      <c r="A17" s="169" t="s">
        <v>650</v>
      </c>
      <c r="B17" s="170" t="s">
        <v>651</v>
      </c>
      <c r="C17" s="170"/>
      <c r="D17" s="170" t="s">
        <v>175</v>
      </c>
      <c r="E17" s="171" t="s">
        <v>175</v>
      </c>
      <c r="F17" s="172"/>
      <c r="G17" s="173"/>
    </row>
    <row r="18" spans="1:7" x14ac:dyDescent="0.25">
      <c r="A18" s="169" t="s">
        <v>728</v>
      </c>
      <c r="B18" s="170" t="s">
        <v>729</v>
      </c>
      <c r="C18" s="170"/>
      <c r="D18" s="170" t="s">
        <v>175</v>
      </c>
      <c r="E18" s="171" t="s">
        <v>175</v>
      </c>
      <c r="F18" s="172"/>
      <c r="G18" s="173"/>
    </row>
    <row r="19" spans="1:7" x14ac:dyDescent="0.25">
      <c r="A19" s="169" t="s">
        <v>199</v>
      </c>
      <c r="B19" s="170" t="s">
        <v>184</v>
      </c>
      <c r="C19" s="170"/>
      <c r="D19" s="170" t="s">
        <v>175</v>
      </c>
      <c r="E19" s="171" t="s">
        <v>175</v>
      </c>
      <c r="F19" s="172" t="s">
        <v>200</v>
      </c>
      <c r="G19" s="173" t="s">
        <v>201</v>
      </c>
    </row>
    <row r="20" spans="1:7" x14ac:dyDescent="0.25">
      <c r="A20" s="169" t="s">
        <v>202</v>
      </c>
      <c r="B20" s="170" t="s">
        <v>203</v>
      </c>
      <c r="C20" s="170"/>
      <c r="D20" s="170" t="s">
        <v>175</v>
      </c>
      <c r="E20" s="171" t="s">
        <v>175</v>
      </c>
      <c r="F20" s="172"/>
      <c r="G20" s="172"/>
    </row>
    <row r="21" spans="1:7" x14ac:dyDescent="0.25">
      <c r="A21" s="169" t="s">
        <v>204</v>
      </c>
      <c r="B21" s="170" t="s">
        <v>205</v>
      </c>
      <c r="C21" s="170"/>
      <c r="D21" s="170" t="s">
        <v>175</v>
      </c>
      <c r="E21" s="171" t="s">
        <v>175</v>
      </c>
      <c r="F21" s="172" t="s">
        <v>206</v>
      </c>
      <c r="G21" s="173" t="s">
        <v>207</v>
      </c>
    </row>
    <row r="22" spans="1:7" x14ac:dyDescent="0.25">
      <c r="A22" s="169" t="s">
        <v>208</v>
      </c>
      <c r="B22" s="170" t="s">
        <v>209</v>
      </c>
      <c r="C22" s="170"/>
      <c r="D22" s="170" t="s">
        <v>175</v>
      </c>
      <c r="E22" s="171" t="s">
        <v>175</v>
      </c>
      <c r="F22" s="172"/>
      <c r="G22" s="173" t="s">
        <v>210</v>
      </c>
    </row>
    <row r="23" spans="1:7" x14ac:dyDescent="0.25">
      <c r="A23" s="169" t="s">
        <v>211</v>
      </c>
      <c r="B23" s="170" t="s">
        <v>212</v>
      </c>
      <c r="C23" s="170"/>
      <c r="D23" s="170" t="s">
        <v>175</v>
      </c>
      <c r="E23" s="171" t="s">
        <v>175</v>
      </c>
      <c r="F23" s="172"/>
      <c r="G23" s="173"/>
    </row>
    <row r="24" spans="1:7" x14ac:dyDescent="0.25">
      <c r="A24" s="169" t="s">
        <v>213</v>
      </c>
      <c r="B24" s="170" t="s">
        <v>214</v>
      </c>
      <c r="C24" s="170"/>
      <c r="D24" s="170" t="s">
        <v>175</v>
      </c>
      <c r="E24" s="171" t="s">
        <v>175</v>
      </c>
      <c r="F24" s="172"/>
      <c r="G24" s="173" t="s">
        <v>215</v>
      </c>
    </row>
    <row r="25" spans="1:7" x14ac:dyDescent="0.25">
      <c r="A25" s="169" t="s">
        <v>216</v>
      </c>
      <c r="B25" s="170" t="s">
        <v>217</v>
      </c>
      <c r="C25" s="170"/>
      <c r="D25" s="170" t="s">
        <v>175</v>
      </c>
      <c r="E25" s="171" t="s">
        <v>175</v>
      </c>
      <c r="F25" s="172"/>
      <c r="G25" s="173" t="s">
        <v>218</v>
      </c>
    </row>
    <row r="26" spans="1:7" x14ac:dyDescent="0.25">
      <c r="A26" s="169" t="s">
        <v>219</v>
      </c>
      <c r="B26" s="170" t="s">
        <v>220</v>
      </c>
      <c r="C26" s="170"/>
      <c r="D26" s="170" t="s">
        <v>175</v>
      </c>
      <c r="E26" s="171" t="s">
        <v>175</v>
      </c>
      <c r="F26" s="172"/>
      <c r="G26" s="173"/>
    </row>
    <row r="27" spans="1:7" x14ac:dyDescent="0.25">
      <c r="A27" s="169" t="s">
        <v>148</v>
      </c>
      <c r="B27" s="170" t="s">
        <v>221</v>
      </c>
      <c r="C27" s="170"/>
      <c r="D27" s="170" t="s">
        <v>175</v>
      </c>
      <c r="E27" s="171" t="s">
        <v>175</v>
      </c>
      <c r="F27" s="172"/>
      <c r="G27" s="173"/>
    </row>
    <row r="28" spans="1:7" x14ac:dyDescent="0.25">
      <c r="A28" s="169" t="s">
        <v>152</v>
      </c>
      <c r="B28" s="170" t="s">
        <v>222</v>
      </c>
      <c r="C28" s="170"/>
      <c r="D28" s="170" t="s">
        <v>175</v>
      </c>
      <c r="E28" s="171" t="s">
        <v>175</v>
      </c>
      <c r="F28" s="172"/>
      <c r="G28" s="173" t="s">
        <v>223</v>
      </c>
    </row>
    <row r="29" spans="1:7" x14ac:dyDescent="0.25">
      <c r="A29" s="169" t="s">
        <v>154</v>
      </c>
      <c r="B29" s="170" t="s">
        <v>224</v>
      </c>
      <c r="C29" s="170"/>
      <c r="D29" s="170" t="s">
        <v>175</v>
      </c>
      <c r="E29" s="171" t="s">
        <v>175</v>
      </c>
      <c r="F29" s="172"/>
      <c r="G29" s="173" t="s">
        <v>225</v>
      </c>
    </row>
    <row r="30" spans="1:7" x14ac:dyDescent="0.25">
      <c r="A30" s="169" t="s">
        <v>147</v>
      </c>
      <c r="B30" s="170" t="s">
        <v>226</v>
      </c>
      <c r="C30" s="170"/>
      <c r="D30" s="170" t="s">
        <v>175</v>
      </c>
      <c r="E30" s="171" t="s">
        <v>175</v>
      </c>
      <c r="F30" s="172"/>
      <c r="G30" s="173"/>
    </row>
    <row r="31" spans="1:7" x14ac:dyDescent="0.25">
      <c r="A31" s="166" t="s">
        <v>156</v>
      </c>
      <c r="B31" s="160" t="s">
        <v>227</v>
      </c>
      <c r="C31" s="170"/>
      <c r="D31" s="170" t="s">
        <v>175</v>
      </c>
      <c r="E31" s="171" t="s">
        <v>175</v>
      </c>
      <c r="F31" s="172"/>
      <c r="G31" s="173"/>
    </row>
    <row r="32" spans="1:7" x14ac:dyDescent="0.25">
      <c r="A32" s="166" t="s">
        <v>149</v>
      </c>
      <c r="B32" s="160" t="s">
        <v>228</v>
      </c>
      <c r="C32" s="170"/>
      <c r="D32" s="170" t="s">
        <v>175</v>
      </c>
      <c r="E32" s="171" t="s">
        <v>175</v>
      </c>
      <c r="F32" s="172"/>
      <c r="G32" s="173"/>
    </row>
    <row r="33" spans="1:7" x14ac:dyDescent="0.25">
      <c r="A33" s="166" t="s">
        <v>159</v>
      </c>
      <c r="B33" s="160" t="s">
        <v>540</v>
      </c>
      <c r="C33" s="170"/>
      <c r="D33" s="170" t="s">
        <v>175</v>
      </c>
      <c r="E33" s="171" t="s">
        <v>175</v>
      </c>
      <c r="F33" s="172"/>
      <c r="G33" s="173" t="s">
        <v>623</v>
      </c>
    </row>
    <row r="34" spans="1:7" x14ac:dyDescent="0.25">
      <c r="A34" s="166" t="s">
        <v>664</v>
      </c>
      <c r="B34" s="160" t="s">
        <v>660</v>
      </c>
      <c r="C34" s="170"/>
      <c r="D34" s="170" t="s">
        <v>175</v>
      </c>
      <c r="E34" s="171" t="s">
        <v>175</v>
      </c>
      <c r="F34" s="172"/>
      <c r="G34" s="173"/>
    </row>
    <row r="35" spans="1:7" x14ac:dyDescent="0.25">
      <c r="A35" s="169" t="s">
        <v>163</v>
      </c>
      <c r="B35" s="170" t="s">
        <v>229</v>
      </c>
      <c r="C35" s="170"/>
      <c r="D35" s="170" t="s">
        <v>175</v>
      </c>
      <c r="E35" s="171" t="s">
        <v>175</v>
      </c>
      <c r="F35" s="172"/>
      <c r="G35" s="173" t="s">
        <v>230</v>
      </c>
    </row>
    <row r="36" spans="1:7" x14ac:dyDescent="0.25">
      <c r="A36" s="169" t="s">
        <v>164</v>
      </c>
      <c r="B36" s="170" t="s">
        <v>231</v>
      </c>
      <c r="C36" s="170"/>
      <c r="D36" s="170" t="s">
        <v>175</v>
      </c>
      <c r="E36" s="171" t="s">
        <v>175</v>
      </c>
      <c r="F36" s="172"/>
      <c r="G36" s="173" t="s">
        <v>232</v>
      </c>
    </row>
    <row r="37" spans="1:7" x14ac:dyDescent="0.25">
      <c r="A37" s="166" t="s">
        <v>166</v>
      </c>
      <c r="B37" s="160" t="s">
        <v>233</v>
      </c>
      <c r="C37" s="170"/>
      <c r="D37" s="170" t="s">
        <v>175</v>
      </c>
      <c r="E37" s="171" t="s">
        <v>175</v>
      </c>
      <c r="F37" s="172"/>
      <c r="G37" s="173"/>
    </row>
    <row r="38" spans="1:7" x14ac:dyDescent="0.25">
      <c r="A38" s="166" t="s">
        <v>168</v>
      </c>
      <c r="B38" s="160" t="s">
        <v>234</v>
      </c>
      <c r="C38" s="170"/>
      <c r="D38" s="170" t="s">
        <v>175</v>
      </c>
      <c r="E38" s="171" t="s">
        <v>175</v>
      </c>
      <c r="F38" s="172"/>
      <c r="G38" s="173" t="s">
        <v>235</v>
      </c>
    </row>
    <row r="39" spans="1:7" x14ac:dyDescent="0.25">
      <c r="A39" s="169" t="s">
        <v>236</v>
      </c>
      <c r="B39" s="170" t="s">
        <v>237</v>
      </c>
      <c r="C39" s="170"/>
      <c r="D39" s="170" t="s">
        <v>175</v>
      </c>
      <c r="E39" s="171" t="s">
        <v>175</v>
      </c>
      <c r="F39" s="172" t="s">
        <v>175</v>
      </c>
      <c r="G39" s="172" t="s">
        <v>175</v>
      </c>
    </row>
    <row r="40" spans="1:7" x14ac:dyDescent="0.25">
      <c r="A40" s="169" t="s">
        <v>238</v>
      </c>
      <c r="B40" s="170" t="s">
        <v>239</v>
      </c>
      <c r="C40" s="170"/>
      <c r="D40" s="170" t="s">
        <v>175</v>
      </c>
      <c r="E40" s="171" t="s">
        <v>175</v>
      </c>
      <c r="F40" s="172" t="s">
        <v>175</v>
      </c>
      <c r="G40" s="172" t="s">
        <v>240</v>
      </c>
    </row>
    <row r="41" spans="1:7" x14ac:dyDescent="0.25">
      <c r="A41" s="169" t="s">
        <v>241</v>
      </c>
      <c r="B41" s="296" t="s">
        <v>630</v>
      </c>
      <c r="C41" s="170"/>
      <c r="D41" s="170" t="s">
        <v>175</v>
      </c>
      <c r="E41" s="171" t="s">
        <v>175</v>
      </c>
      <c r="F41" s="172" t="s">
        <v>175</v>
      </c>
      <c r="G41" s="172"/>
    </row>
    <row r="42" spans="1:7" x14ac:dyDescent="0.25">
      <c r="A42" s="166" t="s">
        <v>242</v>
      </c>
      <c r="B42" s="160" t="s">
        <v>243</v>
      </c>
      <c r="C42" s="170"/>
      <c r="D42" s="170" t="s">
        <v>175</v>
      </c>
      <c r="E42" s="171" t="s">
        <v>175</v>
      </c>
      <c r="F42" s="172" t="s">
        <v>175</v>
      </c>
      <c r="G42" s="172"/>
    </row>
    <row r="43" spans="1:7" x14ac:dyDescent="0.25">
      <c r="A43" s="166" t="s">
        <v>244</v>
      </c>
      <c r="B43" s="160" t="s">
        <v>245</v>
      </c>
      <c r="C43" s="170"/>
      <c r="D43" s="170" t="s">
        <v>175</v>
      </c>
      <c r="E43" s="171" t="s">
        <v>175</v>
      </c>
      <c r="F43" s="172" t="s">
        <v>175</v>
      </c>
      <c r="G43" s="172"/>
    </row>
    <row r="44" spans="1:7" x14ac:dyDescent="0.25">
      <c r="A44" s="166" t="s">
        <v>141</v>
      </c>
      <c r="B44" s="160" t="s">
        <v>246</v>
      </c>
      <c r="C44" s="170"/>
      <c r="D44" s="170" t="s">
        <v>175</v>
      </c>
      <c r="E44" s="171" t="s">
        <v>175</v>
      </c>
      <c r="F44" s="172" t="s">
        <v>175</v>
      </c>
      <c r="G44" s="172"/>
    </row>
    <row r="45" spans="1:7" x14ac:dyDescent="0.25">
      <c r="A45" s="166" t="s">
        <v>143</v>
      </c>
      <c r="B45" s="160" t="s">
        <v>247</v>
      </c>
      <c r="C45" s="170"/>
      <c r="D45" s="170" t="s">
        <v>175</v>
      </c>
      <c r="E45" s="171" t="s">
        <v>175</v>
      </c>
      <c r="F45" s="172" t="s">
        <v>175</v>
      </c>
      <c r="G45" s="172"/>
    </row>
    <row r="46" spans="1:7" x14ac:dyDescent="0.25">
      <c r="A46" s="166" t="s">
        <v>167</v>
      </c>
      <c r="B46" s="160" t="s">
        <v>248</v>
      </c>
      <c r="C46" s="170"/>
      <c r="D46" s="170" t="s">
        <v>175</v>
      </c>
      <c r="E46" s="171" t="s">
        <v>175</v>
      </c>
      <c r="F46" s="172" t="s">
        <v>175</v>
      </c>
      <c r="G46" s="168" t="s">
        <v>249</v>
      </c>
    </row>
    <row r="47" spans="1:7" x14ac:dyDescent="0.25">
      <c r="A47" s="166" t="s">
        <v>150</v>
      </c>
      <c r="B47" s="160" t="s">
        <v>250</v>
      </c>
      <c r="C47" s="170"/>
      <c r="D47" s="170" t="s">
        <v>175</v>
      </c>
      <c r="E47" s="171" t="s">
        <v>175</v>
      </c>
      <c r="F47" s="172" t="s">
        <v>175</v>
      </c>
      <c r="G47" s="168"/>
    </row>
    <row r="48" spans="1:7" x14ac:dyDescent="0.25">
      <c r="A48" s="166" t="s">
        <v>153</v>
      </c>
      <c r="B48" s="160" t="s">
        <v>251</v>
      </c>
      <c r="C48" s="170"/>
      <c r="D48" s="170" t="s">
        <v>175</v>
      </c>
      <c r="E48" s="171" t="s">
        <v>175</v>
      </c>
      <c r="F48" s="172" t="s">
        <v>175</v>
      </c>
      <c r="G48" s="168"/>
    </row>
    <row r="49" spans="1:7" x14ac:dyDescent="0.25">
      <c r="A49" s="169" t="s">
        <v>252</v>
      </c>
      <c r="B49" s="170" t="s">
        <v>253</v>
      </c>
      <c r="C49" s="170"/>
      <c r="D49" s="170" t="s">
        <v>175</v>
      </c>
      <c r="E49" s="171" t="s">
        <v>175</v>
      </c>
      <c r="F49" s="172" t="s">
        <v>175</v>
      </c>
      <c r="G49" s="172" t="s">
        <v>254</v>
      </c>
    </row>
    <row r="50" spans="1:7" x14ac:dyDescent="0.25">
      <c r="A50" s="169" t="s">
        <v>255</v>
      </c>
      <c r="B50" s="170" t="s">
        <v>256</v>
      </c>
      <c r="C50" s="170"/>
      <c r="D50" s="170" t="s">
        <v>175</v>
      </c>
      <c r="E50" s="171" t="s">
        <v>175</v>
      </c>
      <c r="F50" s="172" t="s">
        <v>175</v>
      </c>
      <c r="G50" s="172" t="s">
        <v>175</v>
      </c>
    </row>
    <row r="51" spans="1:7" x14ac:dyDescent="0.25">
      <c r="A51" s="169" t="s">
        <v>257</v>
      </c>
      <c r="B51" s="170" t="s">
        <v>258</v>
      </c>
      <c r="C51" s="170"/>
      <c r="D51" s="170" t="s">
        <v>175</v>
      </c>
      <c r="E51" s="171" t="s">
        <v>175</v>
      </c>
      <c r="F51" s="172"/>
      <c r="G51" s="172"/>
    </row>
    <row r="52" spans="1:7" x14ac:dyDescent="0.25">
      <c r="A52" s="163" t="s">
        <v>171</v>
      </c>
      <c r="B52" s="164" t="s">
        <v>5</v>
      </c>
      <c r="C52" s="163" t="s">
        <v>128</v>
      </c>
      <c r="D52" s="163" t="s">
        <v>259</v>
      </c>
      <c r="E52" s="163" t="s">
        <v>133</v>
      </c>
      <c r="F52" s="165" t="s">
        <v>42</v>
      </c>
      <c r="G52" s="165" t="s">
        <v>260</v>
      </c>
    </row>
    <row r="53" spans="1:7" x14ac:dyDescent="0.25">
      <c r="A53" s="166" t="s">
        <v>175</v>
      </c>
      <c r="B53" s="160" t="s">
        <v>175</v>
      </c>
      <c r="C53" s="174"/>
      <c r="D53" s="174"/>
      <c r="E53" s="167"/>
      <c r="F53" s="168"/>
      <c r="G53" s="168"/>
    </row>
    <row r="54" spans="1:7" x14ac:dyDescent="0.25">
      <c r="A54" s="166" t="s">
        <v>176</v>
      </c>
      <c r="B54" s="160" t="s">
        <v>175</v>
      </c>
      <c r="C54" s="174"/>
      <c r="D54" s="174"/>
      <c r="E54" s="167"/>
      <c r="F54" s="168"/>
      <c r="G54" s="168"/>
    </row>
    <row r="55" spans="1:7" x14ac:dyDescent="0.25">
      <c r="A55" s="169" t="s">
        <v>261</v>
      </c>
      <c r="B55" s="170" t="s">
        <v>70</v>
      </c>
      <c r="C55" s="170">
        <v>950</v>
      </c>
      <c r="D55" s="170">
        <v>880</v>
      </c>
      <c r="E55" s="171">
        <v>1</v>
      </c>
      <c r="F55" s="172" t="s">
        <v>262</v>
      </c>
      <c r="G55" s="172"/>
    </row>
    <row r="56" spans="1:7" x14ac:dyDescent="0.25">
      <c r="A56" s="169" t="s">
        <v>625</v>
      </c>
      <c r="B56" s="170" t="s">
        <v>70</v>
      </c>
      <c r="C56" s="170">
        <v>700</v>
      </c>
      <c r="D56" s="170">
        <v>665</v>
      </c>
      <c r="E56" s="171">
        <v>1</v>
      </c>
      <c r="F56" s="172" t="s">
        <v>626</v>
      </c>
      <c r="G56" s="172"/>
    </row>
    <row r="57" spans="1:7" x14ac:dyDescent="0.25">
      <c r="A57" s="169" t="s">
        <v>263</v>
      </c>
      <c r="B57" s="170" t="s">
        <v>264</v>
      </c>
      <c r="C57" s="170">
        <v>936</v>
      </c>
      <c r="D57" s="170"/>
      <c r="E57" s="171"/>
      <c r="F57" s="172" t="s">
        <v>265</v>
      </c>
      <c r="G57" s="172"/>
    </row>
    <row r="58" spans="1:7" x14ac:dyDescent="0.25">
      <c r="A58" s="169" t="s">
        <v>266</v>
      </c>
      <c r="B58" s="170" t="s">
        <v>180</v>
      </c>
      <c r="C58" s="170">
        <v>936</v>
      </c>
      <c r="D58" s="170"/>
      <c r="E58" s="171"/>
      <c r="F58" s="172" t="s">
        <v>264</v>
      </c>
      <c r="G58" s="172"/>
    </row>
    <row r="59" spans="1:7" x14ac:dyDescent="0.25">
      <c r="A59" s="169" t="s">
        <v>267</v>
      </c>
      <c r="B59" s="170" t="s">
        <v>180</v>
      </c>
      <c r="C59" s="170">
        <v>950</v>
      </c>
      <c r="D59" s="170">
        <v>900</v>
      </c>
      <c r="E59" s="171"/>
      <c r="F59" s="172" t="s">
        <v>268</v>
      </c>
      <c r="G59" s="172"/>
    </row>
    <row r="60" spans="1:7" x14ac:dyDescent="0.25">
      <c r="A60" s="169" t="s">
        <v>269</v>
      </c>
      <c r="B60" s="170" t="s">
        <v>270</v>
      </c>
      <c r="C60" s="170">
        <v>60</v>
      </c>
      <c r="D60" s="170"/>
      <c r="E60" s="171"/>
      <c r="F60" s="172" t="s">
        <v>271</v>
      </c>
      <c r="G60" s="172"/>
    </row>
    <row r="61" spans="1:7" x14ac:dyDescent="0.25">
      <c r="A61" s="169" t="s">
        <v>272</v>
      </c>
      <c r="B61" s="170" t="s">
        <v>273</v>
      </c>
      <c r="C61" s="170">
        <v>650</v>
      </c>
      <c r="D61" s="170"/>
      <c r="E61" s="171"/>
      <c r="F61" s="172" t="s">
        <v>274</v>
      </c>
      <c r="G61" s="172"/>
    </row>
    <row r="62" spans="1:7" x14ac:dyDescent="0.25">
      <c r="A62" s="169" t="s">
        <v>275</v>
      </c>
      <c r="B62" s="170" t="s">
        <v>276</v>
      </c>
      <c r="C62" s="170">
        <v>750</v>
      </c>
      <c r="D62" s="170"/>
      <c r="E62" s="171"/>
      <c r="F62" s="172" t="s">
        <v>274</v>
      </c>
      <c r="G62" s="172"/>
    </row>
    <row r="63" spans="1:7" x14ac:dyDescent="0.25">
      <c r="A63" s="169" t="s">
        <v>277</v>
      </c>
      <c r="B63" s="170" t="s">
        <v>278</v>
      </c>
      <c r="C63" s="170">
        <v>111</v>
      </c>
      <c r="D63" s="170"/>
      <c r="E63" s="171"/>
      <c r="F63" s="172" t="s">
        <v>274</v>
      </c>
      <c r="G63" s="172"/>
    </row>
    <row r="64" spans="1:7" x14ac:dyDescent="0.25">
      <c r="A64" s="169" t="s">
        <v>279</v>
      </c>
      <c r="B64" s="170" t="s">
        <v>280</v>
      </c>
      <c r="C64" s="170">
        <v>475</v>
      </c>
      <c r="D64" s="170"/>
      <c r="E64" s="171"/>
      <c r="F64" s="172" t="s">
        <v>281</v>
      </c>
      <c r="G64" s="172"/>
    </row>
    <row r="65" spans="1:7" x14ac:dyDescent="0.25">
      <c r="A65" s="169" t="s">
        <v>282</v>
      </c>
      <c r="B65" s="170" t="s">
        <v>278</v>
      </c>
      <c r="C65" s="170">
        <v>1000</v>
      </c>
      <c r="D65" s="170"/>
      <c r="E65" s="171"/>
      <c r="F65" s="172" t="s">
        <v>283</v>
      </c>
      <c r="G65" s="172"/>
    </row>
    <row r="66" spans="1:7" x14ac:dyDescent="0.25">
      <c r="A66" s="169" t="s">
        <v>284</v>
      </c>
      <c r="B66" s="170" t="s">
        <v>285</v>
      </c>
      <c r="C66" s="170">
        <v>650</v>
      </c>
      <c r="D66" s="170"/>
      <c r="E66" s="171"/>
      <c r="F66" s="172" t="s">
        <v>286</v>
      </c>
      <c r="G66" s="172"/>
    </row>
    <row r="67" spans="1:7" x14ac:dyDescent="0.25">
      <c r="A67" s="169" t="s">
        <v>287</v>
      </c>
      <c r="B67" s="170" t="s">
        <v>288</v>
      </c>
      <c r="C67" s="170">
        <v>725</v>
      </c>
      <c r="D67" s="170"/>
      <c r="E67" s="171"/>
      <c r="F67" s="172" t="s">
        <v>289</v>
      </c>
      <c r="G67" s="172"/>
    </row>
    <row r="68" spans="1:7" x14ac:dyDescent="0.25">
      <c r="A68" s="169" t="s">
        <v>290</v>
      </c>
      <c r="B68" s="170" t="s">
        <v>291</v>
      </c>
      <c r="C68" s="170">
        <v>725</v>
      </c>
      <c r="D68" s="170"/>
      <c r="E68" s="171"/>
      <c r="F68" s="172" t="s">
        <v>289</v>
      </c>
      <c r="G68" s="172"/>
    </row>
    <row r="69" spans="1:7" x14ac:dyDescent="0.25">
      <c r="A69" s="169" t="s">
        <v>292</v>
      </c>
      <c r="B69" s="170" t="s">
        <v>67</v>
      </c>
      <c r="C69" s="170">
        <v>800</v>
      </c>
      <c r="D69" s="170"/>
      <c r="E69" s="171"/>
      <c r="F69" s="172" t="s">
        <v>293</v>
      </c>
      <c r="G69" s="172"/>
    </row>
    <row r="70" spans="1:7" x14ac:dyDescent="0.25">
      <c r="A70" s="169" t="s">
        <v>294</v>
      </c>
      <c r="B70" s="170" t="s">
        <v>295</v>
      </c>
      <c r="C70" s="170">
        <v>825</v>
      </c>
      <c r="D70" s="170"/>
      <c r="E70" s="171"/>
      <c r="F70" s="172" t="s">
        <v>289</v>
      </c>
      <c r="G70" s="172"/>
    </row>
    <row r="71" spans="1:7" x14ac:dyDescent="0.25">
      <c r="A71" s="169" t="s">
        <v>296</v>
      </c>
      <c r="B71" s="170" t="s">
        <v>180</v>
      </c>
      <c r="C71" s="170">
        <v>850</v>
      </c>
      <c r="D71" s="170"/>
      <c r="E71" s="171"/>
      <c r="F71" s="172" t="s">
        <v>265</v>
      </c>
      <c r="G71" s="172"/>
    </row>
    <row r="72" spans="1:7" x14ac:dyDescent="0.25">
      <c r="A72" s="169" t="s">
        <v>297</v>
      </c>
      <c r="B72" s="170" t="s">
        <v>180</v>
      </c>
      <c r="C72" s="170">
        <v>860</v>
      </c>
      <c r="D72" s="170"/>
      <c r="E72" s="171"/>
      <c r="F72" s="172" t="s">
        <v>265</v>
      </c>
      <c r="G72" s="172"/>
    </row>
    <row r="73" spans="1:7" x14ac:dyDescent="0.25">
      <c r="A73" s="169" t="s">
        <v>730</v>
      </c>
      <c r="B73" s="170" t="s">
        <v>180</v>
      </c>
      <c r="C73" s="170">
        <v>980</v>
      </c>
      <c r="D73" s="170">
        <v>900</v>
      </c>
      <c r="E73" s="171"/>
      <c r="F73" s="172" t="s">
        <v>265</v>
      </c>
      <c r="G73" s="172"/>
    </row>
    <row r="74" spans="1:7" x14ac:dyDescent="0.25">
      <c r="A74" s="169" t="s">
        <v>298</v>
      </c>
      <c r="B74" s="170" t="s">
        <v>299</v>
      </c>
      <c r="C74" s="170">
        <v>800</v>
      </c>
      <c r="D74" s="170">
        <v>1E-4</v>
      </c>
      <c r="E74" s="171"/>
      <c r="F74" s="172" t="s">
        <v>265</v>
      </c>
      <c r="G74" s="172"/>
    </row>
    <row r="75" spans="1:7" x14ac:dyDescent="0.25">
      <c r="A75" s="169" t="s">
        <v>300</v>
      </c>
      <c r="B75" s="170" t="s">
        <v>299</v>
      </c>
      <c r="C75" s="170">
        <v>900</v>
      </c>
      <c r="D75" s="170">
        <v>1200</v>
      </c>
      <c r="E75" s="171">
        <v>1</v>
      </c>
      <c r="F75" s="172" t="s">
        <v>265</v>
      </c>
      <c r="G75" s="172"/>
    </row>
    <row r="76" spans="1:7" x14ac:dyDescent="0.25">
      <c r="A76" s="169" t="s">
        <v>301</v>
      </c>
      <c r="B76" s="170" t="s">
        <v>302</v>
      </c>
      <c r="C76" s="170">
        <v>800</v>
      </c>
      <c r="D76" s="170"/>
      <c r="E76" s="171"/>
      <c r="F76" s="172" t="s">
        <v>303</v>
      </c>
      <c r="G76" s="172"/>
    </row>
    <row r="77" spans="1:7" x14ac:dyDescent="0.25">
      <c r="A77" s="169" t="s">
        <v>304</v>
      </c>
      <c r="B77" s="170" t="s">
        <v>305</v>
      </c>
      <c r="C77" s="170">
        <v>725</v>
      </c>
      <c r="D77" s="170"/>
      <c r="E77" s="171"/>
      <c r="F77" s="172" t="s">
        <v>303</v>
      </c>
      <c r="G77" s="172"/>
    </row>
    <row r="78" spans="1:7" x14ac:dyDescent="0.25">
      <c r="A78" s="169" t="s">
        <v>652</v>
      </c>
      <c r="B78" s="170" t="s">
        <v>651</v>
      </c>
      <c r="C78" s="170">
        <v>950</v>
      </c>
      <c r="D78" s="170">
        <v>900</v>
      </c>
      <c r="E78" s="171"/>
      <c r="F78" s="172" t="s">
        <v>343</v>
      </c>
      <c r="G78" s="172"/>
    </row>
    <row r="79" spans="1:7" x14ac:dyDescent="0.25">
      <c r="A79" s="169" t="s">
        <v>306</v>
      </c>
      <c r="B79" s="170" t="s">
        <v>285</v>
      </c>
      <c r="C79" s="170">
        <v>100</v>
      </c>
      <c r="D79" s="170"/>
      <c r="E79" s="171"/>
      <c r="F79" s="172" t="s">
        <v>307</v>
      </c>
      <c r="G79" s="172"/>
    </row>
    <row r="80" spans="1:7" x14ac:dyDescent="0.25">
      <c r="A80" s="169" t="s">
        <v>308</v>
      </c>
      <c r="B80" s="170" t="s">
        <v>285</v>
      </c>
      <c r="C80" s="170">
        <v>500</v>
      </c>
      <c r="D80" s="170"/>
      <c r="E80" s="171"/>
      <c r="F80" s="172" t="s">
        <v>307</v>
      </c>
      <c r="G80" s="172"/>
    </row>
    <row r="81" spans="1:7" x14ac:dyDescent="0.25">
      <c r="A81" s="169" t="s">
        <v>309</v>
      </c>
      <c r="B81" s="170" t="s">
        <v>310</v>
      </c>
      <c r="C81" s="170">
        <v>900</v>
      </c>
      <c r="D81" s="170"/>
      <c r="E81" s="171"/>
      <c r="F81" s="172" t="s">
        <v>307</v>
      </c>
      <c r="G81" s="172"/>
    </row>
    <row r="82" spans="1:7" x14ac:dyDescent="0.25">
      <c r="A82" s="169" t="s">
        <v>311</v>
      </c>
      <c r="B82" s="170" t="s">
        <v>312</v>
      </c>
      <c r="C82" s="170">
        <v>900</v>
      </c>
      <c r="D82" s="170"/>
      <c r="E82" s="171"/>
      <c r="F82" s="172" t="s">
        <v>307</v>
      </c>
      <c r="G82" s="172"/>
    </row>
    <row r="83" spans="1:7" x14ac:dyDescent="0.25">
      <c r="A83" s="169" t="s">
        <v>313</v>
      </c>
      <c r="B83" s="170" t="s">
        <v>67</v>
      </c>
      <c r="C83" s="170">
        <v>100</v>
      </c>
      <c r="D83" s="170"/>
      <c r="E83" s="171"/>
      <c r="F83" s="172" t="s">
        <v>307</v>
      </c>
      <c r="G83" s="172"/>
    </row>
    <row r="84" spans="1:7" x14ac:dyDescent="0.25">
      <c r="A84" s="169" t="s">
        <v>314</v>
      </c>
      <c r="B84" s="170" t="s">
        <v>315</v>
      </c>
      <c r="C84" s="170">
        <v>100</v>
      </c>
      <c r="D84" s="170"/>
      <c r="E84" s="171"/>
      <c r="F84" s="172" t="s">
        <v>307</v>
      </c>
      <c r="G84" s="172"/>
    </row>
    <row r="85" spans="1:7" x14ac:dyDescent="0.25">
      <c r="A85" s="169" t="s">
        <v>316</v>
      </c>
      <c r="B85" s="170" t="s">
        <v>36</v>
      </c>
      <c r="C85" s="170">
        <v>100</v>
      </c>
      <c r="D85" s="170"/>
      <c r="E85" s="171"/>
      <c r="F85" s="172" t="s">
        <v>317</v>
      </c>
      <c r="G85" s="172"/>
    </row>
    <row r="86" spans="1:7" x14ac:dyDescent="0.25">
      <c r="A86" s="169" t="s">
        <v>318</v>
      </c>
      <c r="B86" s="170" t="s">
        <v>319</v>
      </c>
      <c r="C86" s="170">
        <v>850</v>
      </c>
      <c r="D86" s="170"/>
      <c r="E86" s="171"/>
      <c r="F86" s="172" t="s">
        <v>317</v>
      </c>
      <c r="G86" s="172"/>
    </row>
    <row r="87" spans="1:7" x14ac:dyDescent="0.25">
      <c r="A87" s="169" t="s">
        <v>320</v>
      </c>
      <c r="B87" s="170" t="s">
        <v>67</v>
      </c>
      <c r="C87" s="170">
        <v>800</v>
      </c>
      <c r="D87" s="170"/>
      <c r="E87" s="171"/>
      <c r="F87" s="172" t="s">
        <v>317</v>
      </c>
      <c r="G87" s="172"/>
    </row>
    <row r="88" spans="1:7" x14ac:dyDescent="0.25">
      <c r="A88" s="169" t="s">
        <v>321</v>
      </c>
      <c r="B88" s="170" t="s">
        <v>322</v>
      </c>
      <c r="C88" s="170">
        <v>875</v>
      </c>
      <c r="D88" s="170"/>
      <c r="E88" s="171"/>
      <c r="F88" s="172" t="s">
        <v>317</v>
      </c>
      <c r="G88" s="172"/>
    </row>
    <row r="89" spans="1:7" x14ac:dyDescent="0.25">
      <c r="A89" s="169" t="s">
        <v>323</v>
      </c>
      <c r="B89" s="170" t="s">
        <v>36</v>
      </c>
      <c r="C89" s="170">
        <v>875</v>
      </c>
      <c r="D89" s="170"/>
      <c r="E89" s="171"/>
      <c r="F89" s="172" t="s">
        <v>317</v>
      </c>
      <c r="G89" s="172"/>
    </row>
    <row r="90" spans="1:7" x14ac:dyDescent="0.25">
      <c r="A90" s="169" t="s">
        <v>324</v>
      </c>
      <c r="B90" s="170" t="s">
        <v>325</v>
      </c>
      <c r="C90" s="170">
        <v>800</v>
      </c>
      <c r="D90" s="170"/>
      <c r="E90" s="171"/>
      <c r="F90" s="172" t="s">
        <v>317</v>
      </c>
      <c r="G90" s="172"/>
    </row>
    <row r="91" spans="1:7" x14ac:dyDescent="0.25">
      <c r="A91" s="169" t="s">
        <v>326</v>
      </c>
      <c r="B91" s="170" t="s">
        <v>327</v>
      </c>
      <c r="C91" s="170">
        <v>1100</v>
      </c>
      <c r="D91" s="170"/>
      <c r="E91" s="171"/>
      <c r="F91" s="172" t="s">
        <v>317</v>
      </c>
      <c r="G91" s="172"/>
    </row>
    <row r="92" spans="1:7" x14ac:dyDescent="0.25">
      <c r="A92" s="169" t="s">
        <v>328</v>
      </c>
      <c r="B92" s="170" t="s">
        <v>212</v>
      </c>
      <c r="C92" s="170">
        <v>1100</v>
      </c>
      <c r="D92" s="170"/>
      <c r="E92" s="171"/>
      <c r="F92" s="172" t="s">
        <v>317</v>
      </c>
      <c r="G92" s="172"/>
    </row>
    <row r="93" spans="1:7" x14ac:dyDescent="0.25">
      <c r="A93" s="169" t="s">
        <v>329</v>
      </c>
      <c r="B93" s="170" t="s">
        <v>330</v>
      </c>
      <c r="C93" s="170">
        <v>400</v>
      </c>
      <c r="D93" s="170"/>
      <c r="E93" s="171"/>
      <c r="F93" s="172" t="s">
        <v>317</v>
      </c>
      <c r="G93" s="172"/>
    </row>
    <row r="94" spans="1:7" x14ac:dyDescent="0.25">
      <c r="A94" s="169" t="s">
        <v>331</v>
      </c>
      <c r="B94" s="170" t="s">
        <v>332</v>
      </c>
      <c r="C94" s="170">
        <v>700</v>
      </c>
      <c r="D94" s="170"/>
      <c r="E94" s="171"/>
      <c r="F94" s="172" t="s">
        <v>317</v>
      </c>
      <c r="G94" s="172"/>
    </row>
    <row r="95" spans="1:7" x14ac:dyDescent="0.25">
      <c r="A95" s="169" t="s">
        <v>333</v>
      </c>
      <c r="B95" s="170" t="s">
        <v>334</v>
      </c>
      <c r="C95" s="170">
        <v>725</v>
      </c>
      <c r="D95" s="170"/>
      <c r="E95" s="171"/>
      <c r="F95" s="172" t="s">
        <v>317</v>
      </c>
      <c r="G95" s="172"/>
    </row>
    <row r="96" spans="1:7" x14ac:dyDescent="0.25">
      <c r="A96" s="169" t="s">
        <v>335</v>
      </c>
      <c r="B96" s="170" t="s">
        <v>336</v>
      </c>
      <c r="C96" s="170">
        <v>400</v>
      </c>
      <c r="D96" s="170"/>
      <c r="E96" s="171"/>
      <c r="F96" s="172" t="s">
        <v>317</v>
      </c>
      <c r="G96" s="172"/>
    </row>
    <row r="97" spans="1:7" x14ac:dyDescent="0.25">
      <c r="A97" s="169" t="s">
        <v>337</v>
      </c>
      <c r="B97" s="170" t="s">
        <v>338</v>
      </c>
      <c r="C97" s="170">
        <v>660</v>
      </c>
      <c r="D97" s="170"/>
      <c r="E97" s="171"/>
      <c r="F97" s="172" t="s">
        <v>339</v>
      </c>
      <c r="G97" s="172"/>
    </row>
    <row r="98" spans="1:7" x14ac:dyDescent="0.25">
      <c r="A98" s="169" t="s">
        <v>340</v>
      </c>
      <c r="B98" s="170" t="s">
        <v>67</v>
      </c>
      <c r="C98" s="170">
        <v>800</v>
      </c>
      <c r="D98" s="170"/>
      <c r="E98" s="171"/>
      <c r="F98" s="172" t="s">
        <v>317</v>
      </c>
      <c r="G98" s="172"/>
    </row>
    <row r="99" spans="1:7" x14ac:dyDescent="0.25">
      <c r="A99" s="169" t="s">
        <v>341</v>
      </c>
      <c r="B99" s="170" t="s">
        <v>342</v>
      </c>
      <c r="C99" s="170">
        <v>900</v>
      </c>
      <c r="D99" s="170"/>
      <c r="E99" s="171"/>
      <c r="F99" s="172" t="s">
        <v>343</v>
      </c>
      <c r="G99" s="172"/>
    </row>
    <row r="100" spans="1:7" x14ac:dyDescent="0.25">
      <c r="A100" s="169" t="s">
        <v>344</v>
      </c>
      <c r="B100" s="170" t="s">
        <v>342</v>
      </c>
      <c r="C100" s="170">
        <v>650</v>
      </c>
      <c r="D100" s="170"/>
      <c r="E100" s="171"/>
      <c r="F100" s="172" t="s">
        <v>345</v>
      </c>
      <c r="G100" s="172"/>
    </row>
    <row r="101" spans="1:7" x14ac:dyDescent="0.25">
      <c r="A101" s="169" t="s">
        <v>346</v>
      </c>
      <c r="B101" s="170" t="s">
        <v>347</v>
      </c>
      <c r="C101" s="170">
        <v>900</v>
      </c>
      <c r="D101" s="170"/>
      <c r="E101" s="171"/>
      <c r="F101" s="172" t="s">
        <v>348</v>
      </c>
      <c r="G101" s="172"/>
    </row>
    <row r="102" spans="1:7" x14ac:dyDescent="0.25">
      <c r="A102" s="169" t="s">
        <v>349</v>
      </c>
      <c r="B102" s="170" t="s">
        <v>350</v>
      </c>
      <c r="C102" s="170">
        <v>900</v>
      </c>
      <c r="D102" s="170">
        <v>1E-4</v>
      </c>
      <c r="E102" s="171"/>
      <c r="F102" s="172" t="s">
        <v>351</v>
      </c>
      <c r="G102" s="172"/>
    </row>
    <row r="103" spans="1:7" x14ac:dyDescent="0.25">
      <c r="A103" s="169" t="s">
        <v>352</v>
      </c>
      <c r="B103" s="170" t="s">
        <v>350</v>
      </c>
      <c r="C103" s="170">
        <v>800</v>
      </c>
      <c r="D103" s="170">
        <v>760</v>
      </c>
      <c r="E103" s="171"/>
      <c r="F103" s="172" t="s">
        <v>69</v>
      </c>
      <c r="G103" s="172"/>
    </row>
    <row r="104" spans="1:7" x14ac:dyDescent="0.25">
      <c r="A104" s="169" t="s">
        <v>353</v>
      </c>
      <c r="B104" s="170" t="s">
        <v>338</v>
      </c>
      <c r="C104" s="170">
        <v>600</v>
      </c>
      <c r="D104" s="170"/>
      <c r="E104" s="171"/>
      <c r="F104" s="172" t="s">
        <v>289</v>
      </c>
      <c r="G104" s="172"/>
    </row>
    <row r="105" spans="1:7" x14ac:dyDescent="0.25">
      <c r="A105" s="169" t="s">
        <v>354</v>
      </c>
      <c r="B105" s="170" t="s">
        <v>315</v>
      </c>
      <c r="C105" s="170">
        <v>80</v>
      </c>
      <c r="D105" s="170"/>
      <c r="E105" s="171"/>
      <c r="F105" s="172" t="s">
        <v>307</v>
      </c>
      <c r="G105" s="172"/>
    </row>
    <row r="106" spans="1:7" x14ac:dyDescent="0.25">
      <c r="A106" s="169" t="s">
        <v>355</v>
      </c>
      <c r="B106" s="170" t="s">
        <v>356</v>
      </c>
      <c r="C106" s="50">
        <v>94.07</v>
      </c>
      <c r="D106" s="170"/>
      <c r="E106" s="171"/>
      <c r="F106" s="172" t="s">
        <v>307</v>
      </c>
      <c r="G106" s="172"/>
    </row>
    <row r="107" spans="1:7" x14ac:dyDescent="0.25">
      <c r="A107" s="169" t="s">
        <v>357</v>
      </c>
      <c r="B107" s="170" t="s">
        <v>36</v>
      </c>
      <c r="C107" s="170">
        <v>900</v>
      </c>
      <c r="D107" s="170"/>
      <c r="E107" s="171"/>
      <c r="F107" s="172" t="s">
        <v>358</v>
      </c>
      <c r="G107" s="172"/>
    </row>
    <row r="108" spans="1:7" x14ac:dyDescent="0.25">
      <c r="A108" s="169" t="s">
        <v>359</v>
      </c>
      <c r="B108" s="170" t="s">
        <v>360</v>
      </c>
      <c r="C108" s="170">
        <v>800</v>
      </c>
      <c r="D108" s="170">
        <v>1E-4</v>
      </c>
      <c r="E108" s="171"/>
      <c r="F108" s="172" t="s">
        <v>361</v>
      </c>
      <c r="G108" s="172"/>
    </row>
    <row r="109" spans="1:7" x14ac:dyDescent="0.25">
      <c r="A109" s="166" t="s">
        <v>362</v>
      </c>
      <c r="B109" s="160" t="s">
        <v>319</v>
      </c>
      <c r="C109" s="170">
        <v>950</v>
      </c>
      <c r="D109" s="170">
        <v>1E-4</v>
      </c>
      <c r="E109" s="171"/>
      <c r="F109" s="172" t="s">
        <v>361</v>
      </c>
      <c r="G109" s="172"/>
    </row>
    <row r="110" spans="1:7" x14ac:dyDescent="0.25">
      <c r="A110" s="169" t="s">
        <v>363</v>
      </c>
      <c r="B110" s="170" t="s">
        <v>364</v>
      </c>
      <c r="C110" s="170">
        <v>970</v>
      </c>
      <c r="D110" s="170">
        <v>941</v>
      </c>
      <c r="E110" s="171">
        <v>1</v>
      </c>
      <c r="F110" s="172" t="s">
        <v>361</v>
      </c>
      <c r="G110" s="172"/>
    </row>
    <row r="111" spans="1:7" x14ac:dyDescent="0.25">
      <c r="A111" s="169" t="s">
        <v>365</v>
      </c>
      <c r="B111" s="170" t="s">
        <v>364</v>
      </c>
      <c r="C111" s="170">
        <v>970</v>
      </c>
      <c r="D111" s="170">
        <v>950.5</v>
      </c>
      <c r="E111" s="171">
        <v>1</v>
      </c>
      <c r="F111" s="172" t="s">
        <v>366</v>
      </c>
      <c r="G111" s="172"/>
    </row>
    <row r="112" spans="1:7" x14ac:dyDescent="0.25">
      <c r="A112" s="169" t="s">
        <v>367</v>
      </c>
      <c r="B112" s="170" t="s">
        <v>364</v>
      </c>
      <c r="C112" s="170">
        <v>800</v>
      </c>
      <c r="D112" s="170">
        <v>760</v>
      </c>
      <c r="E112" s="171">
        <v>1</v>
      </c>
      <c r="F112" s="172" t="s">
        <v>368</v>
      </c>
      <c r="G112" s="172"/>
    </row>
    <row r="113" spans="1:7" x14ac:dyDescent="0.25">
      <c r="A113" s="166" t="s">
        <v>369</v>
      </c>
      <c r="B113" s="160" t="s">
        <v>370</v>
      </c>
      <c r="C113" s="170">
        <v>800</v>
      </c>
      <c r="D113" s="170">
        <v>1E-4</v>
      </c>
      <c r="E113" s="171"/>
      <c r="F113" s="172" t="s">
        <v>371</v>
      </c>
      <c r="G113" s="172"/>
    </row>
    <row r="114" spans="1:7" x14ac:dyDescent="0.25">
      <c r="A114" s="166" t="s">
        <v>372</v>
      </c>
      <c r="B114" s="160" t="s">
        <v>370</v>
      </c>
      <c r="C114" s="170">
        <v>700</v>
      </c>
      <c r="D114" s="170">
        <v>665</v>
      </c>
      <c r="E114" s="171">
        <v>1</v>
      </c>
      <c r="F114" s="172" t="s">
        <v>368</v>
      </c>
      <c r="G114" s="172"/>
    </row>
    <row r="115" spans="1:7" x14ac:dyDescent="0.25">
      <c r="A115" s="166" t="s">
        <v>373</v>
      </c>
      <c r="B115" s="160" t="s">
        <v>370</v>
      </c>
      <c r="C115" s="170">
        <v>850</v>
      </c>
      <c r="D115" s="170">
        <v>1E-4</v>
      </c>
      <c r="E115" s="171"/>
      <c r="F115" s="172" t="s">
        <v>374</v>
      </c>
      <c r="G115" s="172"/>
    </row>
    <row r="116" spans="1:7" x14ac:dyDescent="0.25">
      <c r="A116" s="166" t="s">
        <v>375</v>
      </c>
      <c r="B116" s="160" t="s">
        <v>319</v>
      </c>
      <c r="C116" s="170">
        <v>700</v>
      </c>
      <c r="D116" s="170">
        <v>665</v>
      </c>
      <c r="E116" s="171">
        <v>1</v>
      </c>
      <c r="F116" s="172" t="s">
        <v>368</v>
      </c>
      <c r="G116" s="172"/>
    </row>
    <row r="117" spans="1:7" x14ac:dyDescent="0.25">
      <c r="A117" s="166" t="s">
        <v>644</v>
      </c>
      <c r="B117" s="160" t="s">
        <v>646</v>
      </c>
      <c r="C117" s="170">
        <v>1000</v>
      </c>
      <c r="D117" s="170">
        <v>970</v>
      </c>
      <c r="E117" s="171">
        <v>1</v>
      </c>
      <c r="F117" s="172" t="s">
        <v>645</v>
      </c>
      <c r="G117" s="172"/>
    </row>
    <row r="118" spans="1:7" x14ac:dyDescent="0.25">
      <c r="A118" s="166" t="s">
        <v>680</v>
      </c>
      <c r="B118" s="160" t="s">
        <v>646</v>
      </c>
      <c r="C118" s="170">
        <v>915</v>
      </c>
      <c r="D118" s="170">
        <v>860.1</v>
      </c>
      <c r="E118" s="171"/>
      <c r="F118" s="168" t="s">
        <v>677</v>
      </c>
      <c r="G118" s="172"/>
    </row>
    <row r="119" spans="1:7" x14ac:dyDescent="0.25">
      <c r="A119" s="166" t="s">
        <v>686</v>
      </c>
      <c r="B119" s="160" t="s">
        <v>666</v>
      </c>
      <c r="C119" s="170">
        <v>1000</v>
      </c>
      <c r="D119" s="170">
        <v>980</v>
      </c>
      <c r="E119" s="171"/>
      <c r="F119" s="168" t="s">
        <v>683</v>
      </c>
      <c r="G119" s="172"/>
    </row>
    <row r="120" spans="1:7" x14ac:dyDescent="0.25">
      <c r="A120" s="166" t="s">
        <v>687</v>
      </c>
      <c r="B120" s="160" t="s">
        <v>666</v>
      </c>
      <c r="C120" s="170">
        <v>900</v>
      </c>
      <c r="D120" s="170">
        <v>855</v>
      </c>
      <c r="E120" s="171"/>
      <c r="F120" s="168" t="s">
        <v>684</v>
      </c>
      <c r="G120" s="172"/>
    </row>
    <row r="121" spans="1:7" x14ac:dyDescent="0.25">
      <c r="A121" s="166" t="s">
        <v>376</v>
      </c>
      <c r="B121" s="160" t="s">
        <v>377</v>
      </c>
      <c r="C121" s="170">
        <v>800</v>
      </c>
      <c r="D121" s="170">
        <v>760</v>
      </c>
      <c r="E121" s="171"/>
      <c r="F121" s="168" t="s">
        <v>378</v>
      </c>
      <c r="G121" s="172"/>
    </row>
    <row r="122" spans="1:7" x14ac:dyDescent="0.25">
      <c r="A122" s="166" t="s">
        <v>379</v>
      </c>
      <c r="B122" s="160" t="s">
        <v>350</v>
      </c>
      <c r="C122" s="170">
        <v>800</v>
      </c>
      <c r="D122" s="170">
        <v>760</v>
      </c>
      <c r="E122" s="171"/>
      <c r="F122" s="168" t="s">
        <v>378</v>
      </c>
      <c r="G122" s="172"/>
    </row>
    <row r="123" spans="1:7" x14ac:dyDescent="0.25">
      <c r="A123" s="166" t="s">
        <v>624</v>
      </c>
      <c r="B123" s="160" t="s">
        <v>397</v>
      </c>
      <c r="C123" s="170">
        <v>1000</v>
      </c>
      <c r="D123" s="170">
        <v>950</v>
      </c>
      <c r="E123" s="171"/>
      <c r="F123" s="168" t="s">
        <v>69</v>
      </c>
      <c r="G123" s="172"/>
    </row>
    <row r="124" spans="1:7" x14ac:dyDescent="0.25">
      <c r="A124" s="166" t="s">
        <v>665</v>
      </c>
      <c r="B124" s="160" t="s">
        <v>666</v>
      </c>
      <c r="C124" s="170">
        <v>890</v>
      </c>
      <c r="D124" s="170">
        <v>845.5</v>
      </c>
      <c r="E124" s="171"/>
      <c r="F124" s="168" t="s">
        <v>667</v>
      </c>
      <c r="G124" s="172"/>
    </row>
    <row r="125" spans="1:7" x14ac:dyDescent="0.25">
      <c r="A125" s="166" t="s">
        <v>776</v>
      </c>
      <c r="B125" s="160" t="s">
        <v>666</v>
      </c>
      <c r="C125" s="170">
        <v>890.21</v>
      </c>
      <c r="D125" s="170">
        <f>890.21*0.95</f>
        <v>845.69949999999994</v>
      </c>
      <c r="E125" s="171"/>
      <c r="F125" s="168" t="s">
        <v>667</v>
      </c>
      <c r="G125" s="172"/>
    </row>
    <row r="126" spans="1:7" x14ac:dyDescent="0.25">
      <c r="A126" s="169" t="s">
        <v>380</v>
      </c>
      <c r="B126" s="170" t="s">
        <v>322</v>
      </c>
      <c r="C126" s="170">
        <v>800</v>
      </c>
      <c r="D126" s="170"/>
      <c r="E126" s="171"/>
      <c r="F126" s="172" t="s">
        <v>307</v>
      </c>
      <c r="G126" s="172"/>
    </row>
    <row r="127" spans="1:7" x14ac:dyDescent="0.25">
      <c r="A127" s="169" t="s">
        <v>381</v>
      </c>
      <c r="B127" s="170" t="s">
        <v>67</v>
      </c>
      <c r="C127" s="170">
        <v>700</v>
      </c>
      <c r="D127" s="170"/>
      <c r="E127" s="171"/>
      <c r="F127" s="172" t="s">
        <v>307</v>
      </c>
      <c r="G127" s="172"/>
    </row>
    <row r="128" spans="1:7" x14ac:dyDescent="0.25">
      <c r="A128" s="169" t="s">
        <v>382</v>
      </c>
      <c r="B128" s="170" t="s">
        <v>67</v>
      </c>
      <c r="C128" s="170">
        <v>800</v>
      </c>
      <c r="D128" s="170">
        <v>752</v>
      </c>
      <c r="E128" s="171"/>
      <c r="F128" s="172" t="s">
        <v>307</v>
      </c>
      <c r="G128" s="172"/>
    </row>
    <row r="129" spans="1:7" x14ac:dyDescent="0.25">
      <c r="A129" s="166" t="s">
        <v>383</v>
      </c>
      <c r="B129" s="160" t="s">
        <v>384</v>
      </c>
      <c r="C129" s="170">
        <v>1100</v>
      </c>
      <c r="D129" s="170"/>
      <c r="E129" s="171"/>
      <c r="F129" s="168" t="s">
        <v>385</v>
      </c>
      <c r="G129" s="172"/>
    </row>
    <row r="130" spans="1:7" x14ac:dyDescent="0.25">
      <c r="A130" s="166" t="s">
        <v>386</v>
      </c>
      <c r="B130" s="160" t="s">
        <v>384</v>
      </c>
      <c r="C130" s="170">
        <v>900</v>
      </c>
      <c r="D130" s="170"/>
      <c r="E130" s="171"/>
      <c r="F130" s="168" t="s">
        <v>385</v>
      </c>
      <c r="G130" s="172"/>
    </row>
    <row r="131" spans="1:7" x14ac:dyDescent="0.25">
      <c r="A131" s="166" t="s">
        <v>387</v>
      </c>
      <c r="B131" s="160" t="s">
        <v>388</v>
      </c>
      <c r="C131" s="170">
        <v>800</v>
      </c>
      <c r="D131" s="170"/>
      <c r="E131" s="171"/>
      <c r="F131" s="168" t="s">
        <v>389</v>
      </c>
      <c r="G131" s="172"/>
    </row>
    <row r="132" spans="1:7" x14ac:dyDescent="0.25">
      <c r="A132" s="166" t="s">
        <v>390</v>
      </c>
      <c r="B132" s="160" t="s">
        <v>391</v>
      </c>
      <c r="C132" s="170">
        <v>850</v>
      </c>
      <c r="D132" s="170"/>
      <c r="E132" s="171"/>
      <c r="F132" s="168" t="s">
        <v>392</v>
      </c>
      <c r="G132" s="172"/>
    </row>
    <row r="133" spans="1:7" x14ac:dyDescent="0.25">
      <c r="A133" s="166" t="s">
        <v>393</v>
      </c>
      <c r="B133" s="160" t="s">
        <v>394</v>
      </c>
      <c r="C133" s="170">
        <v>1000</v>
      </c>
      <c r="D133" s="170"/>
      <c r="E133" s="171"/>
      <c r="F133" s="168" t="s">
        <v>395</v>
      </c>
      <c r="G133" s="172"/>
    </row>
    <row r="134" spans="1:7" x14ac:dyDescent="0.25">
      <c r="A134" s="166" t="s">
        <v>396</v>
      </c>
      <c r="B134" s="160" t="s">
        <v>397</v>
      </c>
      <c r="C134" s="170">
        <v>875</v>
      </c>
      <c r="D134" s="170"/>
      <c r="E134" s="171"/>
      <c r="F134" s="168" t="s">
        <v>398</v>
      </c>
      <c r="G134" s="172"/>
    </row>
    <row r="135" spans="1:7" x14ac:dyDescent="0.25">
      <c r="A135" s="166" t="s">
        <v>399</v>
      </c>
      <c r="B135" s="160" t="s">
        <v>630</v>
      </c>
      <c r="C135" s="170">
        <v>100</v>
      </c>
      <c r="D135" s="76">
        <v>100</v>
      </c>
      <c r="E135" s="175"/>
      <c r="F135" s="168" t="s">
        <v>401</v>
      </c>
      <c r="G135" s="172"/>
    </row>
    <row r="136" spans="1:7" x14ac:dyDescent="0.25">
      <c r="A136" s="166" t="s">
        <v>400</v>
      </c>
      <c r="B136" s="160" t="s">
        <v>243</v>
      </c>
      <c r="C136" s="170">
        <v>63.636000000000003</v>
      </c>
      <c r="D136" s="170">
        <v>63.636000000000003</v>
      </c>
      <c r="E136" s="175"/>
      <c r="F136" s="168" t="s">
        <v>401</v>
      </c>
      <c r="G136" s="172"/>
    </row>
    <row r="137" spans="1:7" x14ac:dyDescent="0.25">
      <c r="A137" s="166" t="s">
        <v>402</v>
      </c>
      <c r="B137" s="160" t="s">
        <v>245</v>
      </c>
      <c r="C137" s="170">
        <v>59.09</v>
      </c>
      <c r="D137" s="170">
        <v>59.09</v>
      </c>
      <c r="E137" s="171"/>
      <c r="F137" s="168" t="s">
        <v>401</v>
      </c>
      <c r="G137" s="172"/>
    </row>
    <row r="138" spans="1:7" x14ac:dyDescent="0.25">
      <c r="A138" s="166" t="s">
        <v>403</v>
      </c>
      <c r="B138" s="160" t="s">
        <v>404</v>
      </c>
      <c r="C138" s="170">
        <v>55</v>
      </c>
      <c r="D138" s="170">
        <v>55</v>
      </c>
      <c r="E138" s="171"/>
      <c r="F138" s="168" t="s">
        <v>401</v>
      </c>
      <c r="G138" s="172"/>
    </row>
    <row r="139" spans="1:7" x14ac:dyDescent="0.25">
      <c r="A139" s="166" t="s">
        <v>405</v>
      </c>
      <c r="B139" s="160" t="s">
        <v>247</v>
      </c>
      <c r="C139" s="170">
        <v>55</v>
      </c>
      <c r="D139" s="170">
        <v>55</v>
      </c>
      <c r="E139" s="171"/>
      <c r="F139" s="168" t="s">
        <v>401</v>
      </c>
      <c r="G139" s="172"/>
    </row>
    <row r="140" spans="1:7" x14ac:dyDescent="0.25">
      <c r="A140" s="166" t="s">
        <v>406</v>
      </c>
      <c r="B140" s="160" t="s">
        <v>407</v>
      </c>
      <c r="C140" s="170">
        <v>60</v>
      </c>
      <c r="D140" s="170">
        <v>60</v>
      </c>
      <c r="E140" s="171"/>
      <c r="F140" s="168" t="s">
        <v>401</v>
      </c>
      <c r="G140" s="172"/>
    </row>
    <row r="141" spans="1:7" x14ac:dyDescent="0.25">
      <c r="A141" s="166" t="s">
        <v>408</v>
      </c>
      <c r="B141" s="160" t="s">
        <v>409</v>
      </c>
      <c r="C141" s="170">
        <v>70</v>
      </c>
      <c r="D141" s="170">
        <v>70</v>
      </c>
      <c r="E141" s="171"/>
      <c r="F141" s="168" t="s">
        <v>401</v>
      </c>
      <c r="G141" s="172"/>
    </row>
    <row r="142" spans="1:7" x14ac:dyDescent="0.25">
      <c r="A142" s="166" t="s">
        <v>410</v>
      </c>
      <c r="B142" s="160" t="s">
        <v>409</v>
      </c>
      <c r="C142" s="170">
        <v>60</v>
      </c>
      <c r="D142" s="170">
        <v>60</v>
      </c>
      <c r="E142" s="171"/>
      <c r="F142" s="168" t="s">
        <v>401</v>
      </c>
      <c r="G142" s="172"/>
    </row>
    <row r="143" spans="1:7" x14ac:dyDescent="0.25">
      <c r="A143" s="166" t="s">
        <v>411</v>
      </c>
      <c r="B143" s="160" t="s">
        <v>412</v>
      </c>
      <c r="C143" s="170">
        <v>60</v>
      </c>
      <c r="D143" s="170">
        <v>60</v>
      </c>
      <c r="E143" s="171"/>
      <c r="F143" s="168" t="s">
        <v>401</v>
      </c>
      <c r="G143" s="172"/>
    </row>
    <row r="144" spans="1:7" x14ac:dyDescent="0.25">
      <c r="A144" s="166" t="s">
        <v>413</v>
      </c>
      <c r="B144" s="160" t="s">
        <v>414</v>
      </c>
      <c r="C144" s="170">
        <v>60</v>
      </c>
      <c r="D144" s="170">
        <v>60</v>
      </c>
      <c r="E144" s="171"/>
      <c r="F144" s="168" t="s">
        <v>401</v>
      </c>
      <c r="G144" s="172"/>
    </row>
    <row r="145" spans="1:7" x14ac:dyDescent="0.25">
      <c r="A145" s="166" t="s">
        <v>415</v>
      </c>
      <c r="B145" s="160" t="s">
        <v>251</v>
      </c>
      <c r="C145" s="170">
        <v>50</v>
      </c>
      <c r="D145" s="170">
        <v>50</v>
      </c>
      <c r="E145" s="171"/>
      <c r="F145" s="168" t="s">
        <v>401</v>
      </c>
      <c r="G145" s="172"/>
    </row>
    <row r="146" spans="1:7" x14ac:dyDescent="0.25">
      <c r="A146" s="166" t="s">
        <v>416</v>
      </c>
      <c r="B146" s="160" t="s">
        <v>417</v>
      </c>
      <c r="C146" s="170">
        <v>70</v>
      </c>
      <c r="D146" s="170">
        <v>70</v>
      </c>
      <c r="E146" s="171"/>
      <c r="F146" s="168" t="s">
        <v>401</v>
      </c>
      <c r="G146" s="172"/>
    </row>
    <row r="147" spans="1:7" x14ac:dyDescent="0.25">
      <c r="A147" s="166" t="s">
        <v>418</v>
      </c>
      <c r="B147" s="160" t="s">
        <v>417</v>
      </c>
      <c r="C147" s="170">
        <v>25</v>
      </c>
      <c r="D147" s="170">
        <v>25</v>
      </c>
      <c r="E147" s="171"/>
      <c r="F147" s="168" t="s">
        <v>401</v>
      </c>
      <c r="G147" s="172"/>
    </row>
    <row r="148" spans="1:7" x14ac:dyDescent="0.25">
      <c r="A148" s="169" t="s">
        <v>419</v>
      </c>
      <c r="B148" s="160" t="s">
        <v>420</v>
      </c>
      <c r="C148" s="170">
        <v>1000</v>
      </c>
      <c r="D148" s="170"/>
      <c r="E148" s="171"/>
      <c r="F148" s="172"/>
      <c r="G148" s="172"/>
    </row>
    <row r="149" spans="1:7" x14ac:dyDescent="0.25">
      <c r="A149" s="169" t="s">
        <v>421</v>
      </c>
      <c r="B149" s="160" t="s">
        <v>422</v>
      </c>
      <c r="C149" s="170"/>
      <c r="D149" s="170"/>
      <c r="E149" s="171"/>
      <c r="F149" s="172"/>
      <c r="G149" s="172"/>
    </row>
    <row r="150" spans="1:7" x14ac:dyDescent="0.25">
      <c r="A150" s="169" t="s">
        <v>423</v>
      </c>
      <c r="B150" s="170" t="s">
        <v>54</v>
      </c>
      <c r="C150" s="170"/>
      <c r="D150" s="170"/>
      <c r="E150" s="171"/>
      <c r="F150" s="172"/>
      <c r="G150" s="172"/>
    </row>
  </sheetData>
  <sortState ref="A54:G150">
    <sortCondition ref="A54"/>
  </sortState>
  <hyperlinks>
    <hyperlink ref="G5" display="Stephen Davey"/>
    <hyperlink ref="G11" display="Marie Roudenko"/>
    <hyperlink ref="G13" display="Steven Gill"/>
    <hyperlink ref="G15" display="Alice Lumkin"/>
    <hyperlink ref="G19" display="Maurice Leung"/>
    <hyperlink ref="G21" display="Mal Collins"/>
    <hyperlink ref="G22" display="Caroline Casey"/>
    <hyperlink ref="G24" display="Betty Mouawad"/>
    <hyperlink ref="G25" display="Steve Rapley"/>
    <hyperlink ref="G35" display="Matt Dowling"/>
    <hyperlink ref="G36" display="Suparna Mallick"/>
    <hyperlink ref="G16" display="David Frizzell"/>
  </hyperlinks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D28"/>
  <sheetViews>
    <sheetView showZeros="0" zoomScaleNormal="100" workbookViewId="0">
      <selection activeCell="A21" sqref="A21"/>
    </sheetView>
  </sheetViews>
  <sheetFormatPr defaultRowHeight="13.2" x14ac:dyDescent="0.25"/>
  <cols>
    <col min="1" max="1" width="17.44140625" bestFit="1" customWidth="1"/>
    <col min="2" max="2" width="8.5546875" bestFit="1" customWidth="1"/>
    <col min="3" max="3" width="9.109375" bestFit="1" customWidth="1"/>
    <col min="4" max="4" width="11.44140625" bestFit="1" customWidth="1"/>
    <col min="5" max="6" width="9.44140625" bestFit="1" customWidth="1"/>
    <col min="7" max="7" width="10.44140625" bestFit="1" customWidth="1"/>
    <col min="8" max="10" width="9.44140625" bestFit="1" customWidth="1"/>
    <col min="11" max="11" width="11.5546875" bestFit="1" customWidth="1"/>
    <col min="12" max="14" width="11.5546875"/>
    <col min="15" max="16" width="14.5546875"/>
    <col min="17" max="1025" width="11"/>
  </cols>
  <sheetData>
    <row r="2" spans="1:4" x14ac:dyDescent="0.25">
      <c r="A2" s="329" t="s">
        <v>632</v>
      </c>
      <c r="B2" s="329" t="s">
        <v>634</v>
      </c>
    </row>
    <row r="3" spans="1:4" x14ac:dyDescent="0.25">
      <c r="A3" s="329" t="s">
        <v>138</v>
      </c>
      <c r="C3" t="s">
        <v>747</v>
      </c>
      <c r="D3" t="s">
        <v>633</v>
      </c>
    </row>
    <row r="4" spans="1:4" x14ac:dyDescent="0.25">
      <c r="A4" s="162" t="s">
        <v>177</v>
      </c>
      <c r="B4" s="62">
        <v>6650</v>
      </c>
      <c r="C4" s="62">
        <v>7000</v>
      </c>
      <c r="D4" s="62">
        <v>13650</v>
      </c>
    </row>
    <row r="5" spans="1:4" x14ac:dyDescent="0.25">
      <c r="A5" s="162" t="s">
        <v>226</v>
      </c>
      <c r="B5" s="62"/>
      <c r="C5" s="62">
        <v>16200</v>
      </c>
      <c r="D5" s="62">
        <v>16200</v>
      </c>
    </row>
    <row r="6" spans="1:4" x14ac:dyDescent="0.25">
      <c r="A6" s="162" t="s">
        <v>651</v>
      </c>
      <c r="B6" s="62"/>
      <c r="C6" s="62">
        <v>9500</v>
      </c>
      <c r="D6" s="62">
        <v>9500</v>
      </c>
    </row>
    <row r="7" spans="1:4" x14ac:dyDescent="0.25">
      <c r="A7" s="162" t="s">
        <v>660</v>
      </c>
      <c r="B7" s="62"/>
      <c r="C7" s="62">
        <v>18246.05</v>
      </c>
      <c r="D7" s="62">
        <v>18246.05</v>
      </c>
    </row>
    <row r="8" spans="1:4" x14ac:dyDescent="0.25">
      <c r="A8" s="162" t="s">
        <v>729</v>
      </c>
      <c r="B8" s="62"/>
      <c r="C8" s="62">
        <v>7350</v>
      </c>
      <c r="D8" s="62">
        <v>7350</v>
      </c>
    </row>
    <row r="9" spans="1:4" x14ac:dyDescent="0.25">
      <c r="A9" s="162" t="s">
        <v>633</v>
      </c>
      <c r="B9" s="62">
        <v>6650</v>
      </c>
      <c r="C9" s="62">
        <v>58296.05</v>
      </c>
      <c r="D9" s="62">
        <v>64946.05</v>
      </c>
    </row>
    <row r="12" spans="1:4" x14ac:dyDescent="0.25">
      <c r="A12" s="329" t="s">
        <v>632</v>
      </c>
      <c r="B12" s="329" t="s">
        <v>634</v>
      </c>
    </row>
    <row r="13" spans="1:4" x14ac:dyDescent="0.25">
      <c r="A13" s="329" t="s">
        <v>477</v>
      </c>
      <c r="C13" t="s">
        <v>747</v>
      </c>
      <c r="D13" t="s">
        <v>633</v>
      </c>
    </row>
    <row r="14" spans="1:4" x14ac:dyDescent="0.25">
      <c r="A14" s="162" t="s">
        <v>55</v>
      </c>
      <c r="B14" s="62"/>
      <c r="C14" s="62">
        <v>16850</v>
      </c>
      <c r="D14" s="62">
        <v>16850</v>
      </c>
    </row>
    <row r="15" spans="1:4" x14ac:dyDescent="0.25">
      <c r="A15" s="162" t="s">
        <v>649</v>
      </c>
      <c r="B15" s="62">
        <v>6650</v>
      </c>
      <c r="C15" s="62">
        <v>7000</v>
      </c>
      <c r="D15" s="62">
        <v>13650</v>
      </c>
    </row>
    <row r="16" spans="1:4" x14ac:dyDescent="0.25">
      <c r="A16" s="162" t="s">
        <v>57</v>
      </c>
      <c r="B16" s="62"/>
      <c r="C16" s="62">
        <v>9000</v>
      </c>
      <c r="D16" s="62">
        <v>9000</v>
      </c>
    </row>
    <row r="17" spans="1:4" x14ac:dyDescent="0.25">
      <c r="A17" s="162" t="s">
        <v>657</v>
      </c>
      <c r="B17" s="62"/>
      <c r="C17" s="62">
        <v>18246.05</v>
      </c>
      <c r="D17" s="62">
        <v>18246.05</v>
      </c>
    </row>
    <row r="18" spans="1:4" x14ac:dyDescent="0.25">
      <c r="A18" s="162" t="s">
        <v>669</v>
      </c>
      <c r="B18" s="62"/>
      <c r="C18" s="62">
        <v>7200</v>
      </c>
      <c r="D18" s="62">
        <v>7200</v>
      </c>
    </row>
    <row r="19" spans="1:4" x14ac:dyDescent="0.25">
      <c r="A19" s="162" t="s">
        <v>633</v>
      </c>
      <c r="B19" s="62">
        <v>6650</v>
      </c>
      <c r="C19" s="62">
        <v>58296.05</v>
      </c>
      <c r="D19" s="62">
        <v>64946.05</v>
      </c>
    </row>
    <row r="22" spans="1:4" x14ac:dyDescent="0.25">
      <c r="A22" s="329" t="s">
        <v>632</v>
      </c>
      <c r="B22" s="329" t="s">
        <v>634</v>
      </c>
    </row>
    <row r="23" spans="1:4" x14ac:dyDescent="0.25">
      <c r="A23" s="329" t="s">
        <v>5</v>
      </c>
      <c r="C23" t="s">
        <v>747</v>
      </c>
      <c r="D23" t="s">
        <v>633</v>
      </c>
    </row>
    <row r="24" spans="1:4" x14ac:dyDescent="0.25">
      <c r="A24" s="162" t="s">
        <v>180</v>
      </c>
      <c r="B24" s="62"/>
      <c r="C24" s="62">
        <v>7350</v>
      </c>
      <c r="D24" s="62">
        <v>7350</v>
      </c>
    </row>
    <row r="25" spans="1:4" x14ac:dyDescent="0.25">
      <c r="A25" s="162" t="s">
        <v>70</v>
      </c>
      <c r="B25" s="62">
        <v>6650</v>
      </c>
      <c r="C25" s="62">
        <v>7000</v>
      </c>
      <c r="D25" s="62">
        <v>13650</v>
      </c>
    </row>
    <row r="26" spans="1:4" x14ac:dyDescent="0.25">
      <c r="A26" s="162" t="s">
        <v>651</v>
      </c>
      <c r="B26" s="62"/>
      <c r="C26" s="62">
        <v>9500</v>
      </c>
      <c r="D26" s="62">
        <v>9500</v>
      </c>
    </row>
    <row r="27" spans="1:4" x14ac:dyDescent="0.25">
      <c r="A27" s="162" t="s">
        <v>666</v>
      </c>
      <c r="B27" s="62"/>
      <c r="C27" s="62">
        <v>34446.050000000003</v>
      </c>
      <c r="D27" s="62">
        <v>34446.050000000003</v>
      </c>
    </row>
    <row r="28" spans="1:4" x14ac:dyDescent="0.25">
      <c r="A28" s="162" t="s">
        <v>633</v>
      </c>
      <c r="B28" s="62">
        <v>6650</v>
      </c>
      <c r="C28" s="62">
        <v>58296.05</v>
      </c>
      <c r="D28" s="62">
        <v>64946.05</v>
      </c>
    </row>
  </sheetData>
  <pageMargins left="0.75" right="0.75" top="1" bottom="1" header="0.51180555555555496" footer="0.51180555555555496"/>
  <pageSetup firstPageNumber="0" orientation="portrait" horizontalDpi="300" verticalDpi="300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showZeros="0" zoomScaleNormal="100" workbookViewId="0">
      <selection activeCell="F6" sqref="F6"/>
    </sheetView>
  </sheetViews>
  <sheetFormatPr defaultRowHeight="13.2" x14ac:dyDescent="0.25"/>
  <cols>
    <col min="1" max="1025" width="11"/>
  </cols>
  <sheetData/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1"/>
  <sheetViews>
    <sheetView showZeros="0" zoomScaleNormal="100" workbookViewId="0">
      <selection activeCell="A8" sqref="A8"/>
    </sheetView>
  </sheetViews>
  <sheetFormatPr defaultRowHeight="13.2" x14ac:dyDescent="0.25"/>
  <cols>
    <col min="1" max="1" width="5.44140625"/>
    <col min="2" max="2" width="69.5546875"/>
    <col min="3" max="3" width="18.5546875" style="62"/>
    <col min="4" max="4" width="14.5546875" style="62"/>
    <col min="5" max="5" width="11.5546875" style="176"/>
    <col min="6" max="6" width="24.44140625" style="177"/>
    <col min="7" max="1025" width="11"/>
  </cols>
  <sheetData>
    <row r="1" spans="1:6" ht="24.75" customHeight="1" x14ac:dyDescent="0.4">
      <c r="A1" s="178"/>
      <c r="B1" s="179" t="s">
        <v>424</v>
      </c>
      <c r="C1" s="180"/>
      <c r="D1" s="180"/>
      <c r="E1" s="180"/>
      <c r="F1" s="181"/>
    </row>
    <row r="2" spans="1:6" ht="13.8" x14ac:dyDescent="0.25">
      <c r="A2" s="182"/>
      <c r="B2" s="11" t="s">
        <v>425</v>
      </c>
      <c r="C2" s="67" t="s">
        <v>38</v>
      </c>
      <c r="D2" s="67" t="s">
        <v>426</v>
      </c>
      <c r="E2" s="67" t="s">
        <v>427</v>
      </c>
      <c r="F2" s="183" t="s">
        <v>428</v>
      </c>
    </row>
    <row r="3" spans="1:6" x14ac:dyDescent="0.25">
      <c r="A3" s="184"/>
      <c r="B3" s="16" t="s">
        <v>429</v>
      </c>
      <c r="C3" s="76">
        <f>bankDirect</f>
        <v>39161.389999999992</v>
      </c>
      <c r="D3" s="76"/>
      <c r="E3" s="185" t="s">
        <v>430</v>
      </c>
      <c r="F3" s="186" t="s">
        <v>431</v>
      </c>
    </row>
    <row r="4" spans="1:6" x14ac:dyDescent="0.25">
      <c r="A4" s="184"/>
      <c r="B4" s="16"/>
      <c r="C4" s="76"/>
      <c r="D4" s="76"/>
      <c r="E4" s="187"/>
      <c r="F4" s="188"/>
    </row>
    <row r="5" spans="1:6" s="35" customFormat="1" x14ac:dyDescent="0.25">
      <c r="A5" s="189"/>
      <c r="B5" s="31" t="s">
        <v>432</v>
      </c>
      <c r="C5" s="190">
        <f>SUBTOTAL(9,C3:C4)</f>
        <v>39161.389999999992</v>
      </c>
      <c r="D5" s="190"/>
      <c r="E5" s="191"/>
      <c r="F5" s="192"/>
    </row>
    <row r="6" spans="1:6" x14ac:dyDescent="0.25">
      <c r="A6" s="193"/>
      <c r="B6" s="55"/>
      <c r="C6" s="194"/>
      <c r="D6" s="194"/>
      <c r="E6" s="187"/>
      <c r="F6" s="188"/>
    </row>
    <row r="7" spans="1:6" x14ac:dyDescent="0.25">
      <c r="A7" s="195" t="s">
        <v>90</v>
      </c>
      <c r="B7" s="196"/>
      <c r="C7" s="86">
        <f>SUBTOTAL(9,C2:C5)</f>
        <v>39161.389999999992</v>
      </c>
      <c r="D7" s="86"/>
      <c r="E7" s="197"/>
      <c r="F7" s="198"/>
    </row>
    <row r="9" spans="1:6" x14ac:dyDescent="0.25">
      <c r="A9" t="s">
        <v>433</v>
      </c>
      <c r="B9" s="199" t="s">
        <v>434</v>
      </c>
    </row>
    <row r="10" spans="1:6" x14ac:dyDescent="0.25">
      <c r="A10" t="s">
        <v>435</v>
      </c>
      <c r="B10" s="200" t="s">
        <v>436</v>
      </c>
    </row>
    <row r="11" spans="1:6" x14ac:dyDescent="0.25">
      <c r="A11" t="s">
        <v>437</v>
      </c>
      <c r="B11" s="22" t="s">
        <v>438</v>
      </c>
    </row>
  </sheetData>
  <hyperlinks>
    <hyperlink ref="B10" display="54 072 965 256"/>
  </hyperlinks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outlinePr summaryBelow="0"/>
  </sheetPr>
  <dimension ref="A1:G411"/>
  <sheetViews>
    <sheetView showZeros="0" zoomScale="85" zoomScaleNormal="85" workbookViewId="0">
      <pane ySplit="1" topLeftCell="A93" activePane="bottomLeft" state="frozen"/>
      <selection pane="bottomLeft" activeCell="B280" sqref="B280"/>
    </sheetView>
  </sheetViews>
  <sheetFormatPr defaultRowHeight="13.2" outlineLevelRow="1" x14ac:dyDescent="0.25"/>
  <cols>
    <col min="1" max="1" width="5" style="201" customWidth="1"/>
    <col min="2" max="2" width="13.44140625" style="202" customWidth="1"/>
    <col min="3" max="3" width="97.44140625" customWidth="1"/>
    <col min="4" max="4" width="25.5546875" customWidth="1"/>
    <col min="5" max="5" width="15.44140625" style="202" customWidth="1"/>
  </cols>
  <sheetData>
    <row r="1" spans="1:5" s="35" customFormat="1" x14ac:dyDescent="0.25">
      <c r="A1" s="203" t="s">
        <v>40</v>
      </c>
      <c r="B1" s="92" t="s">
        <v>439</v>
      </c>
      <c r="C1" s="204"/>
      <c r="D1" s="204" t="s">
        <v>440</v>
      </c>
      <c r="E1" s="92" t="s">
        <v>38</v>
      </c>
    </row>
    <row r="2" spans="1:5" x14ac:dyDescent="0.25">
      <c r="A2" s="203"/>
      <c r="B2" s="205" t="s">
        <v>441</v>
      </c>
      <c r="C2" s="204" t="s">
        <v>442</v>
      </c>
      <c r="D2" s="204"/>
      <c r="E2" s="206">
        <f>E3</f>
        <v>39161.389999999992</v>
      </c>
    </row>
    <row r="3" spans="1:5" collapsed="1" x14ac:dyDescent="0.25">
      <c r="A3" s="207" t="s">
        <v>25</v>
      </c>
      <c r="B3" s="206">
        <f>SUBTOTAL(9,B4:B31)</f>
        <v>0</v>
      </c>
      <c r="C3" s="208"/>
      <c r="D3" s="208"/>
      <c r="E3" s="206">
        <f>E32+B3</f>
        <v>39161.389999999992</v>
      </c>
    </row>
    <row r="4" spans="1:5" hidden="1" outlineLevel="1" x14ac:dyDescent="0.25">
      <c r="A4" s="209"/>
      <c r="B4" s="210"/>
      <c r="C4" s="75"/>
      <c r="D4" s="75"/>
      <c r="E4" s="211"/>
    </row>
    <row r="5" spans="1:5" hidden="1" outlineLevel="1" x14ac:dyDescent="0.25">
      <c r="A5" s="212"/>
      <c r="B5" s="84"/>
      <c r="C5" s="77"/>
      <c r="D5" s="77"/>
      <c r="E5" s="213"/>
    </row>
    <row r="6" spans="1:5" hidden="1" outlineLevel="1" x14ac:dyDescent="0.25">
      <c r="A6" s="212"/>
      <c r="B6" s="84"/>
      <c r="C6" s="77"/>
      <c r="D6" s="77"/>
      <c r="E6" s="213"/>
    </row>
    <row r="7" spans="1:5" hidden="1" outlineLevel="1" x14ac:dyDescent="0.25">
      <c r="A7" s="212"/>
      <c r="B7" s="84"/>
      <c r="C7" s="77"/>
      <c r="D7" s="77"/>
      <c r="E7" s="213"/>
    </row>
    <row r="8" spans="1:5" hidden="1" outlineLevel="1" x14ac:dyDescent="0.25">
      <c r="A8" s="212"/>
      <c r="B8" s="84"/>
      <c r="C8" s="77"/>
      <c r="D8" s="77"/>
      <c r="E8" s="213"/>
    </row>
    <row r="9" spans="1:5" hidden="1" outlineLevel="1" x14ac:dyDescent="0.25">
      <c r="A9" s="212"/>
      <c r="B9" s="84"/>
      <c r="C9" s="77"/>
      <c r="D9" s="77"/>
      <c r="E9" s="213"/>
    </row>
    <row r="10" spans="1:5" hidden="1" outlineLevel="1" x14ac:dyDescent="0.25">
      <c r="A10" s="212"/>
      <c r="B10" s="84"/>
      <c r="C10" s="77"/>
      <c r="D10" s="77"/>
      <c r="E10" s="213"/>
    </row>
    <row r="11" spans="1:5" hidden="1" outlineLevel="1" x14ac:dyDescent="0.25">
      <c r="A11" s="212"/>
      <c r="B11" s="84"/>
      <c r="C11" s="77"/>
      <c r="D11" s="77"/>
      <c r="E11" s="213"/>
    </row>
    <row r="12" spans="1:5" hidden="1" outlineLevel="1" x14ac:dyDescent="0.25">
      <c r="A12" s="212"/>
      <c r="B12" s="84"/>
      <c r="C12" s="77"/>
      <c r="D12" s="77"/>
      <c r="E12" s="213"/>
    </row>
    <row r="13" spans="1:5" hidden="1" outlineLevel="1" x14ac:dyDescent="0.25">
      <c r="A13" s="212"/>
      <c r="B13" s="84"/>
      <c r="C13" s="77"/>
      <c r="D13" s="77"/>
      <c r="E13" s="213"/>
    </row>
    <row r="14" spans="1:5" hidden="1" outlineLevel="1" x14ac:dyDescent="0.25">
      <c r="A14" s="212"/>
      <c r="B14" s="84"/>
      <c r="C14" s="77"/>
      <c r="D14" s="77"/>
      <c r="E14" s="213"/>
    </row>
    <row r="15" spans="1:5" hidden="1" outlineLevel="1" x14ac:dyDescent="0.25">
      <c r="A15" s="212"/>
      <c r="B15" s="84"/>
      <c r="C15" s="77"/>
      <c r="D15" s="77"/>
      <c r="E15" s="213"/>
    </row>
    <row r="16" spans="1:5" hidden="1" outlineLevel="1" x14ac:dyDescent="0.25">
      <c r="A16" s="212"/>
      <c r="B16" s="84"/>
      <c r="C16" s="77"/>
      <c r="D16" s="77"/>
      <c r="E16" s="213"/>
    </row>
    <row r="17" spans="1:5" hidden="1" outlineLevel="1" x14ac:dyDescent="0.25">
      <c r="A17" s="212"/>
      <c r="B17" s="84"/>
      <c r="C17" s="77"/>
      <c r="D17" s="77"/>
      <c r="E17" s="213"/>
    </row>
    <row r="18" spans="1:5" hidden="1" outlineLevel="1" x14ac:dyDescent="0.25">
      <c r="A18" s="212"/>
      <c r="B18" s="84"/>
      <c r="C18" s="77"/>
      <c r="D18" s="77"/>
      <c r="E18" s="213"/>
    </row>
    <row r="19" spans="1:5" hidden="1" outlineLevel="1" x14ac:dyDescent="0.25">
      <c r="A19" s="212"/>
      <c r="B19" s="84"/>
      <c r="C19" s="77"/>
      <c r="D19" s="77"/>
      <c r="E19" s="213"/>
    </row>
    <row r="20" spans="1:5" hidden="1" outlineLevel="1" x14ac:dyDescent="0.25">
      <c r="A20" s="212"/>
      <c r="B20" s="84"/>
      <c r="C20" s="77"/>
      <c r="D20" s="77"/>
      <c r="E20" s="213"/>
    </row>
    <row r="21" spans="1:5" hidden="1" outlineLevel="1" x14ac:dyDescent="0.25">
      <c r="A21" s="212"/>
      <c r="B21" s="84"/>
      <c r="C21" s="77"/>
      <c r="D21" s="77"/>
      <c r="E21" s="213"/>
    </row>
    <row r="22" spans="1:5" hidden="1" outlineLevel="1" x14ac:dyDescent="0.25">
      <c r="A22" s="212"/>
      <c r="B22" s="84"/>
      <c r="C22" s="77"/>
      <c r="D22" s="77"/>
      <c r="E22" s="213"/>
    </row>
    <row r="23" spans="1:5" hidden="1" outlineLevel="1" x14ac:dyDescent="0.25">
      <c r="A23" s="212"/>
      <c r="B23" s="84"/>
      <c r="C23" s="77"/>
      <c r="D23" s="77"/>
      <c r="E23" s="213"/>
    </row>
    <row r="24" spans="1:5" hidden="1" outlineLevel="1" x14ac:dyDescent="0.25">
      <c r="A24" s="212"/>
      <c r="B24" s="84"/>
      <c r="C24" s="77"/>
      <c r="D24" s="77"/>
      <c r="E24" s="213"/>
    </row>
    <row r="25" spans="1:5" hidden="1" outlineLevel="1" x14ac:dyDescent="0.25">
      <c r="A25" s="212"/>
      <c r="B25" s="84"/>
      <c r="C25" s="77"/>
      <c r="D25" s="77"/>
      <c r="E25" s="213"/>
    </row>
    <row r="26" spans="1:5" hidden="1" outlineLevel="1" x14ac:dyDescent="0.25">
      <c r="A26" s="212"/>
      <c r="B26" s="84"/>
      <c r="C26" s="77"/>
      <c r="D26" s="77"/>
      <c r="E26" s="213"/>
    </row>
    <row r="27" spans="1:5" hidden="1" outlineLevel="1" x14ac:dyDescent="0.25">
      <c r="A27" s="212"/>
      <c r="B27" s="84"/>
      <c r="C27" s="77"/>
      <c r="D27" s="77"/>
      <c r="E27" s="213"/>
    </row>
    <row r="28" spans="1:5" hidden="1" outlineLevel="1" x14ac:dyDescent="0.25">
      <c r="A28" s="212"/>
      <c r="B28" s="84"/>
      <c r="C28" s="77"/>
      <c r="D28" s="77"/>
      <c r="E28" s="213"/>
    </row>
    <row r="29" spans="1:5" hidden="1" outlineLevel="1" x14ac:dyDescent="0.25">
      <c r="A29" s="212"/>
      <c r="B29" s="84"/>
      <c r="C29" s="77"/>
      <c r="D29" s="77"/>
      <c r="E29" s="213"/>
    </row>
    <row r="30" spans="1:5" hidden="1" outlineLevel="1" x14ac:dyDescent="0.25">
      <c r="A30" s="212"/>
      <c r="B30" s="84"/>
      <c r="C30" s="77"/>
      <c r="D30" s="77"/>
      <c r="E30" s="213"/>
    </row>
    <row r="31" spans="1:5" hidden="1" outlineLevel="1" x14ac:dyDescent="0.25">
      <c r="A31" s="214"/>
      <c r="B31" s="215"/>
      <c r="C31" s="79"/>
      <c r="D31" s="79"/>
      <c r="E31" s="216"/>
    </row>
    <row r="32" spans="1:5" collapsed="1" x14ac:dyDescent="0.25">
      <c r="A32" s="217" t="s">
        <v>24</v>
      </c>
      <c r="B32" s="218">
        <f>SUBTOTAL(9,B33:B63)</f>
        <v>0</v>
      </c>
      <c r="C32" s="73"/>
      <c r="D32" s="73"/>
      <c r="E32" s="218">
        <f>E64+B32</f>
        <v>39161.389999999992</v>
      </c>
    </row>
    <row r="33" spans="1:5" hidden="1" outlineLevel="1" x14ac:dyDescent="0.25">
      <c r="A33" s="209"/>
      <c r="B33" s="210"/>
      <c r="C33" s="75"/>
      <c r="D33" s="75"/>
      <c r="E33" s="211"/>
    </row>
    <row r="34" spans="1:5" hidden="1" outlineLevel="1" x14ac:dyDescent="0.25">
      <c r="A34" s="212"/>
      <c r="B34" s="84"/>
      <c r="C34" s="77"/>
      <c r="D34" s="77"/>
      <c r="E34" s="213"/>
    </row>
    <row r="35" spans="1:5" hidden="1" outlineLevel="1" x14ac:dyDescent="0.25">
      <c r="A35" s="212"/>
      <c r="B35" s="84"/>
      <c r="C35" s="77"/>
      <c r="D35" s="77"/>
      <c r="E35" s="213"/>
    </row>
    <row r="36" spans="1:5" hidden="1" outlineLevel="1" x14ac:dyDescent="0.25">
      <c r="A36" s="212"/>
      <c r="B36" s="84"/>
      <c r="C36" s="77"/>
      <c r="D36" s="77"/>
      <c r="E36" s="213"/>
    </row>
    <row r="37" spans="1:5" hidden="1" outlineLevel="1" x14ac:dyDescent="0.25">
      <c r="A37" s="212"/>
      <c r="B37" s="84"/>
      <c r="C37" s="77"/>
      <c r="D37" s="77"/>
      <c r="E37" s="213"/>
    </row>
    <row r="38" spans="1:5" hidden="1" outlineLevel="1" x14ac:dyDescent="0.25">
      <c r="A38" s="212"/>
      <c r="B38" s="84"/>
      <c r="C38" s="77"/>
      <c r="D38" s="77"/>
      <c r="E38" s="213"/>
    </row>
    <row r="39" spans="1:5" hidden="1" outlineLevel="1" x14ac:dyDescent="0.25">
      <c r="A39" s="212"/>
      <c r="B39" s="84"/>
      <c r="C39" s="77"/>
      <c r="D39" s="77"/>
      <c r="E39" s="213"/>
    </row>
    <row r="40" spans="1:5" hidden="1" outlineLevel="1" x14ac:dyDescent="0.25">
      <c r="A40" s="212"/>
      <c r="B40" s="84"/>
      <c r="C40" s="77"/>
      <c r="D40" s="77"/>
      <c r="E40" s="213"/>
    </row>
    <row r="41" spans="1:5" hidden="1" outlineLevel="1" x14ac:dyDescent="0.25">
      <c r="A41" s="212"/>
      <c r="B41" s="84"/>
      <c r="C41" s="77"/>
      <c r="D41" s="77"/>
      <c r="E41" s="213"/>
    </row>
    <row r="42" spans="1:5" hidden="1" outlineLevel="1" x14ac:dyDescent="0.25">
      <c r="A42" s="212"/>
      <c r="B42" s="84"/>
      <c r="C42" s="77"/>
      <c r="D42" s="77"/>
      <c r="E42" s="213"/>
    </row>
    <row r="43" spans="1:5" hidden="1" outlineLevel="1" x14ac:dyDescent="0.25">
      <c r="A43" s="212"/>
      <c r="B43" s="84"/>
      <c r="C43" s="77"/>
      <c r="D43" s="77"/>
      <c r="E43" s="213"/>
    </row>
    <row r="44" spans="1:5" hidden="1" outlineLevel="1" x14ac:dyDescent="0.25">
      <c r="A44" s="212"/>
      <c r="B44" s="84"/>
      <c r="C44" s="77"/>
      <c r="D44" s="77"/>
      <c r="E44" s="213"/>
    </row>
    <row r="45" spans="1:5" hidden="1" outlineLevel="1" x14ac:dyDescent="0.25">
      <c r="A45" s="212"/>
      <c r="B45" s="84"/>
      <c r="C45" s="77"/>
      <c r="D45" s="77"/>
      <c r="E45" s="213"/>
    </row>
    <row r="46" spans="1:5" hidden="1" outlineLevel="1" x14ac:dyDescent="0.25">
      <c r="A46" s="212"/>
      <c r="B46" s="84"/>
      <c r="C46" s="77"/>
      <c r="D46" s="77"/>
      <c r="E46" s="213"/>
    </row>
    <row r="47" spans="1:5" hidden="1" outlineLevel="1" x14ac:dyDescent="0.25">
      <c r="A47" s="212"/>
      <c r="B47" s="84"/>
      <c r="C47" s="77"/>
      <c r="D47" s="77"/>
      <c r="E47" s="213"/>
    </row>
    <row r="48" spans="1:5" hidden="1" outlineLevel="1" x14ac:dyDescent="0.25">
      <c r="A48" s="212"/>
      <c r="B48" s="84"/>
      <c r="C48" s="77"/>
      <c r="D48" s="77"/>
      <c r="E48" s="213"/>
    </row>
    <row r="49" spans="1:5" hidden="1" outlineLevel="1" x14ac:dyDescent="0.25">
      <c r="A49" s="212"/>
      <c r="B49" s="84"/>
      <c r="C49" s="77"/>
      <c r="D49" s="77"/>
      <c r="E49" s="213"/>
    </row>
    <row r="50" spans="1:5" hidden="1" outlineLevel="1" x14ac:dyDescent="0.25">
      <c r="A50" s="212"/>
      <c r="B50" s="84"/>
      <c r="C50" s="77"/>
      <c r="D50" s="77"/>
      <c r="E50" s="213"/>
    </row>
    <row r="51" spans="1:5" hidden="1" outlineLevel="1" x14ac:dyDescent="0.25">
      <c r="A51" s="212"/>
      <c r="B51" s="84"/>
      <c r="C51" s="77"/>
      <c r="D51" s="77"/>
      <c r="E51" s="213"/>
    </row>
    <row r="52" spans="1:5" hidden="1" outlineLevel="1" x14ac:dyDescent="0.25">
      <c r="A52" s="212"/>
      <c r="B52" s="84"/>
      <c r="C52" s="77"/>
      <c r="D52" s="77"/>
      <c r="E52" s="213"/>
    </row>
    <row r="53" spans="1:5" hidden="1" outlineLevel="1" x14ac:dyDescent="0.25">
      <c r="A53" s="212"/>
      <c r="B53" s="84"/>
      <c r="C53" s="77"/>
      <c r="D53" s="77"/>
      <c r="E53" s="213"/>
    </row>
    <row r="54" spans="1:5" hidden="1" outlineLevel="1" x14ac:dyDescent="0.25">
      <c r="A54" s="212"/>
      <c r="B54" s="84"/>
      <c r="C54" s="77"/>
      <c r="D54" s="77"/>
      <c r="E54" s="213"/>
    </row>
    <row r="55" spans="1:5" hidden="1" outlineLevel="1" x14ac:dyDescent="0.25">
      <c r="A55" s="212"/>
      <c r="B55" s="84"/>
      <c r="C55" s="77"/>
      <c r="D55" s="77"/>
      <c r="E55" s="213"/>
    </row>
    <row r="56" spans="1:5" hidden="1" outlineLevel="1" x14ac:dyDescent="0.25">
      <c r="A56" s="212"/>
      <c r="B56" s="84"/>
      <c r="C56" s="77"/>
      <c r="D56" s="77"/>
      <c r="E56" s="213"/>
    </row>
    <row r="57" spans="1:5" hidden="1" outlineLevel="1" x14ac:dyDescent="0.25">
      <c r="A57" s="212"/>
      <c r="B57" s="84"/>
      <c r="C57" s="77"/>
      <c r="D57" s="77"/>
      <c r="E57" s="213"/>
    </row>
    <row r="58" spans="1:5" hidden="1" outlineLevel="1" x14ac:dyDescent="0.25">
      <c r="A58" s="212"/>
      <c r="B58" s="84"/>
      <c r="C58" s="77"/>
      <c r="D58" s="77"/>
      <c r="E58" s="213"/>
    </row>
    <row r="59" spans="1:5" hidden="1" outlineLevel="1" x14ac:dyDescent="0.25">
      <c r="A59" s="212"/>
      <c r="B59" s="84"/>
      <c r="C59" s="77"/>
      <c r="D59" s="77"/>
      <c r="E59" s="213"/>
    </row>
    <row r="60" spans="1:5" hidden="1" outlineLevel="1" x14ac:dyDescent="0.25">
      <c r="A60" s="212"/>
      <c r="B60" s="84"/>
      <c r="C60" s="77"/>
      <c r="D60" s="77"/>
      <c r="E60" s="213"/>
    </row>
    <row r="61" spans="1:5" hidden="1" outlineLevel="1" x14ac:dyDescent="0.25">
      <c r="A61" s="212"/>
      <c r="B61" s="84"/>
      <c r="C61" s="77"/>
      <c r="D61" s="77"/>
      <c r="E61" s="213"/>
    </row>
    <row r="62" spans="1:5" hidden="1" outlineLevel="1" x14ac:dyDescent="0.25">
      <c r="A62" s="212"/>
      <c r="B62" s="84"/>
      <c r="C62" s="77"/>
      <c r="D62" s="77"/>
      <c r="E62" s="213"/>
    </row>
    <row r="63" spans="1:5" hidden="1" outlineLevel="1" x14ac:dyDescent="0.25">
      <c r="A63" s="214"/>
      <c r="B63" s="215"/>
      <c r="C63" s="79"/>
      <c r="D63" s="79"/>
      <c r="E63" s="216"/>
    </row>
    <row r="64" spans="1:5" collapsed="1" x14ac:dyDescent="0.25">
      <c r="A64" s="217" t="s">
        <v>23</v>
      </c>
      <c r="B64" s="218">
        <f>SUBTOTAL(9,B65:B92)</f>
        <v>0</v>
      </c>
      <c r="C64" s="73"/>
      <c r="D64" s="73"/>
      <c r="E64" s="218">
        <f>E93+B64</f>
        <v>39161.389999999992</v>
      </c>
    </row>
    <row r="65" spans="1:5" hidden="1" outlineLevel="1" x14ac:dyDescent="0.25">
      <c r="A65" s="209"/>
      <c r="B65" s="210"/>
      <c r="C65" s="75"/>
      <c r="D65" s="75"/>
      <c r="E65" s="211"/>
    </row>
    <row r="66" spans="1:5" hidden="1" outlineLevel="1" x14ac:dyDescent="0.25">
      <c r="A66" s="212"/>
      <c r="B66" s="84"/>
      <c r="C66" s="77"/>
      <c r="D66" s="77"/>
      <c r="E66" s="213"/>
    </row>
    <row r="67" spans="1:5" hidden="1" outlineLevel="1" x14ac:dyDescent="0.25">
      <c r="A67" s="212"/>
      <c r="B67" s="84"/>
      <c r="C67" s="77"/>
      <c r="D67" s="77"/>
      <c r="E67" s="213"/>
    </row>
    <row r="68" spans="1:5" hidden="1" outlineLevel="1" x14ac:dyDescent="0.25">
      <c r="A68" s="212"/>
      <c r="B68" s="84"/>
      <c r="C68" s="77"/>
      <c r="D68" s="77"/>
      <c r="E68" s="213"/>
    </row>
    <row r="69" spans="1:5" hidden="1" outlineLevel="1" x14ac:dyDescent="0.25">
      <c r="A69" s="212"/>
      <c r="B69" s="84"/>
      <c r="C69" s="77"/>
      <c r="D69" s="77"/>
      <c r="E69" s="213"/>
    </row>
    <row r="70" spans="1:5" hidden="1" outlineLevel="1" x14ac:dyDescent="0.25">
      <c r="A70" s="212"/>
      <c r="B70" s="84"/>
      <c r="C70" s="77"/>
      <c r="D70" s="77"/>
      <c r="E70" s="213"/>
    </row>
    <row r="71" spans="1:5" hidden="1" outlineLevel="1" x14ac:dyDescent="0.25">
      <c r="A71" s="212"/>
      <c r="B71" s="84"/>
      <c r="C71" s="77"/>
      <c r="D71" s="77"/>
      <c r="E71" s="213"/>
    </row>
    <row r="72" spans="1:5" hidden="1" outlineLevel="1" x14ac:dyDescent="0.25">
      <c r="A72" s="212"/>
      <c r="B72" s="84"/>
      <c r="C72" s="77"/>
      <c r="D72" s="77"/>
      <c r="E72" s="213"/>
    </row>
    <row r="73" spans="1:5" hidden="1" outlineLevel="1" x14ac:dyDescent="0.25">
      <c r="A73" s="212"/>
      <c r="B73" s="84"/>
      <c r="C73" s="77"/>
      <c r="D73" s="77"/>
      <c r="E73" s="213"/>
    </row>
    <row r="74" spans="1:5" hidden="1" outlineLevel="1" x14ac:dyDescent="0.25">
      <c r="A74" s="212"/>
      <c r="B74" s="84"/>
      <c r="C74" s="77"/>
      <c r="D74" s="77"/>
      <c r="E74" s="213"/>
    </row>
    <row r="75" spans="1:5" hidden="1" outlineLevel="1" x14ac:dyDescent="0.25">
      <c r="A75" s="212"/>
      <c r="B75" s="84"/>
      <c r="C75" s="77"/>
      <c r="D75" s="77"/>
      <c r="E75" s="213"/>
    </row>
    <row r="76" spans="1:5" hidden="1" outlineLevel="1" x14ac:dyDescent="0.25">
      <c r="A76" s="212"/>
      <c r="B76" s="84"/>
      <c r="C76" s="77"/>
      <c r="D76" s="77"/>
      <c r="E76" s="213"/>
    </row>
    <row r="77" spans="1:5" hidden="1" outlineLevel="1" x14ac:dyDescent="0.25">
      <c r="A77" s="212"/>
      <c r="B77" s="84"/>
      <c r="C77" s="77"/>
      <c r="D77" s="77"/>
      <c r="E77" s="213"/>
    </row>
    <row r="78" spans="1:5" hidden="1" outlineLevel="1" x14ac:dyDescent="0.25">
      <c r="A78" s="212"/>
      <c r="B78" s="84"/>
      <c r="C78" s="77"/>
      <c r="D78" s="77"/>
      <c r="E78" s="213"/>
    </row>
    <row r="79" spans="1:5" hidden="1" outlineLevel="1" x14ac:dyDescent="0.25">
      <c r="A79" s="212"/>
      <c r="B79" s="84"/>
      <c r="C79" s="77"/>
      <c r="D79" s="77"/>
      <c r="E79" s="213"/>
    </row>
    <row r="80" spans="1:5" hidden="1" outlineLevel="1" x14ac:dyDescent="0.25">
      <c r="A80" s="212"/>
      <c r="B80" s="84"/>
      <c r="C80" s="77"/>
      <c r="D80" s="77"/>
      <c r="E80" s="213"/>
    </row>
    <row r="81" spans="1:5" hidden="1" outlineLevel="1" x14ac:dyDescent="0.25">
      <c r="A81" s="212"/>
      <c r="B81" s="84"/>
      <c r="C81" s="77"/>
      <c r="D81" s="77"/>
      <c r="E81" s="213"/>
    </row>
    <row r="82" spans="1:5" hidden="1" outlineLevel="1" x14ac:dyDescent="0.25">
      <c r="A82" s="212"/>
      <c r="B82" s="84"/>
      <c r="C82" s="77"/>
      <c r="D82" s="77"/>
      <c r="E82" s="213"/>
    </row>
    <row r="83" spans="1:5" hidden="1" outlineLevel="1" x14ac:dyDescent="0.25">
      <c r="A83" s="212"/>
      <c r="B83" s="84"/>
      <c r="C83" s="77"/>
      <c r="D83" s="77"/>
      <c r="E83" s="213"/>
    </row>
    <row r="84" spans="1:5" hidden="1" outlineLevel="1" x14ac:dyDescent="0.25">
      <c r="A84" s="212"/>
      <c r="B84" s="84"/>
      <c r="C84" s="77"/>
      <c r="D84" s="77"/>
      <c r="E84" s="213"/>
    </row>
    <row r="85" spans="1:5" hidden="1" outlineLevel="1" x14ac:dyDescent="0.25">
      <c r="A85" s="212"/>
      <c r="B85" s="84"/>
      <c r="C85" s="77"/>
      <c r="D85" s="77"/>
      <c r="E85" s="213"/>
    </row>
    <row r="86" spans="1:5" hidden="1" outlineLevel="1" x14ac:dyDescent="0.25">
      <c r="A86" s="212"/>
      <c r="B86" s="84"/>
      <c r="C86" s="77"/>
      <c r="D86" s="77"/>
      <c r="E86" s="213"/>
    </row>
    <row r="87" spans="1:5" hidden="1" outlineLevel="1" x14ac:dyDescent="0.25">
      <c r="A87" s="212"/>
      <c r="B87" s="84"/>
      <c r="C87" s="77"/>
      <c r="D87" s="77"/>
      <c r="E87" s="213"/>
    </row>
    <row r="88" spans="1:5" hidden="1" outlineLevel="1" x14ac:dyDescent="0.25">
      <c r="A88" s="212"/>
      <c r="B88" s="84"/>
      <c r="C88" s="77"/>
      <c r="D88" s="77"/>
      <c r="E88" s="213"/>
    </row>
    <row r="89" spans="1:5" hidden="1" outlineLevel="1" x14ac:dyDescent="0.25">
      <c r="A89" s="212"/>
      <c r="B89" s="84"/>
      <c r="C89" s="77"/>
      <c r="D89" s="77"/>
      <c r="E89" s="213"/>
    </row>
    <row r="90" spans="1:5" hidden="1" outlineLevel="1" x14ac:dyDescent="0.25">
      <c r="A90" s="212"/>
      <c r="B90" s="84"/>
      <c r="C90" s="77"/>
      <c r="D90" s="77"/>
      <c r="E90" s="213"/>
    </row>
    <row r="91" spans="1:5" hidden="1" outlineLevel="1" x14ac:dyDescent="0.25">
      <c r="A91" s="212"/>
      <c r="B91" s="84"/>
      <c r="C91" s="77"/>
      <c r="D91" s="77"/>
      <c r="E91" s="213"/>
    </row>
    <row r="92" spans="1:5" hidden="1" outlineLevel="1" x14ac:dyDescent="0.25">
      <c r="A92" s="212"/>
      <c r="B92" s="84"/>
      <c r="C92" s="77"/>
      <c r="D92" s="77"/>
      <c r="E92" s="213"/>
    </row>
    <row r="93" spans="1:5" collapsed="1" x14ac:dyDescent="0.25">
      <c r="A93" s="207" t="s">
        <v>21</v>
      </c>
      <c r="B93" s="206">
        <f>SUBTOTAL(9,B94:B127)</f>
        <v>0</v>
      </c>
      <c r="C93" s="208"/>
      <c r="D93" s="208"/>
      <c r="E93" s="206">
        <f>E128+B93</f>
        <v>39161.389999999992</v>
      </c>
    </row>
    <row r="94" spans="1:5" hidden="1" outlineLevel="1" x14ac:dyDescent="0.25">
      <c r="A94" s="209"/>
      <c r="B94" s="210"/>
      <c r="C94" s="75"/>
      <c r="D94" s="75"/>
      <c r="E94" s="211"/>
    </row>
    <row r="95" spans="1:5" hidden="1" outlineLevel="1" x14ac:dyDescent="0.25">
      <c r="A95" s="212"/>
      <c r="B95" s="84"/>
      <c r="C95" s="77"/>
      <c r="D95" s="77"/>
      <c r="E95" s="213"/>
    </row>
    <row r="96" spans="1:5" hidden="1" outlineLevel="1" x14ac:dyDescent="0.25">
      <c r="A96" s="212"/>
      <c r="B96" s="84"/>
      <c r="C96" s="77"/>
      <c r="D96" s="77"/>
      <c r="E96" s="213"/>
    </row>
    <row r="97" spans="1:5" hidden="1" outlineLevel="1" x14ac:dyDescent="0.25">
      <c r="A97" s="212"/>
      <c r="B97" s="84"/>
      <c r="C97" s="77"/>
      <c r="D97" s="77"/>
      <c r="E97" s="213"/>
    </row>
    <row r="98" spans="1:5" hidden="1" outlineLevel="1" x14ac:dyDescent="0.25">
      <c r="A98" s="212"/>
      <c r="B98" s="84"/>
      <c r="C98" s="77"/>
      <c r="D98" s="77"/>
      <c r="E98" s="213"/>
    </row>
    <row r="99" spans="1:5" hidden="1" outlineLevel="1" x14ac:dyDescent="0.25">
      <c r="A99" s="212"/>
      <c r="B99" s="84"/>
      <c r="C99" s="77"/>
      <c r="D99" s="77"/>
      <c r="E99" s="213"/>
    </row>
    <row r="100" spans="1:5" hidden="1" outlineLevel="1" x14ac:dyDescent="0.25">
      <c r="A100" s="212"/>
      <c r="B100" s="84"/>
      <c r="C100" s="77"/>
      <c r="D100" s="77"/>
      <c r="E100" s="213"/>
    </row>
    <row r="101" spans="1:5" hidden="1" outlineLevel="1" x14ac:dyDescent="0.25">
      <c r="A101" s="212"/>
      <c r="B101" s="84"/>
      <c r="C101" s="77"/>
      <c r="D101" s="77"/>
      <c r="E101" s="213"/>
    </row>
    <row r="102" spans="1:5" hidden="1" outlineLevel="1" x14ac:dyDescent="0.25">
      <c r="A102" s="212"/>
      <c r="B102" s="84"/>
      <c r="C102" s="77"/>
      <c r="D102" s="77"/>
      <c r="E102" s="213"/>
    </row>
    <row r="103" spans="1:5" hidden="1" outlineLevel="1" x14ac:dyDescent="0.25">
      <c r="A103" s="212"/>
      <c r="B103" s="84"/>
      <c r="C103" s="77"/>
      <c r="D103" s="77"/>
      <c r="E103" s="213"/>
    </row>
    <row r="104" spans="1:5" hidden="1" outlineLevel="1" x14ac:dyDescent="0.25">
      <c r="A104" s="212"/>
      <c r="B104" s="84"/>
      <c r="C104" s="77"/>
      <c r="D104" s="77"/>
      <c r="E104" s="213"/>
    </row>
    <row r="105" spans="1:5" hidden="1" outlineLevel="1" x14ac:dyDescent="0.25">
      <c r="A105" s="212"/>
      <c r="B105" s="84"/>
      <c r="C105" s="77"/>
      <c r="D105" s="77"/>
      <c r="E105" s="213"/>
    </row>
    <row r="106" spans="1:5" hidden="1" outlineLevel="1" x14ac:dyDescent="0.25">
      <c r="A106" s="212"/>
      <c r="B106" s="84"/>
      <c r="C106" s="77"/>
      <c r="D106" s="77"/>
      <c r="E106" s="213"/>
    </row>
    <row r="107" spans="1:5" hidden="1" outlineLevel="1" x14ac:dyDescent="0.25">
      <c r="A107" s="212"/>
      <c r="B107" s="84"/>
      <c r="C107" s="77"/>
      <c r="D107" s="77"/>
      <c r="E107" s="213"/>
    </row>
    <row r="108" spans="1:5" hidden="1" outlineLevel="1" x14ac:dyDescent="0.25">
      <c r="A108" s="212"/>
      <c r="B108" s="84"/>
      <c r="C108" s="77"/>
      <c r="D108" s="77"/>
      <c r="E108" s="213"/>
    </row>
    <row r="109" spans="1:5" hidden="1" outlineLevel="1" x14ac:dyDescent="0.25">
      <c r="A109" s="212"/>
      <c r="B109" s="84"/>
      <c r="C109" s="77"/>
      <c r="D109" s="77"/>
      <c r="E109" s="213"/>
    </row>
    <row r="110" spans="1:5" hidden="1" outlineLevel="1" x14ac:dyDescent="0.25">
      <c r="A110" s="212"/>
      <c r="B110" s="84"/>
      <c r="C110" s="77"/>
      <c r="D110" s="77"/>
      <c r="E110" s="213"/>
    </row>
    <row r="111" spans="1:5" hidden="1" outlineLevel="1" x14ac:dyDescent="0.25">
      <c r="A111" s="212"/>
      <c r="B111" s="84"/>
      <c r="C111" s="77"/>
      <c r="D111" s="77"/>
      <c r="E111" s="213"/>
    </row>
    <row r="112" spans="1:5" hidden="1" outlineLevel="1" x14ac:dyDescent="0.25">
      <c r="A112" s="212"/>
      <c r="B112" s="84"/>
      <c r="C112" s="77"/>
      <c r="D112" s="77"/>
      <c r="E112" s="213"/>
    </row>
    <row r="113" spans="1:5" hidden="1" outlineLevel="1" x14ac:dyDescent="0.25">
      <c r="A113" s="212"/>
      <c r="B113" s="84"/>
      <c r="C113" s="77"/>
      <c r="D113" s="77"/>
      <c r="E113" s="213"/>
    </row>
    <row r="114" spans="1:5" hidden="1" outlineLevel="1" x14ac:dyDescent="0.25">
      <c r="A114" s="212"/>
      <c r="B114" s="84"/>
      <c r="C114" s="77"/>
      <c r="D114" s="77"/>
      <c r="E114" s="213"/>
    </row>
    <row r="115" spans="1:5" hidden="1" outlineLevel="1" x14ac:dyDescent="0.25">
      <c r="A115" s="212"/>
      <c r="B115" s="84"/>
      <c r="C115" s="77"/>
      <c r="D115" s="77"/>
      <c r="E115" s="213"/>
    </row>
    <row r="116" spans="1:5" hidden="1" outlineLevel="1" x14ac:dyDescent="0.25">
      <c r="A116" s="212"/>
      <c r="B116" s="84"/>
      <c r="C116" s="77"/>
      <c r="D116" s="77"/>
      <c r="E116" s="213"/>
    </row>
    <row r="117" spans="1:5" hidden="1" outlineLevel="1" x14ac:dyDescent="0.25">
      <c r="A117" s="212"/>
      <c r="B117" s="84"/>
      <c r="C117" s="77"/>
      <c r="D117" s="77"/>
      <c r="E117" s="213"/>
    </row>
    <row r="118" spans="1:5" hidden="1" outlineLevel="1" x14ac:dyDescent="0.25">
      <c r="A118" s="212"/>
      <c r="B118" s="84"/>
      <c r="C118" s="77"/>
      <c r="D118" s="77"/>
      <c r="E118" s="213"/>
    </row>
    <row r="119" spans="1:5" hidden="1" outlineLevel="1" x14ac:dyDescent="0.25">
      <c r="A119" s="212"/>
      <c r="B119" s="84"/>
      <c r="C119" s="77"/>
      <c r="D119" s="77"/>
      <c r="E119" s="213"/>
    </row>
    <row r="120" spans="1:5" hidden="1" outlineLevel="1" x14ac:dyDescent="0.25">
      <c r="A120" s="212"/>
      <c r="B120" s="84"/>
      <c r="C120" s="77"/>
      <c r="D120" s="77"/>
      <c r="E120" s="213"/>
    </row>
    <row r="121" spans="1:5" hidden="1" outlineLevel="1" x14ac:dyDescent="0.25">
      <c r="A121" s="212"/>
      <c r="B121" s="84"/>
      <c r="C121" s="77"/>
      <c r="D121" s="77"/>
      <c r="E121" s="213"/>
    </row>
    <row r="122" spans="1:5" hidden="1" outlineLevel="1" x14ac:dyDescent="0.25">
      <c r="A122" s="212"/>
      <c r="B122" s="84"/>
      <c r="C122" s="77"/>
      <c r="D122" s="77"/>
      <c r="E122" s="213"/>
    </row>
    <row r="123" spans="1:5" hidden="1" outlineLevel="1" x14ac:dyDescent="0.25">
      <c r="A123" s="212"/>
      <c r="B123" s="84"/>
      <c r="C123" s="77"/>
      <c r="D123" s="77"/>
      <c r="E123" s="213"/>
    </row>
    <row r="124" spans="1:5" hidden="1" outlineLevel="1" x14ac:dyDescent="0.25">
      <c r="A124" s="212"/>
      <c r="B124" s="84"/>
      <c r="C124" s="77"/>
      <c r="D124" s="77"/>
      <c r="E124" s="213"/>
    </row>
    <row r="125" spans="1:5" hidden="1" outlineLevel="1" x14ac:dyDescent="0.25">
      <c r="A125" s="212"/>
      <c r="B125" s="84"/>
      <c r="C125" s="77"/>
      <c r="D125" s="77"/>
      <c r="E125" s="213"/>
    </row>
    <row r="126" spans="1:5" hidden="1" outlineLevel="1" x14ac:dyDescent="0.25">
      <c r="A126" s="212"/>
      <c r="B126" s="84"/>
      <c r="C126" s="77"/>
      <c r="D126" s="77"/>
      <c r="E126" s="213"/>
    </row>
    <row r="127" spans="1:5" hidden="1" outlineLevel="1" x14ac:dyDescent="0.25">
      <c r="A127" s="214"/>
      <c r="B127" s="215"/>
      <c r="C127" s="79"/>
      <c r="D127" s="79"/>
      <c r="E127" s="216"/>
    </row>
    <row r="128" spans="1:5" collapsed="1" x14ac:dyDescent="0.25">
      <c r="A128" s="217" t="s">
        <v>20</v>
      </c>
      <c r="B128" s="218">
        <f>SUBTOTAL(9,B129:B154)</f>
        <v>0</v>
      </c>
      <c r="C128" s="73"/>
      <c r="D128" s="73"/>
      <c r="E128" s="218">
        <f>E155+B128</f>
        <v>39161.389999999992</v>
      </c>
    </row>
    <row r="129" spans="1:5" s="22" customFormat="1" hidden="1" outlineLevel="1" x14ac:dyDescent="0.25">
      <c r="A129" s="209"/>
      <c r="B129" s="210"/>
      <c r="C129" s="75"/>
      <c r="D129" s="75"/>
      <c r="E129" s="211"/>
    </row>
    <row r="130" spans="1:5" hidden="1" outlineLevel="1" x14ac:dyDescent="0.25">
      <c r="A130" s="212"/>
      <c r="B130" s="84"/>
      <c r="C130" s="77"/>
      <c r="D130" s="77"/>
      <c r="E130" s="213"/>
    </row>
    <row r="131" spans="1:5" hidden="1" outlineLevel="1" x14ac:dyDescent="0.25">
      <c r="A131" s="212"/>
      <c r="B131" s="84"/>
      <c r="C131" s="77"/>
      <c r="D131" s="77"/>
      <c r="E131" s="213"/>
    </row>
    <row r="132" spans="1:5" hidden="1" outlineLevel="1" x14ac:dyDescent="0.25">
      <c r="A132" s="212"/>
      <c r="B132" s="84"/>
      <c r="C132" s="77"/>
      <c r="D132" s="77"/>
      <c r="E132" s="213"/>
    </row>
    <row r="133" spans="1:5" hidden="1" outlineLevel="1" x14ac:dyDescent="0.25">
      <c r="A133" s="212"/>
      <c r="B133" s="84"/>
      <c r="C133" s="77"/>
      <c r="D133" s="77"/>
      <c r="E133" s="213"/>
    </row>
    <row r="134" spans="1:5" hidden="1" outlineLevel="1" x14ac:dyDescent="0.25">
      <c r="A134" s="212"/>
      <c r="B134" s="84"/>
      <c r="C134" s="77"/>
      <c r="D134" s="77"/>
      <c r="E134" s="213"/>
    </row>
    <row r="135" spans="1:5" hidden="1" outlineLevel="1" x14ac:dyDescent="0.25">
      <c r="A135" s="212"/>
      <c r="B135" s="84"/>
      <c r="C135" s="77"/>
      <c r="D135" s="77"/>
      <c r="E135" s="213"/>
    </row>
    <row r="136" spans="1:5" hidden="1" outlineLevel="1" x14ac:dyDescent="0.25">
      <c r="A136" s="212"/>
      <c r="B136" s="84"/>
      <c r="C136" s="77"/>
      <c r="D136" s="77"/>
      <c r="E136" s="213"/>
    </row>
    <row r="137" spans="1:5" hidden="1" outlineLevel="1" x14ac:dyDescent="0.25">
      <c r="A137" s="212"/>
      <c r="B137" s="84"/>
      <c r="C137" s="77"/>
      <c r="D137" s="77"/>
      <c r="E137" s="213"/>
    </row>
    <row r="138" spans="1:5" hidden="1" outlineLevel="1" x14ac:dyDescent="0.25">
      <c r="A138" s="212"/>
      <c r="B138" s="84"/>
      <c r="C138" s="77"/>
      <c r="D138" s="77"/>
      <c r="E138" s="213"/>
    </row>
    <row r="139" spans="1:5" hidden="1" outlineLevel="1" x14ac:dyDescent="0.25">
      <c r="A139" s="212"/>
      <c r="B139" s="84"/>
      <c r="C139" s="77"/>
      <c r="D139" s="77"/>
      <c r="E139" s="213"/>
    </row>
    <row r="140" spans="1:5" hidden="1" outlineLevel="1" x14ac:dyDescent="0.25">
      <c r="A140" s="212"/>
      <c r="B140" s="84"/>
      <c r="C140" s="77"/>
      <c r="D140" s="77"/>
      <c r="E140" s="213"/>
    </row>
    <row r="141" spans="1:5" hidden="1" outlineLevel="1" x14ac:dyDescent="0.25">
      <c r="A141" s="212"/>
      <c r="B141" s="84"/>
      <c r="C141" s="77"/>
      <c r="D141" s="77"/>
      <c r="E141" s="213"/>
    </row>
    <row r="142" spans="1:5" hidden="1" outlineLevel="1" x14ac:dyDescent="0.25">
      <c r="A142" s="212"/>
      <c r="B142" s="84"/>
      <c r="C142" s="77"/>
      <c r="D142" s="77"/>
      <c r="E142" s="213"/>
    </row>
    <row r="143" spans="1:5" hidden="1" outlineLevel="1" x14ac:dyDescent="0.25">
      <c r="A143" s="212"/>
      <c r="B143" s="84"/>
      <c r="C143" s="77"/>
      <c r="D143" s="77"/>
      <c r="E143" s="213"/>
    </row>
    <row r="144" spans="1:5" hidden="1" outlineLevel="1" x14ac:dyDescent="0.25">
      <c r="A144" s="212"/>
      <c r="B144" s="84"/>
      <c r="C144" s="77"/>
      <c r="D144" s="77"/>
      <c r="E144" s="213"/>
    </row>
    <row r="145" spans="1:5" hidden="1" outlineLevel="1" x14ac:dyDescent="0.25">
      <c r="A145" s="212"/>
      <c r="B145" s="84"/>
      <c r="C145" s="77"/>
      <c r="D145" s="77"/>
      <c r="E145" s="213"/>
    </row>
    <row r="146" spans="1:5" hidden="1" outlineLevel="1" x14ac:dyDescent="0.25">
      <c r="A146" s="212"/>
      <c r="B146" s="84"/>
      <c r="C146" s="77"/>
      <c r="D146" s="77"/>
      <c r="E146" s="213"/>
    </row>
    <row r="147" spans="1:5" hidden="1" outlineLevel="1" x14ac:dyDescent="0.25">
      <c r="A147" s="212"/>
      <c r="B147" s="84"/>
      <c r="C147" s="77"/>
      <c r="D147" s="77"/>
      <c r="E147" s="213"/>
    </row>
    <row r="148" spans="1:5" hidden="1" outlineLevel="1" x14ac:dyDescent="0.25">
      <c r="A148" s="212"/>
      <c r="B148" s="84"/>
      <c r="C148" s="77"/>
      <c r="D148" s="77"/>
      <c r="E148" s="213"/>
    </row>
    <row r="149" spans="1:5" hidden="1" outlineLevel="1" x14ac:dyDescent="0.25">
      <c r="A149" s="212"/>
      <c r="B149" s="84"/>
      <c r="C149" s="77"/>
      <c r="D149" s="77"/>
      <c r="E149" s="213"/>
    </row>
    <row r="150" spans="1:5" hidden="1" outlineLevel="1" x14ac:dyDescent="0.25">
      <c r="A150" s="212"/>
      <c r="B150" s="84"/>
      <c r="C150" s="77"/>
      <c r="D150" s="77"/>
      <c r="E150" s="213"/>
    </row>
    <row r="151" spans="1:5" hidden="1" outlineLevel="1" x14ac:dyDescent="0.25">
      <c r="A151" s="212"/>
      <c r="B151" s="84"/>
      <c r="C151" s="77"/>
      <c r="D151" s="77"/>
      <c r="E151" s="213"/>
    </row>
    <row r="152" spans="1:5" hidden="1" outlineLevel="1" x14ac:dyDescent="0.25">
      <c r="A152" s="212"/>
      <c r="B152" s="84"/>
      <c r="C152" s="77"/>
      <c r="D152" s="77"/>
      <c r="E152" s="213"/>
    </row>
    <row r="153" spans="1:5" hidden="1" outlineLevel="1" x14ac:dyDescent="0.25">
      <c r="A153" s="212"/>
      <c r="B153" s="84"/>
      <c r="C153" s="77"/>
      <c r="D153" s="77"/>
      <c r="E153" s="213"/>
    </row>
    <row r="154" spans="1:5" hidden="1" outlineLevel="1" x14ac:dyDescent="0.25">
      <c r="A154" s="214"/>
      <c r="B154" s="215"/>
      <c r="C154" s="79"/>
      <c r="D154" s="79"/>
      <c r="E154" s="216"/>
    </row>
    <row r="155" spans="1:5" collapsed="1" x14ac:dyDescent="0.25">
      <c r="A155" s="217" t="s">
        <v>19</v>
      </c>
      <c r="B155" s="218">
        <f>SUBTOTAL(9,B156:B189)</f>
        <v>0</v>
      </c>
      <c r="C155" s="73"/>
      <c r="D155" s="73"/>
      <c r="E155" s="218">
        <f>E190+B155</f>
        <v>39161.389999999992</v>
      </c>
    </row>
    <row r="156" spans="1:5" s="22" customFormat="1" hidden="1" outlineLevel="1" x14ac:dyDescent="0.25">
      <c r="A156" s="209"/>
      <c r="B156" s="210"/>
      <c r="C156" s="75"/>
      <c r="D156" s="75"/>
      <c r="E156" s="211"/>
    </row>
    <row r="157" spans="1:5" hidden="1" outlineLevel="1" x14ac:dyDescent="0.25">
      <c r="A157" s="212"/>
      <c r="B157" s="84"/>
      <c r="C157" s="77"/>
      <c r="D157" s="77"/>
      <c r="E157" s="213"/>
    </row>
    <row r="158" spans="1:5" hidden="1" outlineLevel="1" x14ac:dyDescent="0.25">
      <c r="A158" s="212"/>
      <c r="B158" s="84"/>
      <c r="C158" s="77"/>
      <c r="D158" s="77"/>
      <c r="E158" s="213"/>
    </row>
    <row r="159" spans="1:5" hidden="1" outlineLevel="1" x14ac:dyDescent="0.25">
      <c r="A159" s="212"/>
      <c r="B159" s="84"/>
      <c r="C159" s="77"/>
      <c r="D159" s="77"/>
      <c r="E159" s="213"/>
    </row>
    <row r="160" spans="1:5" hidden="1" outlineLevel="1" x14ac:dyDescent="0.25">
      <c r="A160" s="212"/>
      <c r="B160" s="84"/>
      <c r="C160" s="77"/>
      <c r="D160" s="77"/>
      <c r="E160" s="213"/>
    </row>
    <row r="161" spans="1:5" hidden="1" outlineLevel="1" x14ac:dyDescent="0.25">
      <c r="A161" s="212"/>
      <c r="B161" s="84"/>
      <c r="C161" s="77"/>
      <c r="D161" s="77"/>
      <c r="E161" s="213"/>
    </row>
    <row r="162" spans="1:5" hidden="1" outlineLevel="1" x14ac:dyDescent="0.25">
      <c r="A162" s="212"/>
      <c r="B162" s="84"/>
      <c r="C162" s="77"/>
      <c r="D162" s="77"/>
      <c r="E162" s="213"/>
    </row>
    <row r="163" spans="1:5" hidden="1" outlineLevel="1" x14ac:dyDescent="0.25">
      <c r="A163" s="212"/>
      <c r="B163" s="84"/>
      <c r="C163" s="77"/>
      <c r="D163" s="77"/>
      <c r="E163" s="213"/>
    </row>
    <row r="164" spans="1:5" hidden="1" outlineLevel="1" x14ac:dyDescent="0.25">
      <c r="A164" s="212"/>
      <c r="B164" s="84"/>
      <c r="C164" s="77"/>
      <c r="D164" s="77"/>
      <c r="E164" s="213"/>
    </row>
    <row r="165" spans="1:5" hidden="1" outlineLevel="1" x14ac:dyDescent="0.25">
      <c r="A165" s="212"/>
      <c r="B165" s="84"/>
      <c r="C165" s="77"/>
      <c r="D165" s="77"/>
      <c r="E165" s="213"/>
    </row>
    <row r="166" spans="1:5" hidden="1" outlineLevel="1" x14ac:dyDescent="0.25">
      <c r="A166" s="212"/>
      <c r="B166" s="84"/>
      <c r="C166" s="77"/>
      <c r="D166" s="77"/>
      <c r="E166" s="213"/>
    </row>
    <row r="167" spans="1:5" hidden="1" outlineLevel="1" x14ac:dyDescent="0.25">
      <c r="A167" s="212"/>
      <c r="B167" s="84"/>
      <c r="C167" s="77"/>
      <c r="D167" s="77"/>
      <c r="E167" s="213"/>
    </row>
    <row r="168" spans="1:5" hidden="1" outlineLevel="1" x14ac:dyDescent="0.25">
      <c r="A168" s="212"/>
      <c r="B168" s="84"/>
      <c r="C168" s="77"/>
      <c r="D168" s="77"/>
      <c r="E168" s="213"/>
    </row>
    <row r="169" spans="1:5" hidden="1" outlineLevel="1" x14ac:dyDescent="0.25">
      <c r="A169" s="212"/>
      <c r="B169" s="84"/>
      <c r="C169" s="77"/>
      <c r="D169" s="77"/>
      <c r="E169" s="213"/>
    </row>
    <row r="170" spans="1:5" hidden="1" outlineLevel="1" x14ac:dyDescent="0.25">
      <c r="A170" s="212"/>
      <c r="B170" s="84"/>
      <c r="C170" s="77"/>
      <c r="D170" s="77"/>
      <c r="E170" s="213"/>
    </row>
    <row r="171" spans="1:5" hidden="1" outlineLevel="1" x14ac:dyDescent="0.25">
      <c r="A171" s="212"/>
      <c r="B171" s="84"/>
      <c r="C171" s="77"/>
      <c r="D171" s="77"/>
      <c r="E171" s="213"/>
    </row>
    <row r="172" spans="1:5" hidden="1" outlineLevel="1" x14ac:dyDescent="0.25">
      <c r="A172" s="212"/>
      <c r="B172" s="84"/>
      <c r="C172" s="77"/>
      <c r="D172" s="77"/>
      <c r="E172" s="213"/>
    </row>
    <row r="173" spans="1:5" hidden="1" outlineLevel="1" x14ac:dyDescent="0.25">
      <c r="A173" s="212"/>
      <c r="B173" s="84"/>
      <c r="C173" s="77"/>
      <c r="D173" s="77"/>
      <c r="E173" s="213"/>
    </row>
    <row r="174" spans="1:5" hidden="1" outlineLevel="1" x14ac:dyDescent="0.25">
      <c r="A174" s="212"/>
      <c r="B174" s="84"/>
      <c r="C174" s="77"/>
      <c r="D174" s="77"/>
      <c r="E174" s="213"/>
    </row>
    <row r="175" spans="1:5" hidden="1" outlineLevel="1" x14ac:dyDescent="0.25">
      <c r="A175" s="212"/>
      <c r="B175" s="84"/>
      <c r="C175" s="77"/>
      <c r="D175" s="77"/>
      <c r="E175" s="213"/>
    </row>
    <row r="176" spans="1:5" hidden="1" outlineLevel="1" x14ac:dyDescent="0.25">
      <c r="A176" s="212"/>
      <c r="B176" s="84"/>
      <c r="C176" s="77"/>
      <c r="D176" s="77"/>
      <c r="E176" s="213"/>
    </row>
    <row r="177" spans="1:5" hidden="1" outlineLevel="1" x14ac:dyDescent="0.25">
      <c r="A177" s="212"/>
      <c r="B177" s="84"/>
      <c r="C177" s="77"/>
      <c r="D177" s="77"/>
      <c r="E177" s="213"/>
    </row>
    <row r="178" spans="1:5" hidden="1" outlineLevel="1" x14ac:dyDescent="0.25">
      <c r="A178" s="212"/>
      <c r="B178" s="84"/>
      <c r="C178" s="77"/>
      <c r="D178" s="77"/>
      <c r="E178" s="213"/>
    </row>
    <row r="179" spans="1:5" hidden="1" outlineLevel="1" x14ac:dyDescent="0.25">
      <c r="A179" s="212"/>
      <c r="B179" s="84"/>
      <c r="C179" s="77"/>
      <c r="D179" s="77"/>
      <c r="E179" s="213"/>
    </row>
    <row r="180" spans="1:5" hidden="1" outlineLevel="1" x14ac:dyDescent="0.25">
      <c r="A180" s="212"/>
      <c r="B180" s="84"/>
      <c r="C180" s="77"/>
      <c r="D180" s="77"/>
      <c r="E180" s="213"/>
    </row>
    <row r="181" spans="1:5" hidden="1" outlineLevel="1" x14ac:dyDescent="0.25">
      <c r="A181" s="212"/>
      <c r="B181" s="84"/>
      <c r="C181" s="77"/>
      <c r="D181" s="77"/>
      <c r="E181" s="213"/>
    </row>
    <row r="182" spans="1:5" hidden="1" outlineLevel="1" x14ac:dyDescent="0.25">
      <c r="A182" s="212"/>
      <c r="B182" s="84"/>
      <c r="C182" s="77"/>
      <c r="D182" s="77"/>
      <c r="E182" s="213"/>
    </row>
    <row r="183" spans="1:5" hidden="1" outlineLevel="1" x14ac:dyDescent="0.25">
      <c r="A183" s="212"/>
      <c r="B183" s="84"/>
      <c r="C183" s="77"/>
      <c r="D183" s="77"/>
      <c r="E183" s="213"/>
    </row>
    <row r="184" spans="1:5" hidden="1" outlineLevel="1" x14ac:dyDescent="0.25">
      <c r="A184" s="212"/>
      <c r="B184" s="84"/>
      <c r="C184" s="77"/>
      <c r="D184" s="77"/>
      <c r="E184" s="213"/>
    </row>
    <row r="185" spans="1:5" hidden="1" outlineLevel="1" x14ac:dyDescent="0.25">
      <c r="A185" s="212"/>
      <c r="B185" s="84"/>
      <c r="C185" s="77"/>
      <c r="D185" s="77"/>
      <c r="E185" s="213"/>
    </row>
    <row r="186" spans="1:5" hidden="1" outlineLevel="1" x14ac:dyDescent="0.25">
      <c r="A186" s="212"/>
      <c r="B186" s="84"/>
      <c r="C186" s="77"/>
      <c r="D186" s="77"/>
      <c r="E186" s="213"/>
    </row>
    <row r="187" spans="1:5" hidden="1" outlineLevel="1" x14ac:dyDescent="0.25">
      <c r="A187" s="212"/>
      <c r="B187" s="84"/>
      <c r="C187" s="77"/>
      <c r="D187" s="77"/>
      <c r="E187" s="213"/>
    </row>
    <row r="188" spans="1:5" hidden="1" outlineLevel="1" x14ac:dyDescent="0.25">
      <c r="A188" s="212"/>
      <c r="B188" s="84"/>
      <c r="C188" s="77"/>
      <c r="D188" s="77"/>
      <c r="E188" s="213"/>
    </row>
    <row r="189" spans="1:5" hidden="1" outlineLevel="1" x14ac:dyDescent="0.25">
      <c r="A189" s="214"/>
      <c r="B189" s="215"/>
      <c r="C189" s="79"/>
      <c r="D189" s="79"/>
      <c r="E189" s="216"/>
    </row>
    <row r="190" spans="1:5" collapsed="1" x14ac:dyDescent="0.25">
      <c r="A190" s="207" t="s">
        <v>17</v>
      </c>
      <c r="B190" s="206">
        <f>SUBTOTAL(9,B191:B226)</f>
        <v>0</v>
      </c>
      <c r="C190" s="208"/>
      <c r="D190" s="208"/>
      <c r="E190" s="206">
        <f>E227+B190</f>
        <v>39161.389999999992</v>
      </c>
    </row>
    <row r="191" spans="1:5" s="22" customFormat="1" hidden="1" outlineLevel="1" x14ac:dyDescent="0.25">
      <c r="A191" s="209"/>
      <c r="B191" s="210"/>
      <c r="C191" s="75"/>
      <c r="D191" s="75"/>
      <c r="E191" s="211"/>
    </row>
    <row r="192" spans="1:5" hidden="1" outlineLevel="1" x14ac:dyDescent="0.25">
      <c r="A192" s="212"/>
      <c r="B192" s="84"/>
      <c r="C192" s="77"/>
      <c r="D192" s="77"/>
      <c r="E192" s="213"/>
    </row>
    <row r="193" spans="1:5" hidden="1" outlineLevel="1" x14ac:dyDescent="0.25">
      <c r="A193" s="212"/>
      <c r="B193" s="84"/>
      <c r="C193" s="77"/>
      <c r="D193" s="77"/>
      <c r="E193" s="213"/>
    </row>
    <row r="194" spans="1:5" hidden="1" outlineLevel="1" x14ac:dyDescent="0.25">
      <c r="A194" s="212"/>
      <c r="B194" s="84"/>
      <c r="C194" s="77"/>
      <c r="D194" s="77"/>
      <c r="E194" s="213"/>
    </row>
    <row r="195" spans="1:5" hidden="1" outlineLevel="1" x14ac:dyDescent="0.25">
      <c r="A195" s="212"/>
      <c r="B195" s="84"/>
      <c r="C195" s="77"/>
      <c r="D195" s="77"/>
      <c r="E195" s="213"/>
    </row>
    <row r="196" spans="1:5" hidden="1" outlineLevel="1" x14ac:dyDescent="0.25">
      <c r="A196" s="212"/>
      <c r="B196" s="84"/>
      <c r="C196" s="77"/>
      <c r="D196" s="77"/>
      <c r="E196" s="213"/>
    </row>
    <row r="197" spans="1:5" hidden="1" outlineLevel="1" x14ac:dyDescent="0.25">
      <c r="A197" s="212"/>
      <c r="B197" s="84"/>
      <c r="C197" s="77"/>
      <c r="D197" s="77"/>
      <c r="E197" s="213"/>
    </row>
    <row r="198" spans="1:5" hidden="1" outlineLevel="1" x14ac:dyDescent="0.25">
      <c r="A198" s="212"/>
      <c r="B198" s="84"/>
      <c r="C198" s="77"/>
      <c r="D198" s="77"/>
      <c r="E198" s="213"/>
    </row>
    <row r="199" spans="1:5" hidden="1" outlineLevel="1" x14ac:dyDescent="0.25">
      <c r="A199" s="212"/>
      <c r="B199" s="84"/>
      <c r="C199" s="77"/>
      <c r="D199" s="77"/>
      <c r="E199" s="213"/>
    </row>
    <row r="200" spans="1:5" hidden="1" outlineLevel="1" x14ac:dyDescent="0.25">
      <c r="A200" s="212"/>
      <c r="B200" s="84"/>
      <c r="C200" s="77"/>
      <c r="D200" s="77"/>
      <c r="E200" s="213"/>
    </row>
    <row r="201" spans="1:5" hidden="1" outlineLevel="1" x14ac:dyDescent="0.25">
      <c r="A201" s="212"/>
      <c r="B201" s="84"/>
      <c r="C201" s="77"/>
      <c r="D201" s="77"/>
      <c r="E201" s="213"/>
    </row>
    <row r="202" spans="1:5" hidden="1" outlineLevel="1" x14ac:dyDescent="0.25">
      <c r="A202" s="212"/>
      <c r="B202" s="84"/>
      <c r="C202" s="77"/>
      <c r="D202" s="77"/>
      <c r="E202" s="213"/>
    </row>
    <row r="203" spans="1:5" hidden="1" outlineLevel="1" x14ac:dyDescent="0.25">
      <c r="A203" s="212"/>
      <c r="B203" s="84"/>
      <c r="C203" s="77"/>
      <c r="D203" s="77"/>
      <c r="E203" s="213"/>
    </row>
    <row r="204" spans="1:5" hidden="1" outlineLevel="1" x14ac:dyDescent="0.25">
      <c r="A204" s="212"/>
      <c r="B204" s="84"/>
      <c r="C204" s="77"/>
      <c r="D204" s="77"/>
      <c r="E204" s="213"/>
    </row>
    <row r="205" spans="1:5" hidden="1" outlineLevel="1" x14ac:dyDescent="0.25">
      <c r="A205" s="212"/>
      <c r="B205" s="84"/>
      <c r="C205" s="77"/>
      <c r="D205" s="77"/>
      <c r="E205" s="213"/>
    </row>
    <row r="206" spans="1:5" hidden="1" outlineLevel="1" x14ac:dyDescent="0.25">
      <c r="A206" s="212"/>
      <c r="B206" s="84"/>
      <c r="C206" s="77"/>
      <c r="D206" s="77"/>
      <c r="E206" s="213"/>
    </row>
    <row r="207" spans="1:5" hidden="1" outlineLevel="1" x14ac:dyDescent="0.25">
      <c r="A207" s="212"/>
      <c r="B207" s="84"/>
      <c r="C207" s="77"/>
      <c r="D207" s="77"/>
      <c r="E207" s="213"/>
    </row>
    <row r="208" spans="1:5" hidden="1" outlineLevel="1" x14ac:dyDescent="0.25">
      <c r="A208" s="212"/>
      <c r="B208" s="84"/>
      <c r="C208" s="77"/>
      <c r="D208" s="77"/>
      <c r="E208" s="213"/>
    </row>
    <row r="209" spans="1:5" hidden="1" outlineLevel="1" x14ac:dyDescent="0.25">
      <c r="A209" s="212"/>
      <c r="B209" s="84"/>
      <c r="C209" s="77"/>
      <c r="D209" s="77"/>
      <c r="E209" s="213"/>
    </row>
    <row r="210" spans="1:5" hidden="1" outlineLevel="1" x14ac:dyDescent="0.25">
      <c r="A210" s="212"/>
      <c r="B210" s="84"/>
      <c r="C210" s="77"/>
      <c r="D210" s="77"/>
      <c r="E210" s="213"/>
    </row>
    <row r="211" spans="1:5" hidden="1" outlineLevel="1" x14ac:dyDescent="0.25">
      <c r="A211" s="212"/>
      <c r="B211" s="84"/>
      <c r="C211" s="77"/>
      <c r="D211" s="77"/>
      <c r="E211" s="213"/>
    </row>
    <row r="212" spans="1:5" hidden="1" outlineLevel="1" x14ac:dyDescent="0.25">
      <c r="A212" s="212"/>
      <c r="B212" s="84"/>
      <c r="C212" s="77"/>
      <c r="D212" s="77"/>
      <c r="E212" s="213"/>
    </row>
    <row r="213" spans="1:5" hidden="1" outlineLevel="1" x14ac:dyDescent="0.25">
      <c r="A213" s="212"/>
      <c r="B213" s="84"/>
      <c r="C213" s="77"/>
      <c r="D213" s="77"/>
      <c r="E213" s="213"/>
    </row>
    <row r="214" spans="1:5" hidden="1" outlineLevel="1" x14ac:dyDescent="0.25">
      <c r="A214" s="212"/>
      <c r="B214" s="84"/>
      <c r="C214" s="77"/>
      <c r="D214" s="77"/>
      <c r="E214" s="213"/>
    </row>
    <row r="215" spans="1:5" hidden="1" outlineLevel="1" x14ac:dyDescent="0.25">
      <c r="A215" s="212"/>
      <c r="B215" s="84"/>
      <c r="C215" s="77"/>
      <c r="D215" s="77"/>
      <c r="E215" s="213"/>
    </row>
    <row r="216" spans="1:5" hidden="1" outlineLevel="1" x14ac:dyDescent="0.25">
      <c r="A216" s="212"/>
      <c r="B216" s="84"/>
      <c r="C216" s="77"/>
      <c r="D216" s="77"/>
      <c r="E216" s="213"/>
    </row>
    <row r="217" spans="1:5" hidden="1" outlineLevel="1" x14ac:dyDescent="0.25">
      <c r="A217" s="212"/>
      <c r="B217" s="84"/>
      <c r="C217" s="77"/>
      <c r="D217" s="77"/>
      <c r="E217" s="213"/>
    </row>
    <row r="218" spans="1:5" hidden="1" outlineLevel="1" x14ac:dyDescent="0.25">
      <c r="A218" s="212"/>
      <c r="B218" s="84"/>
      <c r="C218" s="77"/>
      <c r="D218" s="77"/>
      <c r="E218" s="213"/>
    </row>
    <row r="219" spans="1:5" hidden="1" outlineLevel="1" x14ac:dyDescent="0.25">
      <c r="A219" s="212"/>
      <c r="B219" s="84"/>
      <c r="C219" s="77"/>
      <c r="D219" s="77"/>
      <c r="E219" s="213"/>
    </row>
    <row r="220" spans="1:5" hidden="1" outlineLevel="1" x14ac:dyDescent="0.25">
      <c r="A220" s="212"/>
      <c r="B220" s="84"/>
      <c r="C220" s="77"/>
      <c r="D220" s="77"/>
      <c r="E220" s="213"/>
    </row>
    <row r="221" spans="1:5" hidden="1" outlineLevel="1" x14ac:dyDescent="0.25">
      <c r="A221" s="212"/>
      <c r="B221" s="84"/>
      <c r="C221" s="77"/>
      <c r="D221" s="77"/>
      <c r="E221" s="213"/>
    </row>
    <row r="222" spans="1:5" hidden="1" outlineLevel="1" x14ac:dyDescent="0.25">
      <c r="A222" s="212"/>
      <c r="B222" s="84"/>
      <c r="C222" s="77"/>
      <c r="D222" s="77"/>
      <c r="E222" s="213"/>
    </row>
    <row r="223" spans="1:5" hidden="1" outlineLevel="1" x14ac:dyDescent="0.25">
      <c r="A223" s="212"/>
      <c r="B223" s="84"/>
      <c r="C223" s="77"/>
      <c r="D223" s="77"/>
      <c r="E223" s="213"/>
    </row>
    <row r="224" spans="1:5" hidden="1" outlineLevel="1" x14ac:dyDescent="0.25">
      <c r="A224" s="212"/>
      <c r="B224" s="84"/>
      <c r="C224" s="77"/>
      <c r="D224" s="77"/>
      <c r="E224" s="213"/>
    </row>
    <row r="225" spans="1:5" hidden="1" outlineLevel="1" x14ac:dyDescent="0.25">
      <c r="A225" s="212"/>
      <c r="B225" s="84"/>
      <c r="C225" s="77"/>
      <c r="D225" s="77"/>
      <c r="E225" s="213"/>
    </row>
    <row r="226" spans="1:5" hidden="1" outlineLevel="1" x14ac:dyDescent="0.25">
      <c r="A226" s="214"/>
      <c r="B226" s="215"/>
      <c r="C226" s="79"/>
      <c r="D226" s="79"/>
      <c r="E226" s="216"/>
    </row>
    <row r="227" spans="1:5" collapsed="1" x14ac:dyDescent="0.25">
      <c r="A227" s="217" t="s">
        <v>16</v>
      </c>
      <c r="B227" s="218">
        <f>SUBTOTAL(9,B228:B267)</f>
        <v>0</v>
      </c>
      <c r="C227" s="73"/>
      <c r="D227" s="73"/>
      <c r="E227" s="218">
        <f>E268+B227</f>
        <v>39161.389999999992</v>
      </c>
    </row>
    <row r="228" spans="1:5" s="22" customFormat="1" hidden="1" outlineLevel="1" x14ac:dyDescent="0.25">
      <c r="A228" s="209"/>
      <c r="B228" s="210"/>
      <c r="C228" s="75"/>
      <c r="D228" s="75"/>
      <c r="E228" s="211"/>
    </row>
    <row r="229" spans="1:5" hidden="1" outlineLevel="1" x14ac:dyDescent="0.25">
      <c r="A229" s="212"/>
      <c r="B229" s="84"/>
      <c r="C229" s="77"/>
      <c r="D229" s="77"/>
      <c r="E229" s="213"/>
    </row>
    <row r="230" spans="1:5" hidden="1" outlineLevel="1" x14ac:dyDescent="0.25">
      <c r="A230" s="212"/>
      <c r="B230" s="84"/>
      <c r="C230" s="77"/>
      <c r="D230" s="77"/>
      <c r="E230" s="213"/>
    </row>
    <row r="231" spans="1:5" hidden="1" outlineLevel="1" x14ac:dyDescent="0.25">
      <c r="A231" s="212"/>
      <c r="B231" s="84"/>
      <c r="C231" s="77"/>
      <c r="D231" s="77"/>
      <c r="E231" s="213"/>
    </row>
    <row r="232" spans="1:5" hidden="1" outlineLevel="1" x14ac:dyDescent="0.25">
      <c r="A232" s="212"/>
      <c r="B232" s="84"/>
      <c r="C232" s="77"/>
      <c r="D232" s="77"/>
      <c r="E232" s="213"/>
    </row>
    <row r="233" spans="1:5" hidden="1" outlineLevel="1" x14ac:dyDescent="0.25">
      <c r="A233" s="212"/>
      <c r="B233" s="84"/>
      <c r="C233" s="77"/>
      <c r="D233" s="77"/>
      <c r="E233" s="213"/>
    </row>
    <row r="234" spans="1:5" hidden="1" outlineLevel="1" x14ac:dyDescent="0.25">
      <c r="A234" s="212"/>
      <c r="B234" s="84"/>
      <c r="C234" s="77"/>
      <c r="D234" s="77"/>
      <c r="E234" s="213"/>
    </row>
    <row r="235" spans="1:5" hidden="1" outlineLevel="1" x14ac:dyDescent="0.25">
      <c r="A235" s="212"/>
      <c r="B235" s="84"/>
      <c r="C235" s="77"/>
      <c r="D235" s="77"/>
      <c r="E235" s="213"/>
    </row>
    <row r="236" spans="1:5" hidden="1" outlineLevel="1" x14ac:dyDescent="0.25">
      <c r="A236" s="212"/>
      <c r="B236" s="84"/>
      <c r="C236" s="77"/>
      <c r="D236" s="77"/>
      <c r="E236" s="213"/>
    </row>
    <row r="237" spans="1:5" hidden="1" outlineLevel="1" x14ac:dyDescent="0.25">
      <c r="A237" s="212"/>
      <c r="B237" s="84"/>
      <c r="C237" s="77"/>
      <c r="D237" s="77"/>
      <c r="E237" s="213"/>
    </row>
    <row r="238" spans="1:5" hidden="1" outlineLevel="1" x14ac:dyDescent="0.25">
      <c r="A238" s="212"/>
      <c r="B238" s="84"/>
      <c r="C238" s="77"/>
      <c r="D238" s="77"/>
      <c r="E238" s="213"/>
    </row>
    <row r="239" spans="1:5" hidden="1" outlineLevel="1" x14ac:dyDescent="0.25">
      <c r="A239" s="212"/>
      <c r="B239" s="84"/>
      <c r="C239" s="77"/>
      <c r="D239" s="77"/>
      <c r="E239" s="213"/>
    </row>
    <row r="240" spans="1:5" hidden="1" outlineLevel="1" x14ac:dyDescent="0.25">
      <c r="A240" s="212"/>
      <c r="B240" s="84"/>
      <c r="C240" s="77"/>
      <c r="D240" s="77"/>
      <c r="E240" s="213"/>
    </row>
    <row r="241" spans="1:5" hidden="1" outlineLevel="1" x14ac:dyDescent="0.25">
      <c r="A241" s="212"/>
      <c r="B241" s="84"/>
      <c r="C241" s="77"/>
      <c r="D241" s="77"/>
      <c r="E241" s="213"/>
    </row>
    <row r="242" spans="1:5" hidden="1" outlineLevel="1" x14ac:dyDescent="0.25">
      <c r="A242" s="212"/>
      <c r="B242" s="84"/>
      <c r="C242" s="77"/>
      <c r="D242" s="77"/>
      <c r="E242" s="213"/>
    </row>
    <row r="243" spans="1:5" hidden="1" outlineLevel="1" x14ac:dyDescent="0.25">
      <c r="A243" s="212"/>
      <c r="B243" s="84"/>
      <c r="C243" s="77"/>
      <c r="D243" s="77"/>
      <c r="E243" s="213"/>
    </row>
    <row r="244" spans="1:5" hidden="1" outlineLevel="1" x14ac:dyDescent="0.25">
      <c r="A244" s="212"/>
      <c r="B244" s="84"/>
      <c r="C244" s="77"/>
      <c r="D244" s="77"/>
      <c r="E244" s="213"/>
    </row>
    <row r="245" spans="1:5" hidden="1" outlineLevel="1" x14ac:dyDescent="0.25">
      <c r="A245" s="212"/>
      <c r="B245" s="84"/>
      <c r="C245" s="77"/>
      <c r="D245" s="77"/>
      <c r="E245" s="213"/>
    </row>
    <row r="246" spans="1:5" hidden="1" outlineLevel="1" x14ac:dyDescent="0.25">
      <c r="A246" s="212"/>
      <c r="B246" s="84"/>
      <c r="C246" s="77"/>
      <c r="D246" s="77"/>
      <c r="E246" s="213"/>
    </row>
    <row r="247" spans="1:5" hidden="1" outlineLevel="1" x14ac:dyDescent="0.25">
      <c r="A247" s="212"/>
      <c r="B247" s="84"/>
      <c r="C247" s="77"/>
      <c r="D247" s="77"/>
      <c r="E247" s="213"/>
    </row>
    <row r="248" spans="1:5" hidden="1" outlineLevel="1" x14ac:dyDescent="0.25">
      <c r="A248" s="212"/>
      <c r="B248" s="382"/>
      <c r="C248" s="77"/>
      <c r="D248" s="77"/>
      <c r="E248" s="213"/>
    </row>
    <row r="249" spans="1:5" hidden="1" outlineLevel="1" x14ac:dyDescent="0.25">
      <c r="A249" s="212"/>
      <c r="B249" s="84"/>
      <c r="C249" s="77"/>
      <c r="D249" s="77"/>
      <c r="E249" s="213"/>
    </row>
    <row r="250" spans="1:5" hidden="1" outlineLevel="1" x14ac:dyDescent="0.25">
      <c r="A250" s="212"/>
      <c r="B250" s="84"/>
      <c r="C250" s="77"/>
      <c r="D250" s="77"/>
      <c r="E250" s="213"/>
    </row>
    <row r="251" spans="1:5" hidden="1" outlineLevel="1" x14ac:dyDescent="0.25">
      <c r="A251" s="212"/>
      <c r="B251" s="84"/>
      <c r="C251" s="77"/>
      <c r="D251" s="77"/>
      <c r="E251" s="213"/>
    </row>
    <row r="252" spans="1:5" hidden="1" outlineLevel="1" x14ac:dyDescent="0.25">
      <c r="A252" s="212"/>
      <c r="B252" s="84"/>
      <c r="C252" s="77"/>
      <c r="D252" s="77"/>
      <c r="E252" s="213"/>
    </row>
    <row r="253" spans="1:5" hidden="1" outlineLevel="1" x14ac:dyDescent="0.25">
      <c r="A253" s="212"/>
      <c r="B253" s="84"/>
      <c r="C253" s="77"/>
      <c r="D253" s="77"/>
      <c r="E253" s="213"/>
    </row>
    <row r="254" spans="1:5" hidden="1" outlineLevel="1" x14ac:dyDescent="0.25">
      <c r="A254" s="212"/>
      <c r="B254" s="84"/>
      <c r="C254" s="77"/>
      <c r="D254" s="77"/>
      <c r="E254" s="213"/>
    </row>
    <row r="255" spans="1:5" hidden="1" outlineLevel="1" x14ac:dyDescent="0.25">
      <c r="A255" s="212"/>
      <c r="B255" s="84"/>
      <c r="C255" s="77"/>
      <c r="D255" s="77"/>
      <c r="E255" s="213"/>
    </row>
    <row r="256" spans="1:5" hidden="1" outlineLevel="1" x14ac:dyDescent="0.25">
      <c r="A256" s="212"/>
      <c r="B256" s="84"/>
      <c r="C256" s="77"/>
      <c r="D256" s="77"/>
      <c r="E256" s="213"/>
    </row>
    <row r="257" spans="1:5" hidden="1" outlineLevel="1" x14ac:dyDescent="0.25">
      <c r="A257" s="212"/>
      <c r="B257" s="84"/>
      <c r="C257" s="77"/>
      <c r="D257" s="77"/>
      <c r="E257" s="213"/>
    </row>
    <row r="258" spans="1:5" hidden="1" outlineLevel="1" x14ac:dyDescent="0.25">
      <c r="A258" s="212"/>
      <c r="B258" s="84"/>
      <c r="C258" s="77"/>
      <c r="D258" s="77"/>
      <c r="E258" s="213"/>
    </row>
    <row r="259" spans="1:5" hidden="1" outlineLevel="1" x14ac:dyDescent="0.25">
      <c r="A259" s="212"/>
      <c r="B259" s="84"/>
      <c r="C259" s="77"/>
      <c r="D259" s="77"/>
      <c r="E259" s="213"/>
    </row>
    <row r="260" spans="1:5" hidden="1" outlineLevel="1" x14ac:dyDescent="0.25">
      <c r="A260" s="212"/>
      <c r="B260" s="84"/>
      <c r="C260" s="77"/>
      <c r="D260" s="77"/>
      <c r="E260" s="213"/>
    </row>
    <row r="261" spans="1:5" hidden="1" outlineLevel="1" x14ac:dyDescent="0.25">
      <c r="A261" s="212"/>
      <c r="B261" s="84"/>
      <c r="C261" s="77"/>
      <c r="D261" s="77"/>
      <c r="E261" s="213"/>
    </row>
    <row r="262" spans="1:5" hidden="1" outlineLevel="1" x14ac:dyDescent="0.25">
      <c r="A262" s="212"/>
      <c r="B262" s="84"/>
      <c r="C262" s="77"/>
      <c r="D262" s="77"/>
      <c r="E262" s="213"/>
    </row>
    <row r="263" spans="1:5" hidden="1" outlineLevel="1" x14ac:dyDescent="0.25">
      <c r="A263" s="212"/>
      <c r="B263" s="84"/>
      <c r="C263" s="77"/>
      <c r="D263" s="77"/>
      <c r="E263" s="213"/>
    </row>
    <row r="264" spans="1:5" hidden="1" outlineLevel="1" x14ac:dyDescent="0.25">
      <c r="A264" s="212"/>
      <c r="B264" s="84"/>
      <c r="C264" s="77"/>
      <c r="D264" s="77"/>
      <c r="E264" s="213"/>
    </row>
    <row r="265" spans="1:5" hidden="1" outlineLevel="1" x14ac:dyDescent="0.25">
      <c r="A265" s="212"/>
      <c r="B265" s="84"/>
      <c r="C265" s="77"/>
      <c r="D265" s="77"/>
      <c r="E265" s="213"/>
    </row>
    <row r="266" spans="1:5" hidden="1" outlineLevel="1" x14ac:dyDescent="0.25">
      <c r="A266" s="212"/>
      <c r="B266" s="84"/>
      <c r="C266" s="77"/>
      <c r="D266" s="77"/>
      <c r="E266" s="213"/>
    </row>
    <row r="267" spans="1:5" hidden="1" outlineLevel="1" x14ac:dyDescent="0.25">
      <c r="A267" s="214"/>
      <c r="B267" s="215"/>
      <c r="C267" s="79"/>
      <c r="D267" s="79"/>
      <c r="E267" s="216"/>
    </row>
    <row r="268" spans="1:5" x14ac:dyDescent="0.25">
      <c r="A268" s="217" t="s">
        <v>15</v>
      </c>
      <c r="B268" s="218">
        <f>SUBTOTAL(9,B269:B295)</f>
        <v>-37358.120000000003</v>
      </c>
      <c r="C268" s="73"/>
      <c r="D268" s="73"/>
      <c r="E268" s="218">
        <f>E296+B268</f>
        <v>39161.389999999992</v>
      </c>
    </row>
    <row r="269" spans="1:5" s="22" customFormat="1" outlineLevel="1" x14ac:dyDescent="0.25">
      <c r="A269" s="209"/>
      <c r="B269" s="210"/>
      <c r="C269" s="75"/>
      <c r="D269" s="75"/>
      <c r="E269" s="211"/>
    </row>
    <row r="270" spans="1:5" s="22" customFormat="1" outlineLevel="1" x14ac:dyDescent="0.25">
      <c r="A270" s="212"/>
      <c r="B270" s="84"/>
      <c r="C270" s="77"/>
      <c r="D270" s="77"/>
      <c r="E270" s="213"/>
    </row>
    <row r="271" spans="1:5" s="22" customFormat="1" outlineLevel="1" x14ac:dyDescent="0.25">
      <c r="A271" s="212"/>
      <c r="B271" s="84"/>
      <c r="C271" s="77"/>
      <c r="D271" s="77"/>
      <c r="E271" s="213"/>
    </row>
    <row r="272" spans="1:5" s="22" customFormat="1" outlineLevel="1" x14ac:dyDescent="0.25">
      <c r="A272" s="212"/>
      <c r="B272" s="84"/>
      <c r="C272" s="77"/>
      <c r="D272" s="77"/>
      <c r="E272" s="213"/>
    </row>
    <row r="273" spans="1:5" s="22" customFormat="1" outlineLevel="1" x14ac:dyDescent="0.25">
      <c r="A273" s="212"/>
      <c r="B273" s="84"/>
      <c r="C273" s="77"/>
      <c r="D273" s="77"/>
      <c r="E273" s="213"/>
    </row>
    <row r="274" spans="1:5" s="22" customFormat="1" outlineLevel="1" x14ac:dyDescent="0.25">
      <c r="A274" s="212"/>
      <c r="B274" s="84"/>
      <c r="C274" s="77"/>
      <c r="D274" s="77"/>
      <c r="E274" s="213"/>
    </row>
    <row r="275" spans="1:5" s="22" customFormat="1" outlineLevel="1" x14ac:dyDescent="0.25">
      <c r="A275" s="212"/>
      <c r="B275" s="84"/>
      <c r="C275" s="77"/>
      <c r="D275" s="77"/>
      <c r="E275" s="213"/>
    </row>
    <row r="276" spans="1:5" s="22" customFormat="1" outlineLevel="1" x14ac:dyDescent="0.25">
      <c r="A276" s="212"/>
      <c r="B276" s="84"/>
      <c r="C276" s="77"/>
      <c r="D276" s="77"/>
      <c r="E276" s="213"/>
    </row>
    <row r="277" spans="1:5" s="22" customFormat="1" outlineLevel="1" x14ac:dyDescent="0.25">
      <c r="A277" s="212"/>
      <c r="B277" s="84"/>
      <c r="C277" s="77"/>
      <c r="D277" s="77"/>
      <c r="E277" s="213"/>
    </row>
    <row r="278" spans="1:5" s="22" customFormat="1" outlineLevel="1" x14ac:dyDescent="0.25">
      <c r="A278" s="212"/>
      <c r="B278" s="84"/>
      <c r="C278" s="77"/>
      <c r="D278" s="77"/>
      <c r="E278" s="213"/>
    </row>
    <row r="279" spans="1:5" s="22" customFormat="1" outlineLevel="1" x14ac:dyDescent="0.25">
      <c r="A279" s="212">
        <v>43754</v>
      </c>
      <c r="B279" s="84">
        <v>-24655.11</v>
      </c>
      <c r="C279" s="77" t="s">
        <v>942</v>
      </c>
      <c r="D279" s="77"/>
      <c r="E279" s="213"/>
    </row>
    <row r="280" spans="1:5" s="22" customFormat="1" outlineLevel="1" x14ac:dyDescent="0.25">
      <c r="A280" s="212">
        <v>43754</v>
      </c>
      <c r="B280" s="84">
        <v>-9299</v>
      </c>
      <c r="C280" s="77" t="s">
        <v>943</v>
      </c>
      <c r="D280" s="77"/>
      <c r="E280" s="213"/>
    </row>
    <row r="281" spans="1:5" s="22" customFormat="1" outlineLevel="1" x14ac:dyDescent="0.25">
      <c r="A281" s="212">
        <v>43753</v>
      </c>
      <c r="B281" s="84">
        <v>-14380.61</v>
      </c>
      <c r="C281" s="77" t="s">
        <v>944</v>
      </c>
      <c r="D281" s="77"/>
      <c r="E281" s="213"/>
    </row>
    <row r="282" spans="1:5" s="22" customFormat="1" outlineLevel="1" x14ac:dyDescent="0.25">
      <c r="A282" s="212">
        <v>43752</v>
      </c>
      <c r="B282" s="84">
        <v>-19455</v>
      </c>
      <c r="C282" s="77" t="s">
        <v>945</v>
      </c>
      <c r="D282" s="77"/>
      <c r="E282" s="213"/>
    </row>
    <row r="283" spans="1:5" s="22" customFormat="1" outlineLevel="1" x14ac:dyDescent="0.25">
      <c r="A283" s="212">
        <v>43752</v>
      </c>
      <c r="B283" s="84">
        <v>4896.16</v>
      </c>
      <c r="C283" s="77" t="s">
        <v>946</v>
      </c>
      <c r="D283" s="77"/>
      <c r="E283" s="213"/>
    </row>
    <row r="284" spans="1:5" s="22" customFormat="1" outlineLevel="1" x14ac:dyDescent="0.25">
      <c r="A284" s="212">
        <v>43749</v>
      </c>
      <c r="B284" s="84">
        <v>4312</v>
      </c>
      <c r="C284" s="77" t="s">
        <v>697</v>
      </c>
      <c r="D284" s="77"/>
      <c r="E284" s="213"/>
    </row>
    <row r="285" spans="1:5" s="22" customFormat="1" outlineLevel="1" x14ac:dyDescent="0.25">
      <c r="A285" s="212">
        <v>43748</v>
      </c>
      <c r="B285" s="84">
        <v>-596.35</v>
      </c>
      <c r="C285" s="77" t="s">
        <v>928</v>
      </c>
      <c r="D285" s="77"/>
      <c r="E285" s="213"/>
    </row>
    <row r="286" spans="1:5" s="22" customFormat="1" outlineLevel="1" x14ac:dyDescent="0.25">
      <c r="A286" s="212">
        <v>43748</v>
      </c>
      <c r="B286" s="84">
        <v>-50</v>
      </c>
      <c r="C286" s="77" t="s">
        <v>861</v>
      </c>
      <c r="D286" s="77"/>
      <c r="E286" s="213"/>
    </row>
    <row r="287" spans="1:5" s="22" customFormat="1" outlineLevel="1" x14ac:dyDescent="0.25">
      <c r="A287" s="212">
        <v>43747</v>
      </c>
      <c r="B287" s="84">
        <v>12705</v>
      </c>
      <c r="C287" s="77" t="s">
        <v>698</v>
      </c>
      <c r="D287" s="77"/>
      <c r="E287" s="213"/>
    </row>
    <row r="288" spans="1:5" s="22" customFormat="1" outlineLevel="1" x14ac:dyDescent="0.25">
      <c r="A288" s="212">
        <v>43747</v>
      </c>
      <c r="B288" s="76">
        <v>-1634</v>
      </c>
      <c r="C288" s="77" t="s">
        <v>705</v>
      </c>
      <c r="D288" s="77"/>
      <c r="E288" s="213"/>
    </row>
    <row r="289" spans="1:7" s="22" customFormat="1" outlineLevel="1" x14ac:dyDescent="0.25">
      <c r="A289" s="212">
        <v>43745</v>
      </c>
      <c r="B289" s="84">
        <v>4896.16</v>
      </c>
      <c r="C289" s="77" t="s">
        <v>929</v>
      </c>
      <c r="D289" s="77"/>
      <c r="E289" s="213"/>
    </row>
    <row r="290" spans="1:7" s="22" customFormat="1" outlineLevel="1" x14ac:dyDescent="0.25">
      <c r="A290" s="212">
        <v>43742</v>
      </c>
      <c r="B290" s="84">
        <v>5390</v>
      </c>
      <c r="C290" s="77" t="s">
        <v>697</v>
      </c>
      <c r="D290" s="77"/>
      <c r="E290" s="213"/>
    </row>
    <row r="291" spans="1:7" s="22" customFormat="1" outlineLevel="1" x14ac:dyDescent="0.25">
      <c r="A291" s="212">
        <v>43742</v>
      </c>
      <c r="B291" s="84">
        <v>-6163.37</v>
      </c>
      <c r="C291" s="77" t="s">
        <v>930</v>
      </c>
      <c r="D291" s="77"/>
      <c r="E291" s="213"/>
    </row>
    <row r="292" spans="1:7" s="22" customFormat="1" outlineLevel="1" x14ac:dyDescent="0.25">
      <c r="A292" s="212">
        <v>43742</v>
      </c>
      <c r="B292" s="84">
        <v>-19614</v>
      </c>
      <c r="C292" s="77" t="s">
        <v>931</v>
      </c>
      <c r="D292" s="77"/>
      <c r="E292" s="213"/>
    </row>
    <row r="293" spans="1:7" s="22" customFormat="1" outlineLevel="1" x14ac:dyDescent="0.25">
      <c r="A293" s="212">
        <v>43741</v>
      </c>
      <c r="B293" s="84">
        <v>11000</v>
      </c>
      <c r="C293" s="77" t="s">
        <v>910</v>
      </c>
      <c r="D293" s="77"/>
      <c r="E293" s="213"/>
    </row>
    <row r="294" spans="1:7" s="22" customFormat="1" outlineLevel="1" x14ac:dyDescent="0.25">
      <c r="A294" s="212">
        <v>43741</v>
      </c>
      <c r="B294" s="84">
        <v>9900</v>
      </c>
      <c r="C294" s="77" t="s">
        <v>911</v>
      </c>
      <c r="D294" s="77"/>
      <c r="E294" s="213"/>
    </row>
    <row r="295" spans="1:7" s="22" customFormat="1" outlineLevel="1" x14ac:dyDescent="0.25">
      <c r="A295" s="212">
        <v>43740</v>
      </c>
      <c r="B295" s="84">
        <v>5390</v>
      </c>
      <c r="C295" s="77" t="s">
        <v>697</v>
      </c>
      <c r="D295" s="77"/>
      <c r="E295" s="213"/>
    </row>
    <row r="296" spans="1:7" s="22" customFormat="1" collapsed="1" x14ac:dyDescent="0.25">
      <c r="A296" s="207" t="s">
        <v>13</v>
      </c>
      <c r="B296" s="206">
        <f>SUBTOTAL(9,B297:B335)</f>
        <v>56762.139999999985</v>
      </c>
      <c r="C296" s="208"/>
      <c r="D296" s="208"/>
      <c r="E296" s="206">
        <f>E336+B296</f>
        <v>76519.509999999995</v>
      </c>
      <c r="G296" s="402"/>
    </row>
    <row r="297" spans="1:7" s="22" customFormat="1" hidden="1" outlineLevel="1" x14ac:dyDescent="0.25">
      <c r="A297" s="209">
        <v>43738</v>
      </c>
      <c r="B297" s="210">
        <v>-1127.99</v>
      </c>
      <c r="C297" s="75" t="s">
        <v>898</v>
      </c>
      <c r="D297" s="75"/>
      <c r="E297" s="211"/>
    </row>
    <row r="298" spans="1:7" hidden="1" outlineLevel="1" x14ac:dyDescent="0.25">
      <c r="A298" s="212">
        <v>43738</v>
      </c>
      <c r="B298" s="84">
        <v>-1430</v>
      </c>
      <c r="C298" s="77" t="s">
        <v>899</v>
      </c>
      <c r="D298" s="77"/>
      <c r="E298" s="213"/>
    </row>
    <row r="299" spans="1:7" hidden="1" outlineLevel="1" x14ac:dyDescent="0.25">
      <c r="A299" s="212">
        <v>43738</v>
      </c>
      <c r="B299" s="84">
        <v>-137.5</v>
      </c>
      <c r="C299" s="77" t="s">
        <v>900</v>
      </c>
      <c r="D299" s="77"/>
      <c r="E299" s="213"/>
    </row>
    <row r="300" spans="1:7" hidden="1" outlineLevel="1" x14ac:dyDescent="0.25">
      <c r="A300" s="212">
        <v>43738</v>
      </c>
      <c r="B300" s="84">
        <v>300</v>
      </c>
      <c r="C300" s="77" t="s">
        <v>901</v>
      </c>
      <c r="D300" s="77"/>
      <c r="E300" s="213"/>
    </row>
    <row r="301" spans="1:7" hidden="1" outlineLevel="1" x14ac:dyDescent="0.25">
      <c r="A301" s="212">
        <v>43738</v>
      </c>
      <c r="B301" s="84">
        <v>4896.16</v>
      </c>
      <c r="C301" s="77" t="s">
        <v>902</v>
      </c>
      <c r="D301" s="77"/>
      <c r="E301" s="213"/>
    </row>
    <row r="302" spans="1:7" hidden="1" outlineLevel="1" x14ac:dyDescent="0.25">
      <c r="A302" s="212">
        <v>43735</v>
      </c>
      <c r="B302" s="84">
        <v>-822.26</v>
      </c>
      <c r="C302" s="77" t="s">
        <v>903</v>
      </c>
      <c r="D302" s="77"/>
      <c r="E302" s="213"/>
    </row>
    <row r="303" spans="1:7" hidden="1" outlineLevel="1" x14ac:dyDescent="0.25">
      <c r="A303" s="212">
        <v>43734</v>
      </c>
      <c r="B303" s="84">
        <v>-681.35</v>
      </c>
      <c r="C303" s="77" t="s">
        <v>904</v>
      </c>
      <c r="D303" s="77"/>
      <c r="E303" s="213"/>
    </row>
    <row r="304" spans="1:7" hidden="1" outlineLevel="1" x14ac:dyDescent="0.25">
      <c r="A304" s="212">
        <v>43734</v>
      </c>
      <c r="B304" s="84">
        <v>400</v>
      </c>
      <c r="C304" s="77" t="s">
        <v>901</v>
      </c>
      <c r="D304" s="77"/>
      <c r="E304" s="213"/>
    </row>
    <row r="305" spans="1:5" hidden="1" outlineLevel="1" x14ac:dyDescent="0.25">
      <c r="A305" s="212">
        <v>43733</v>
      </c>
      <c r="B305" s="84">
        <v>-40</v>
      </c>
      <c r="C305" s="77" t="s">
        <v>905</v>
      </c>
      <c r="D305" s="77"/>
      <c r="E305" s="213"/>
    </row>
    <row r="306" spans="1:5" hidden="1" outlineLevel="1" x14ac:dyDescent="0.25">
      <c r="A306" s="212">
        <v>43733</v>
      </c>
      <c r="B306" s="84">
        <v>-1634</v>
      </c>
      <c r="C306" s="77" t="s">
        <v>705</v>
      </c>
      <c r="D306" s="77"/>
      <c r="E306" s="213"/>
    </row>
    <row r="307" spans="1:5" hidden="1" outlineLevel="1" x14ac:dyDescent="0.25">
      <c r="A307" s="212">
        <v>43731</v>
      </c>
      <c r="B307" s="84">
        <v>-59.99</v>
      </c>
      <c r="C307" s="77" t="s">
        <v>906</v>
      </c>
      <c r="D307" s="77"/>
      <c r="E307" s="213"/>
    </row>
    <row r="308" spans="1:5" hidden="1" outlineLevel="1" x14ac:dyDescent="0.25">
      <c r="A308" s="212">
        <v>43731</v>
      </c>
      <c r="B308" s="84">
        <v>4896.16</v>
      </c>
      <c r="C308" s="77" t="s">
        <v>907</v>
      </c>
      <c r="D308" s="77"/>
      <c r="E308" s="213"/>
    </row>
    <row r="309" spans="1:5" hidden="1" outlineLevel="1" x14ac:dyDescent="0.25">
      <c r="A309" s="212">
        <v>43728</v>
      </c>
      <c r="B309" s="84">
        <v>28000</v>
      </c>
      <c r="C309" s="77" t="s">
        <v>908</v>
      </c>
      <c r="D309" s="77"/>
      <c r="E309" s="213"/>
    </row>
    <row r="310" spans="1:5" hidden="1" outlineLevel="1" x14ac:dyDescent="0.25">
      <c r="A310" s="212">
        <v>43728</v>
      </c>
      <c r="B310" s="84">
        <v>5390</v>
      </c>
      <c r="C310" s="77" t="s">
        <v>697</v>
      </c>
      <c r="D310" s="77"/>
      <c r="E310" s="213"/>
    </row>
    <row r="311" spans="1:5" hidden="1" outlineLevel="1" x14ac:dyDescent="0.25">
      <c r="A311" s="212">
        <v>43728</v>
      </c>
      <c r="B311" s="84">
        <v>-6240.07</v>
      </c>
      <c r="C311" s="77" t="s">
        <v>909</v>
      </c>
      <c r="D311" s="77"/>
      <c r="E311" s="213"/>
    </row>
    <row r="312" spans="1:5" hidden="1" outlineLevel="1" x14ac:dyDescent="0.25">
      <c r="A312" s="212">
        <v>43728</v>
      </c>
      <c r="B312" s="84">
        <v>-700</v>
      </c>
      <c r="C312" s="77" t="s">
        <v>886</v>
      </c>
      <c r="D312" s="77"/>
      <c r="E312" s="213"/>
    </row>
    <row r="313" spans="1:5" hidden="1" outlineLevel="1" x14ac:dyDescent="0.25">
      <c r="A313" s="212">
        <v>43727</v>
      </c>
      <c r="B313" s="84">
        <v>11385</v>
      </c>
      <c r="C313" s="77" t="s">
        <v>887</v>
      </c>
      <c r="D313" s="77"/>
      <c r="E313" s="213"/>
    </row>
    <row r="314" spans="1:5" hidden="1" outlineLevel="1" x14ac:dyDescent="0.25">
      <c r="A314" s="212">
        <v>43727</v>
      </c>
      <c r="B314" s="84">
        <v>11000</v>
      </c>
      <c r="C314" s="77" t="s">
        <v>888</v>
      </c>
      <c r="D314" s="77"/>
      <c r="E314" s="213"/>
    </row>
    <row r="315" spans="1:5" hidden="1" outlineLevel="1" x14ac:dyDescent="0.25">
      <c r="A315" s="212">
        <v>43724</v>
      </c>
      <c r="B315" s="84">
        <v>5390</v>
      </c>
      <c r="C315" s="77" t="s">
        <v>697</v>
      </c>
      <c r="D315" s="77"/>
      <c r="E315" s="213"/>
    </row>
    <row r="316" spans="1:5" hidden="1" outlineLevel="1" x14ac:dyDescent="0.25">
      <c r="A316" s="212">
        <v>43724</v>
      </c>
      <c r="B316" s="84">
        <v>4896.16</v>
      </c>
      <c r="C316" s="77" t="s">
        <v>889</v>
      </c>
      <c r="D316" s="77"/>
      <c r="E316" s="213"/>
    </row>
    <row r="317" spans="1:5" hidden="1" outlineLevel="1" x14ac:dyDescent="0.25">
      <c r="A317" s="212">
        <v>43723</v>
      </c>
      <c r="B317" s="84">
        <v>-3803.91</v>
      </c>
      <c r="C317" s="77" t="s">
        <v>890</v>
      </c>
      <c r="D317" s="77"/>
      <c r="E317" s="213"/>
    </row>
    <row r="318" spans="1:5" hidden="1" outlineLevel="1" x14ac:dyDescent="0.25">
      <c r="A318" s="212">
        <v>43722</v>
      </c>
      <c r="B318" s="84">
        <v>-43357.760000000002</v>
      </c>
      <c r="C318" s="77" t="s">
        <v>891</v>
      </c>
      <c r="D318" s="77"/>
      <c r="E318" s="213"/>
    </row>
    <row r="319" spans="1:5" hidden="1" outlineLevel="1" x14ac:dyDescent="0.25">
      <c r="A319" s="212">
        <v>43722</v>
      </c>
      <c r="B319" s="84">
        <v>-384.1</v>
      </c>
      <c r="C319" s="77" t="s">
        <v>825</v>
      </c>
      <c r="D319" s="77"/>
      <c r="E319" s="213"/>
    </row>
    <row r="320" spans="1:5" hidden="1" outlineLevel="1" x14ac:dyDescent="0.25">
      <c r="A320" s="212">
        <v>43720</v>
      </c>
      <c r="B320" s="84">
        <v>-681.35</v>
      </c>
      <c r="C320" s="77" t="s">
        <v>876</v>
      </c>
      <c r="D320" s="77"/>
      <c r="E320" s="213"/>
    </row>
    <row r="321" spans="1:5" hidden="1" outlineLevel="1" x14ac:dyDescent="0.25">
      <c r="A321" s="212">
        <v>43720</v>
      </c>
      <c r="B321" s="84">
        <v>3135</v>
      </c>
      <c r="C321" s="77" t="s">
        <v>700</v>
      </c>
      <c r="D321" s="77"/>
      <c r="E321" s="213"/>
    </row>
    <row r="322" spans="1:5" hidden="1" outlineLevel="1" x14ac:dyDescent="0.25">
      <c r="A322" s="212">
        <v>43719</v>
      </c>
      <c r="B322" s="84">
        <v>3773</v>
      </c>
      <c r="C322" s="77" t="s">
        <v>697</v>
      </c>
      <c r="D322" s="77"/>
      <c r="E322" s="213"/>
    </row>
    <row r="323" spans="1:5" hidden="1" outlineLevel="1" x14ac:dyDescent="0.25">
      <c r="A323" s="212">
        <v>43719</v>
      </c>
      <c r="B323" s="84">
        <v>-1634</v>
      </c>
      <c r="C323" s="77" t="s">
        <v>705</v>
      </c>
      <c r="D323" s="77"/>
      <c r="E323" s="213"/>
    </row>
    <row r="324" spans="1:5" hidden="1" outlineLevel="1" x14ac:dyDescent="0.25">
      <c r="A324" s="212">
        <v>43718</v>
      </c>
      <c r="B324" s="84">
        <v>7700</v>
      </c>
      <c r="C324" s="77" t="s">
        <v>698</v>
      </c>
      <c r="D324" s="77"/>
      <c r="E324" s="213"/>
    </row>
    <row r="325" spans="1:5" hidden="1" outlineLevel="1" x14ac:dyDescent="0.25">
      <c r="A325" s="212">
        <v>43717</v>
      </c>
      <c r="B325" s="84">
        <v>4896.16</v>
      </c>
      <c r="C325" s="77" t="s">
        <v>877</v>
      </c>
      <c r="D325" s="77"/>
      <c r="E325" s="213"/>
    </row>
    <row r="326" spans="1:5" hidden="1" outlineLevel="1" x14ac:dyDescent="0.25">
      <c r="A326" s="212">
        <v>43713</v>
      </c>
      <c r="B326" s="84">
        <v>-7884.21</v>
      </c>
      <c r="C326" s="77" t="s">
        <v>878</v>
      </c>
      <c r="D326" s="77"/>
      <c r="E326" s="213"/>
    </row>
    <row r="327" spans="1:5" hidden="1" outlineLevel="1" x14ac:dyDescent="0.25">
      <c r="A327" s="212">
        <v>43713</v>
      </c>
      <c r="B327" s="84">
        <v>15400</v>
      </c>
      <c r="C327" s="77" t="s">
        <v>858</v>
      </c>
      <c r="D327" s="77"/>
      <c r="E327" s="213"/>
    </row>
    <row r="328" spans="1:5" hidden="1" outlineLevel="1" x14ac:dyDescent="0.25">
      <c r="A328" s="212">
        <v>43713</v>
      </c>
      <c r="B328" s="84">
        <v>13365</v>
      </c>
      <c r="C328" s="77" t="s">
        <v>859</v>
      </c>
      <c r="D328" s="77"/>
      <c r="E328" s="213"/>
    </row>
    <row r="329" spans="1:5" hidden="1" outlineLevel="1" x14ac:dyDescent="0.25">
      <c r="A329" s="212">
        <v>43713</v>
      </c>
      <c r="B329" s="84">
        <v>-15203</v>
      </c>
      <c r="C329" s="77" t="s">
        <v>860</v>
      </c>
      <c r="D329" s="77"/>
      <c r="E329" s="213"/>
    </row>
    <row r="330" spans="1:5" hidden="1" outlineLevel="1" x14ac:dyDescent="0.25">
      <c r="A330" s="212">
        <v>43712</v>
      </c>
      <c r="B330" s="84">
        <v>13090</v>
      </c>
      <c r="C330" s="77" t="s">
        <v>698</v>
      </c>
      <c r="D330" s="77"/>
      <c r="E330" s="213"/>
    </row>
    <row r="331" spans="1:5" hidden="1" outlineLevel="1" x14ac:dyDescent="0.25">
      <c r="A331" s="212">
        <v>43710</v>
      </c>
      <c r="B331" s="84">
        <v>-40</v>
      </c>
      <c r="C331" s="77" t="s">
        <v>861</v>
      </c>
      <c r="D331" s="77"/>
      <c r="E331" s="213"/>
    </row>
    <row r="332" spans="1:5" hidden="1" outlineLevel="1" x14ac:dyDescent="0.25">
      <c r="A332" s="212">
        <v>43710</v>
      </c>
      <c r="B332" s="84">
        <v>4896.16</v>
      </c>
      <c r="C332" s="77" t="s">
        <v>862</v>
      </c>
      <c r="D332" s="77"/>
      <c r="E332" s="213"/>
    </row>
    <row r="333" spans="1:5" hidden="1" outlineLevel="1" x14ac:dyDescent="0.25">
      <c r="A333" s="212">
        <v>43709</v>
      </c>
      <c r="B333" s="84">
        <v>-141.15</v>
      </c>
      <c r="C333" s="77" t="s">
        <v>863</v>
      </c>
      <c r="D333" s="77"/>
      <c r="E333" s="213"/>
    </row>
    <row r="334" spans="1:5" hidden="1" outlineLevel="1" x14ac:dyDescent="0.25">
      <c r="A334" s="212">
        <v>43709</v>
      </c>
      <c r="B334" s="84">
        <v>-5</v>
      </c>
      <c r="C334" s="77" t="s">
        <v>709</v>
      </c>
      <c r="D334" s="77"/>
      <c r="E334" s="213"/>
    </row>
    <row r="335" spans="1:5" hidden="1" outlineLevel="1" x14ac:dyDescent="0.25">
      <c r="A335" s="214">
        <v>43709</v>
      </c>
      <c r="B335" s="215">
        <v>-39.020000000000003</v>
      </c>
      <c r="C335" s="79" t="s">
        <v>710</v>
      </c>
      <c r="D335" s="79"/>
      <c r="E335" s="216"/>
    </row>
    <row r="336" spans="1:5" collapsed="1" x14ac:dyDescent="0.25">
      <c r="A336" s="217" t="s">
        <v>12</v>
      </c>
      <c r="B336" s="218">
        <f>SUBTOTAL(9,B337:B370)</f>
        <v>-22669.890000000003</v>
      </c>
      <c r="C336" s="73"/>
      <c r="D336" s="73"/>
      <c r="E336" s="218">
        <f>E371+B336</f>
        <v>19757.370000000006</v>
      </c>
    </row>
    <row r="337" spans="1:5" hidden="1" outlineLevel="1" x14ac:dyDescent="0.25">
      <c r="A337" s="209">
        <v>43707</v>
      </c>
      <c r="B337" s="210">
        <v>4312</v>
      </c>
      <c r="C337" s="75" t="s">
        <v>697</v>
      </c>
      <c r="D337" s="75"/>
      <c r="E337" s="211"/>
    </row>
    <row r="338" spans="1:5" hidden="1" outlineLevel="1" x14ac:dyDescent="0.25">
      <c r="A338" s="212">
        <v>43706</v>
      </c>
      <c r="B338" s="84">
        <v>-681.35</v>
      </c>
      <c r="C338" s="77" t="s">
        <v>844</v>
      </c>
      <c r="D338" s="77"/>
      <c r="E338" s="213"/>
    </row>
    <row r="339" spans="1:5" hidden="1" outlineLevel="1" x14ac:dyDescent="0.25">
      <c r="A339" s="212">
        <v>43706</v>
      </c>
      <c r="B339" s="84">
        <v>-1127.99</v>
      </c>
      <c r="C339" s="77" t="s">
        <v>845</v>
      </c>
      <c r="D339" s="77"/>
      <c r="E339" s="213"/>
    </row>
    <row r="340" spans="1:5" hidden="1" outlineLevel="1" x14ac:dyDescent="0.25">
      <c r="A340" s="212">
        <v>43706</v>
      </c>
      <c r="B340" s="84">
        <v>2612.5</v>
      </c>
      <c r="C340" s="77" t="s">
        <v>700</v>
      </c>
      <c r="D340" s="77"/>
      <c r="E340" s="213"/>
    </row>
    <row r="341" spans="1:5" hidden="1" outlineLevel="1" x14ac:dyDescent="0.25">
      <c r="A341" s="212">
        <v>43705</v>
      </c>
      <c r="B341" s="84">
        <v>-1634</v>
      </c>
      <c r="C341" s="77" t="s">
        <v>705</v>
      </c>
      <c r="D341" s="77"/>
      <c r="E341" s="213"/>
    </row>
    <row r="342" spans="1:5" hidden="1" outlineLevel="1" x14ac:dyDescent="0.25">
      <c r="A342" s="212">
        <v>43703</v>
      </c>
      <c r="B342" s="84">
        <v>4896.16</v>
      </c>
      <c r="C342" s="77" t="s">
        <v>846</v>
      </c>
      <c r="D342" s="77"/>
      <c r="E342" s="213"/>
    </row>
    <row r="343" spans="1:5" hidden="1" outlineLevel="1" x14ac:dyDescent="0.25">
      <c r="A343" s="212">
        <v>43702</v>
      </c>
      <c r="B343" s="84">
        <v>-1815</v>
      </c>
      <c r="C343" s="77" t="s">
        <v>847</v>
      </c>
      <c r="D343" s="77"/>
      <c r="E343" s="213"/>
    </row>
    <row r="344" spans="1:5" hidden="1" outlineLevel="1" x14ac:dyDescent="0.25">
      <c r="A344" s="212">
        <v>43700</v>
      </c>
      <c r="B344" s="84">
        <v>4312</v>
      </c>
      <c r="C344" s="77" t="s">
        <v>697</v>
      </c>
      <c r="D344" s="77"/>
      <c r="E344" s="213"/>
    </row>
    <row r="345" spans="1:5" hidden="1" outlineLevel="1" x14ac:dyDescent="0.25">
      <c r="A345" s="212">
        <v>43700</v>
      </c>
      <c r="B345" s="84">
        <v>-6094.73</v>
      </c>
      <c r="C345" s="77" t="s">
        <v>848</v>
      </c>
      <c r="D345" s="77"/>
      <c r="E345" s="213"/>
    </row>
    <row r="346" spans="1:5" hidden="1" outlineLevel="1" x14ac:dyDescent="0.25">
      <c r="A346" s="212">
        <v>43699</v>
      </c>
      <c r="B346" s="84">
        <v>10890</v>
      </c>
      <c r="C346" s="77" t="s">
        <v>830</v>
      </c>
      <c r="D346" s="77"/>
      <c r="E346" s="213"/>
    </row>
    <row r="347" spans="1:5" hidden="1" outlineLevel="1" x14ac:dyDescent="0.25">
      <c r="A347" s="212">
        <v>43699</v>
      </c>
      <c r="B347" s="84">
        <v>13200</v>
      </c>
      <c r="C347" s="77" t="s">
        <v>831</v>
      </c>
      <c r="D347" s="77"/>
      <c r="E347" s="213"/>
    </row>
    <row r="348" spans="1:5" hidden="1" outlineLevel="1" x14ac:dyDescent="0.25">
      <c r="A348" s="212">
        <v>43699</v>
      </c>
      <c r="B348" s="84">
        <v>3135</v>
      </c>
      <c r="C348" s="77" t="s">
        <v>700</v>
      </c>
      <c r="D348" s="77"/>
      <c r="E348" s="213"/>
    </row>
    <row r="349" spans="1:5" hidden="1" outlineLevel="1" x14ac:dyDescent="0.25">
      <c r="A349" s="212">
        <v>43698</v>
      </c>
      <c r="B349" s="84">
        <v>-59.99</v>
      </c>
      <c r="C349" s="77" t="s">
        <v>832</v>
      </c>
      <c r="D349" s="77"/>
      <c r="E349" s="213"/>
    </row>
    <row r="350" spans="1:5" hidden="1" outlineLevel="1" x14ac:dyDescent="0.25">
      <c r="A350" s="212">
        <v>43696</v>
      </c>
      <c r="B350" s="84">
        <v>4896.16</v>
      </c>
      <c r="C350" s="77" t="s">
        <v>833</v>
      </c>
      <c r="D350" s="77"/>
      <c r="E350" s="213"/>
    </row>
    <row r="351" spans="1:5" hidden="1" outlineLevel="1" x14ac:dyDescent="0.25">
      <c r="A351" s="212">
        <v>43693</v>
      </c>
      <c r="B351" s="84">
        <v>3773</v>
      </c>
      <c r="C351" s="77" t="s">
        <v>697</v>
      </c>
      <c r="D351" s="77"/>
      <c r="E351" s="213"/>
    </row>
    <row r="352" spans="1:5" hidden="1" outlineLevel="1" x14ac:dyDescent="0.25">
      <c r="A352" s="212">
        <v>43692</v>
      </c>
      <c r="B352" s="84">
        <v>-681.35</v>
      </c>
      <c r="C352" s="77" t="s">
        <v>834</v>
      </c>
      <c r="D352" s="77"/>
      <c r="E352" s="213"/>
    </row>
    <row r="353" spans="1:5" hidden="1" outlineLevel="1" x14ac:dyDescent="0.25">
      <c r="A353" s="212">
        <v>43691</v>
      </c>
      <c r="B353" s="84">
        <v>-37388.629999999997</v>
      </c>
      <c r="C353" s="77" t="s">
        <v>835</v>
      </c>
      <c r="D353" s="77"/>
      <c r="E353" s="213"/>
    </row>
    <row r="354" spans="1:5" hidden="1" outlineLevel="1" x14ac:dyDescent="0.25">
      <c r="A354" s="212">
        <v>43691</v>
      </c>
      <c r="B354" s="84">
        <v>-1359.82</v>
      </c>
      <c r="C354" s="77" t="s">
        <v>825</v>
      </c>
      <c r="D354" s="77"/>
      <c r="E354" s="213"/>
    </row>
    <row r="355" spans="1:5" hidden="1" outlineLevel="1" x14ac:dyDescent="0.25">
      <c r="A355" s="212">
        <v>43691</v>
      </c>
      <c r="B355" s="84">
        <v>7700</v>
      </c>
      <c r="C355" s="77" t="s">
        <v>698</v>
      </c>
      <c r="D355" s="77"/>
      <c r="E355" s="213"/>
    </row>
    <row r="356" spans="1:5" hidden="1" outlineLevel="1" x14ac:dyDescent="0.25">
      <c r="A356" s="212">
        <v>43691</v>
      </c>
      <c r="B356" s="84">
        <v>-1634</v>
      </c>
      <c r="C356" s="77" t="s">
        <v>705</v>
      </c>
      <c r="D356" s="77"/>
      <c r="E356" s="213"/>
    </row>
    <row r="357" spans="1:5" hidden="1" outlineLevel="1" x14ac:dyDescent="0.25">
      <c r="A357" s="212">
        <v>43689</v>
      </c>
      <c r="B357" s="84">
        <v>4896.16</v>
      </c>
      <c r="C357" s="77" t="s">
        <v>826</v>
      </c>
      <c r="D357" s="77"/>
      <c r="E357" s="213"/>
    </row>
    <row r="358" spans="1:5" hidden="1" outlineLevel="1" x14ac:dyDescent="0.25">
      <c r="A358" s="212">
        <v>43688</v>
      </c>
      <c r="B358" s="84">
        <v>-62799</v>
      </c>
      <c r="C358" s="77" t="s">
        <v>827</v>
      </c>
      <c r="D358" s="77"/>
      <c r="E358" s="213"/>
    </row>
    <row r="359" spans="1:5" hidden="1" outlineLevel="1" x14ac:dyDescent="0.25">
      <c r="A359" s="212">
        <v>10</v>
      </c>
      <c r="B359" s="84">
        <v>-5509.69</v>
      </c>
      <c r="C359" s="77" t="s">
        <v>819</v>
      </c>
      <c r="D359" s="77"/>
      <c r="E359" s="213"/>
    </row>
    <row r="360" spans="1:5" hidden="1" outlineLevel="1" x14ac:dyDescent="0.25">
      <c r="A360" s="212">
        <v>9</v>
      </c>
      <c r="B360" s="84">
        <v>4312</v>
      </c>
      <c r="C360" s="77" t="s">
        <v>697</v>
      </c>
      <c r="D360" s="77"/>
      <c r="E360" s="213"/>
    </row>
    <row r="361" spans="1:5" hidden="1" outlineLevel="1" x14ac:dyDescent="0.25">
      <c r="A361" s="212">
        <v>9</v>
      </c>
      <c r="B361" s="84">
        <v>-7577.31</v>
      </c>
      <c r="C361" s="77" t="s">
        <v>820</v>
      </c>
      <c r="D361" s="77"/>
      <c r="E361" s="213"/>
    </row>
    <row r="362" spans="1:5" hidden="1" outlineLevel="1" x14ac:dyDescent="0.25">
      <c r="A362" s="212">
        <v>43685</v>
      </c>
      <c r="B362" s="84">
        <v>14300</v>
      </c>
      <c r="C362" s="77" t="s">
        <v>797</v>
      </c>
      <c r="D362" s="77"/>
      <c r="E362" s="213"/>
    </row>
    <row r="363" spans="1:5" hidden="1" outlineLevel="1" x14ac:dyDescent="0.25">
      <c r="A363" s="212">
        <v>43685</v>
      </c>
      <c r="B363" s="84">
        <v>12375</v>
      </c>
      <c r="C363" s="77" t="s">
        <v>798</v>
      </c>
      <c r="D363" s="77"/>
      <c r="E363" s="213"/>
    </row>
    <row r="364" spans="1:5" hidden="1" outlineLevel="1" x14ac:dyDescent="0.25">
      <c r="A364" s="212">
        <v>43682</v>
      </c>
      <c r="B364" s="84">
        <v>4896.16</v>
      </c>
      <c r="C364" s="77" t="s">
        <v>799</v>
      </c>
      <c r="D364" s="77"/>
      <c r="E364" s="213"/>
    </row>
    <row r="365" spans="1:5" hidden="1" outlineLevel="1" x14ac:dyDescent="0.25">
      <c r="A365" s="212">
        <v>43679</v>
      </c>
      <c r="B365" s="84">
        <v>4312</v>
      </c>
      <c r="C365" s="77" t="s">
        <v>697</v>
      </c>
      <c r="D365" s="77"/>
      <c r="E365" s="213"/>
    </row>
    <row r="366" spans="1:5" hidden="1" outlineLevel="1" x14ac:dyDescent="0.25">
      <c r="A366" s="212">
        <v>43678</v>
      </c>
      <c r="B366" s="84">
        <v>-681.35</v>
      </c>
      <c r="C366" s="77" t="s">
        <v>800</v>
      </c>
      <c r="D366" s="77"/>
      <c r="E366" s="213"/>
    </row>
    <row r="367" spans="1:5" hidden="1" outlineLevel="1" x14ac:dyDescent="0.25">
      <c r="A367" s="212">
        <v>43678</v>
      </c>
      <c r="B367" s="84">
        <v>1567.5</v>
      </c>
      <c r="C367" s="77" t="s">
        <v>700</v>
      </c>
      <c r="D367" s="77"/>
      <c r="E367" s="213"/>
    </row>
    <row r="368" spans="1:5" hidden="1" outlineLevel="1" x14ac:dyDescent="0.25">
      <c r="A368" s="212">
        <v>43678</v>
      </c>
      <c r="B368" s="84">
        <v>-5.9</v>
      </c>
      <c r="C368" s="77" t="s">
        <v>708</v>
      </c>
      <c r="D368" s="77"/>
      <c r="E368" s="213"/>
    </row>
    <row r="369" spans="1:5" hidden="1" outlineLevel="1" x14ac:dyDescent="0.25">
      <c r="A369" s="212">
        <v>43678</v>
      </c>
      <c r="B369" s="84">
        <v>-5</v>
      </c>
      <c r="C369" s="77" t="s">
        <v>709</v>
      </c>
      <c r="D369" s="77"/>
      <c r="E369" s="213"/>
    </row>
    <row r="370" spans="1:5" hidden="1" outlineLevel="1" x14ac:dyDescent="0.25">
      <c r="A370" s="214">
        <v>43678</v>
      </c>
      <c r="B370" s="215">
        <v>-0.42</v>
      </c>
      <c r="C370" s="79" t="s">
        <v>710</v>
      </c>
      <c r="D370" s="79"/>
      <c r="E370" s="216"/>
    </row>
    <row r="371" spans="1:5" collapsed="1" x14ac:dyDescent="0.25">
      <c r="A371" s="73" t="s">
        <v>11</v>
      </c>
      <c r="B371" s="218">
        <f>SUBTOTAL(9,B372:B410)</f>
        <v>45645.750000000007</v>
      </c>
      <c r="C371" s="73"/>
      <c r="D371" s="73"/>
      <c r="E371" s="218">
        <f>E411+B371</f>
        <v>42427.260000000009</v>
      </c>
    </row>
    <row r="372" spans="1:5" hidden="1" outlineLevel="1" x14ac:dyDescent="0.25">
      <c r="A372" s="209">
        <v>43677</v>
      </c>
      <c r="B372" s="210">
        <v>-1634</v>
      </c>
      <c r="C372" s="75" t="s">
        <v>705</v>
      </c>
      <c r="D372" s="75"/>
      <c r="E372" s="211"/>
    </row>
    <row r="373" spans="1:5" hidden="1" outlineLevel="1" x14ac:dyDescent="0.25">
      <c r="A373" s="212">
        <v>43675</v>
      </c>
      <c r="B373" s="84">
        <v>-1127.99</v>
      </c>
      <c r="C373" s="77" t="s">
        <v>793</v>
      </c>
      <c r="D373" s="77"/>
      <c r="E373" s="213"/>
    </row>
    <row r="374" spans="1:5" hidden="1" outlineLevel="1" x14ac:dyDescent="0.25">
      <c r="A374" s="212">
        <v>43675</v>
      </c>
      <c r="B374" s="84">
        <v>4896.16</v>
      </c>
      <c r="C374" s="77" t="s">
        <v>794</v>
      </c>
      <c r="D374" s="77"/>
      <c r="E374" s="213"/>
    </row>
    <row r="375" spans="1:5" hidden="1" outlineLevel="1" x14ac:dyDescent="0.25">
      <c r="A375" s="212">
        <v>43673</v>
      </c>
      <c r="B375" s="84">
        <v>-1846</v>
      </c>
      <c r="C375" s="77" t="s">
        <v>795</v>
      </c>
      <c r="D375" s="77"/>
      <c r="E375" s="213"/>
    </row>
    <row r="376" spans="1:5" hidden="1" outlineLevel="1" x14ac:dyDescent="0.25">
      <c r="A376" s="212">
        <v>43672</v>
      </c>
      <c r="B376" s="84">
        <v>4312</v>
      </c>
      <c r="C376" s="77" t="s">
        <v>697</v>
      </c>
      <c r="D376" s="77"/>
      <c r="E376" s="213"/>
    </row>
    <row r="377" spans="1:5" hidden="1" outlineLevel="1" x14ac:dyDescent="0.25">
      <c r="A377" s="212">
        <v>43672</v>
      </c>
      <c r="B377" s="84">
        <v>-7089.18</v>
      </c>
      <c r="C377" s="77" t="s">
        <v>790</v>
      </c>
      <c r="D377" s="77"/>
      <c r="E377" s="213"/>
    </row>
    <row r="378" spans="1:5" hidden="1" outlineLevel="1" x14ac:dyDescent="0.25">
      <c r="A378" s="212">
        <v>43671</v>
      </c>
      <c r="B378" s="84">
        <v>12870</v>
      </c>
      <c r="C378" s="77" t="s">
        <v>782</v>
      </c>
      <c r="D378" s="77"/>
      <c r="E378" s="213"/>
    </row>
    <row r="379" spans="1:5" hidden="1" outlineLevel="1" x14ac:dyDescent="0.25">
      <c r="A379" s="212">
        <v>43671</v>
      </c>
      <c r="B379" s="84">
        <v>14300</v>
      </c>
      <c r="C379" s="77" t="s">
        <v>783</v>
      </c>
      <c r="D379" s="77"/>
      <c r="E379" s="213"/>
    </row>
    <row r="380" spans="1:5" hidden="1" outlineLevel="1" x14ac:dyDescent="0.25">
      <c r="A380" s="212">
        <v>43671</v>
      </c>
      <c r="B380" s="84">
        <v>2090</v>
      </c>
      <c r="C380" s="77" t="s">
        <v>700</v>
      </c>
      <c r="D380" s="77"/>
      <c r="E380" s="213"/>
    </row>
    <row r="381" spans="1:5" hidden="1" outlineLevel="1" x14ac:dyDescent="0.25">
      <c r="A381" s="212">
        <v>43670</v>
      </c>
      <c r="B381" s="84">
        <v>7315</v>
      </c>
      <c r="C381" s="77" t="s">
        <v>698</v>
      </c>
      <c r="D381" s="77"/>
      <c r="E381" s="213"/>
    </row>
    <row r="382" spans="1:5" hidden="1" outlineLevel="1" x14ac:dyDescent="0.25">
      <c r="A382" s="212">
        <v>43668</v>
      </c>
      <c r="B382" s="84">
        <v>-59.99</v>
      </c>
      <c r="C382" s="77" t="s">
        <v>765</v>
      </c>
      <c r="D382" s="77"/>
      <c r="E382" s="213"/>
    </row>
    <row r="383" spans="1:5" hidden="1" outlineLevel="1" x14ac:dyDescent="0.25">
      <c r="A383" s="212">
        <v>43668</v>
      </c>
      <c r="B383" s="84">
        <v>4896.16</v>
      </c>
      <c r="C383" s="77" t="s">
        <v>766</v>
      </c>
      <c r="D383" s="77"/>
      <c r="E383" s="213"/>
    </row>
    <row r="384" spans="1:5" hidden="1" outlineLevel="1" x14ac:dyDescent="0.25">
      <c r="A384" s="212">
        <v>43664</v>
      </c>
      <c r="B384" s="84">
        <v>-341.35</v>
      </c>
      <c r="C384" s="77" t="s">
        <v>767</v>
      </c>
      <c r="D384" s="77"/>
      <c r="E384" s="213"/>
    </row>
    <row r="385" spans="1:5" hidden="1" outlineLevel="1" x14ac:dyDescent="0.25">
      <c r="A385" s="212">
        <v>43663</v>
      </c>
      <c r="B385" s="84">
        <v>-1634</v>
      </c>
      <c r="C385" s="77" t="s">
        <v>705</v>
      </c>
      <c r="D385" s="77"/>
      <c r="E385" s="213"/>
    </row>
    <row r="386" spans="1:5" hidden="1" outlineLevel="1" x14ac:dyDescent="0.25">
      <c r="A386" s="212">
        <v>43662</v>
      </c>
      <c r="B386" s="84">
        <v>-3045.31</v>
      </c>
      <c r="C386" s="77" t="s">
        <v>768</v>
      </c>
      <c r="D386" s="77"/>
      <c r="E386" s="213"/>
    </row>
    <row r="387" spans="1:5" hidden="1" outlineLevel="1" x14ac:dyDescent="0.25">
      <c r="A387" s="212">
        <v>43661</v>
      </c>
      <c r="B387" s="84">
        <v>4895</v>
      </c>
      <c r="C387" s="77" t="s">
        <v>769</v>
      </c>
      <c r="D387" s="77"/>
      <c r="E387" s="213"/>
    </row>
    <row r="388" spans="1:5" hidden="1" outlineLevel="1" x14ac:dyDescent="0.25">
      <c r="A388" s="212">
        <v>43659</v>
      </c>
      <c r="B388" s="84">
        <v>-34359.97</v>
      </c>
      <c r="C388" s="77" t="s">
        <v>770</v>
      </c>
      <c r="D388" s="77"/>
      <c r="E388" s="213"/>
    </row>
    <row r="389" spans="1:5" hidden="1" outlineLevel="1" x14ac:dyDescent="0.25">
      <c r="A389" s="212">
        <v>43659</v>
      </c>
      <c r="B389" s="84">
        <v>-2560</v>
      </c>
      <c r="C389" s="77" t="s">
        <v>771</v>
      </c>
      <c r="D389" s="77"/>
      <c r="E389" s="213"/>
    </row>
    <row r="390" spans="1:5" hidden="1" outlineLevel="1" x14ac:dyDescent="0.25">
      <c r="A390" s="212">
        <v>43659</v>
      </c>
      <c r="B390" s="84">
        <v>-1991.38</v>
      </c>
      <c r="C390" s="77" t="s">
        <v>748</v>
      </c>
      <c r="D390" s="77"/>
      <c r="E390" s="213"/>
    </row>
    <row r="391" spans="1:5" hidden="1" outlineLevel="1" x14ac:dyDescent="0.25">
      <c r="A391" s="212">
        <v>43658</v>
      </c>
      <c r="B391" s="84">
        <v>4312</v>
      </c>
      <c r="C391" s="77" t="s">
        <v>697</v>
      </c>
      <c r="D391" s="77"/>
      <c r="E391" s="213"/>
    </row>
    <row r="392" spans="1:5" hidden="1" outlineLevel="1" x14ac:dyDescent="0.25">
      <c r="A392" s="212">
        <v>43658</v>
      </c>
      <c r="B392" s="84">
        <v>-500</v>
      </c>
      <c r="C392" s="77" t="s">
        <v>749</v>
      </c>
      <c r="D392" s="77"/>
      <c r="E392" s="213"/>
    </row>
    <row r="393" spans="1:5" hidden="1" outlineLevel="1" x14ac:dyDescent="0.25">
      <c r="A393" s="212">
        <v>43658</v>
      </c>
      <c r="B393" s="84">
        <v>-4696.12</v>
      </c>
      <c r="C393" s="77" t="s">
        <v>750</v>
      </c>
      <c r="D393" s="77"/>
      <c r="E393" s="213"/>
    </row>
    <row r="394" spans="1:5" hidden="1" outlineLevel="1" x14ac:dyDescent="0.25">
      <c r="A394" s="212">
        <v>43657</v>
      </c>
      <c r="B394" s="84">
        <v>7920</v>
      </c>
      <c r="C394" s="77" t="s">
        <v>734</v>
      </c>
      <c r="D394" s="77"/>
      <c r="E394" s="213"/>
    </row>
    <row r="395" spans="1:5" hidden="1" outlineLevel="1" x14ac:dyDescent="0.25">
      <c r="A395" s="212">
        <v>43657</v>
      </c>
      <c r="B395" s="84">
        <v>9900</v>
      </c>
      <c r="C395" s="77" t="s">
        <v>735</v>
      </c>
      <c r="D395" s="77"/>
      <c r="E395" s="213"/>
    </row>
    <row r="396" spans="1:5" hidden="1" outlineLevel="1" x14ac:dyDescent="0.25">
      <c r="A396" s="212">
        <v>43656</v>
      </c>
      <c r="B396" s="84">
        <v>3773</v>
      </c>
      <c r="C396" s="77" t="s">
        <v>697</v>
      </c>
      <c r="D396" s="77"/>
      <c r="E396" s="213"/>
    </row>
    <row r="397" spans="1:5" hidden="1" outlineLevel="1" x14ac:dyDescent="0.25">
      <c r="A397" s="212">
        <v>43656</v>
      </c>
      <c r="B397" s="84">
        <v>7700</v>
      </c>
      <c r="C397" s="77" t="s">
        <v>698</v>
      </c>
      <c r="D397" s="77"/>
      <c r="E397" s="213"/>
    </row>
    <row r="398" spans="1:5" hidden="1" outlineLevel="1" x14ac:dyDescent="0.25">
      <c r="A398" s="212">
        <v>43654</v>
      </c>
      <c r="B398" s="84">
        <v>4895</v>
      </c>
      <c r="C398" s="77" t="s">
        <v>699</v>
      </c>
      <c r="D398" s="77"/>
      <c r="E398" s="213"/>
    </row>
    <row r="399" spans="1:5" hidden="1" outlineLevel="1" x14ac:dyDescent="0.25">
      <c r="A399" s="212">
        <v>43651</v>
      </c>
      <c r="B399" s="84">
        <v>10450</v>
      </c>
      <c r="C399" s="77" t="s">
        <v>700</v>
      </c>
      <c r="D399" s="77"/>
      <c r="E399" s="213"/>
    </row>
    <row r="400" spans="1:5" hidden="1" outlineLevel="1" x14ac:dyDescent="0.25">
      <c r="A400" s="212">
        <v>43651</v>
      </c>
      <c r="B400" s="84">
        <v>-300</v>
      </c>
      <c r="C400" s="77" t="s">
        <v>701</v>
      </c>
      <c r="D400" s="77"/>
      <c r="E400" s="213"/>
    </row>
    <row r="401" spans="1:5" hidden="1" outlineLevel="1" x14ac:dyDescent="0.25">
      <c r="A401" s="212">
        <v>43650</v>
      </c>
      <c r="B401" s="84">
        <v>-681.35</v>
      </c>
      <c r="C401" s="77" t="s">
        <v>702</v>
      </c>
      <c r="D401" s="77"/>
      <c r="E401" s="213"/>
    </row>
    <row r="402" spans="1:5" hidden="1" outlineLevel="1" x14ac:dyDescent="0.25">
      <c r="A402" s="212">
        <v>43650</v>
      </c>
      <c r="B402" s="84">
        <v>300</v>
      </c>
      <c r="C402" s="77" t="s">
        <v>703</v>
      </c>
      <c r="D402" s="77"/>
      <c r="E402" s="213"/>
    </row>
    <row r="403" spans="1:5" hidden="1" outlineLevel="1" x14ac:dyDescent="0.25">
      <c r="A403" s="212">
        <v>43650</v>
      </c>
      <c r="B403" s="84">
        <v>-40</v>
      </c>
      <c r="C403" s="77" t="s">
        <v>704</v>
      </c>
      <c r="D403" s="77"/>
      <c r="E403" s="213"/>
    </row>
    <row r="404" spans="1:5" hidden="1" outlineLevel="1" x14ac:dyDescent="0.25">
      <c r="A404" s="212">
        <v>43649</v>
      </c>
      <c r="B404" s="84">
        <v>-1634</v>
      </c>
      <c r="C404" s="77" t="s">
        <v>705</v>
      </c>
      <c r="D404" s="77"/>
      <c r="E404" s="213"/>
    </row>
    <row r="405" spans="1:5" hidden="1" outlineLevel="1" x14ac:dyDescent="0.25">
      <c r="A405" s="212">
        <v>43647</v>
      </c>
      <c r="B405" s="84">
        <v>-1127.99</v>
      </c>
      <c r="C405" s="77" t="s">
        <v>706</v>
      </c>
      <c r="D405" s="77"/>
      <c r="E405" s="213"/>
    </row>
    <row r="406" spans="1:5" hidden="1" outlineLevel="1" x14ac:dyDescent="0.25">
      <c r="A406" s="212">
        <v>43647</v>
      </c>
      <c r="B406" s="84">
        <v>150</v>
      </c>
      <c r="C406" s="77" t="s">
        <v>707</v>
      </c>
      <c r="D406" s="77"/>
      <c r="E406" s="213"/>
    </row>
    <row r="407" spans="1:5" hidden="1" outlineLevel="1" x14ac:dyDescent="0.25">
      <c r="A407" s="212">
        <v>43647</v>
      </c>
      <c r="B407" s="84">
        <v>-5.15</v>
      </c>
      <c r="C407" s="77" t="s">
        <v>708</v>
      </c>
      <c r="D407" s="77"/>
      <c r="E407" s="213"/>
    </row>
    <row r="408" spans="1:5" hidden="1" outlineLevel="1" x14ac:dyDescent="0.25">
      <c r="A408" s="212">
        <v>43647</v>
      </c>
      <c r="B408" s="84">
        <v>-5</v>
      </c>
      <c r="C408" s="77" t="s">
        <v>709</v>
      </c>
      <c r="D408" s="77"/>
      <c r="E408" s="213"/>
    </row>
    <row r="409" spans="1:5" hidden="1" outlineLevel="1" x14ac:dyDescent="0.25">
      <c r="A409" s="212">
        <v>43647</v>
      </c>
      <c r="B409" s="84">
        <v>-34.29</v>
      </c>
      <c r="C409" s="77" t="s">
        <v>710</v>
      </c>
      <c r="D409" s="77"/>
      <c r="E409" s="213"/>
    </row>
    <row r="410" spans="1:5" hidden="1" outlineLevel="1" x14ac:dyDescent="0.25">
      <c r="A410" s="214">
        <v>43647</v>
      </c>
      <c r="B410" s="215">
        <v>5384.5</v>
      </c>
      <c r="C410" s="79" t="s">
        <v>711</v>
      </c>
      <c r="D410" s="79"/>
      <c r="E410" s="216"/>
    </row>
    <row r="411" spans="1:5" s="35" customFormat="1" collapsed="1" x14ac:dyDescent="0.25">
      <c r="A411" s="203"/>
      <c r="B411" s="205"/>
      <c r="C411" s="204"/>
      <c r="D411" s="204"/>
      <c r="E411" s="206">
        <v>-3218.49</v>
      </c>
    </row>
  </sheetData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showZeros="0" zoomScaleNormal="100" workbookViewId="0">
      <selection activeCell="D3" sqref="D3"/>
    </sheetView>
  </sheetViews>
  <sheetFormatPr defaultRowHeight="13.2" x14ac:dyDescent="0.25"/>
  <cols>
    <col min="1" max="1025" width="11"/>
  </cols>
  <sheetData/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T20"/>
  <sheetViews>
    <sheetView showZeros="0" zoomScale="80" zoomScaleNormal="80" workbookViewId="0">
      <selection activeCell="P3" sqref="P3"/>
    </sheetView>
  </sheetViews>
  <sheetFormatPr defaultRowHeight="13.2" outlineLevelRow="1" x14ac:dyDescent="0.25"/>
  <cols>
    <col min="1" max="1" width="7"/>
    <col min="2" max="2" width="9.5546875"/>
    <col min="3" max="4" width="13.44140625"/>
    <col min="5" max="5" width="10.5546875"/>
    <col min="6" max="6" width="9.5546875"/>
    <col min="7" max="7" width="2"/>
    <col min="8" max="8" width="14.5546875"/>
    <col min="9" max="9" width="21"/>
    <col min="10" max="10" width="14.5546875"/>
    <col min="11" max="20" width="13.44140625"/>
    <col min="21" max="1024" width="11"/>
  </cols>
  <sheetData>
    <row r="1" spans="1:20" ht="24" customHeight="1" x14ac:dyDescent="0.4">
      <c r="A1" s="66"/>
      <c r="B1" s="219"/>
      <c r="C1" s="220"/>
      <c r="D1" s="219"/>
      <c r="E1" s="221"/>
      <c r="F1" s="221"/>
      <c r="G1" s="219"/>
      <c r="H1" s="221"/>
      <c r="I1" s="66"/>
      <c r="J1" s="221" t="s">
        <v>443</v>
      </c>
      <c r="K1" s="66"/>
      <c r="L1" s="66"/>
      <c r="M1" s="66"/>
      <c r="N1" s="66"/>
      <c r="O1" s="66"/>
      <c r="P1" s="66"/>
      <c r="Q1" s="66"/>
      <c r="R1" s="66"/>
      <c r="S1" s="66"/>
    </row>
    <row r="2" spans="1:20" s="224" customFormat="1" x14ac:dyDescent="0.25">
      <c r="A2" s="222" t="s">
        <v>444</v>
      </c>
      <c r="B2" s="156" t="s">
        <v>445</v>
      </c>
      <c r="C2" s="223"/>
      <c r="D2" s="156" t="s">
        <v>446</v>
      </c>
      <c r="E2" s="219" t="s">
        <v>126</v>
      </c>
      <c r="F2" s="156" t="s">
        <v>447</v>
      </c>
      <c r="G2" s="156"/>
      <c r="H2" s="156" t="s">
        <v>448</v>
      </c>
      <c r="I2" s="156" t="s">
        <v>449</v>
      </c>
      <c r="J2" s="156" t="s">
        <v>450</v>
      </c>
      <c r="K2" s="156" t="s">
        <v>455</v>
      </c>
      <c r="L2" s="156" t="s">
        <v>452</v>
      </c>
      <c r="M2" s="156" t="s">
        <v>453</v>
      </c>
      <c r="N2" s="156" t="s">
        <v>454</v>
      </c>
      <c r="O2" s="156" t="s">
        <v>456</v>
      </c>
      <c r="P2" s="156" t="s">
        <v>457</v>
      </c>
      <c r="Q2" s="156" t="s">
        <v>458</v>
      </c>
      <c r="R2" s="156" t="s">
        <v>459</v>
      </c>
      <c r="S2" s="156" t="s">
        <v>460</v>
      </c>
    </row>
    <row r="3" spans="1:20" ht="12" customHeight="1" outlineLevel="1" x14ac:dyDescent="0.25">
      <c r="A3" s="225">
        <v>1</v>
      </c>
      <c r="B3" s="226"/>
      <c r="C3" s="227" t="s">
        <v>11</v>
      </c>
      <c r="D3" s="228"/>
      <c r="E3" s="74">
        <f ca="1">SUMIF(Emps2019!payTot,$A3,Emps2019!E$24:OFFSET(Emps2019!E$24,ROWS(Emps2019!payDet)-1,0))</f>
        <v>160.5</v>
      </c>
      <c r="F3" s="74">
        <f ca="1">SUMIF(Emps2019!payTot,$A3,Emps2019!F$24:OFFSET(Emps2019!F$24,ROWS(Emps2019!payDet)-1,0))</f>
        <v>0</v>
      </c>
      <c r="G3" s="74"/>
      <c r="H3" s="74">
        <f ca="1">SUMIF(Emps2019!payTot,$A3,Emps2019!H$24:OFFSET(Emps2019!H$24,ROWS(Emps2019!payDet)-1,0))</f>
        <v>87745</v>
      </c>
      <c r="I3" s="74">
        <f ca="1">SUMIF(Emps2019!payTot,$A3,Emps2019!I$24:OFFSET(Emps2019!I$24,ROWS(Emps2019!payDet)-1,0))</f>
        <v>4214</v>
      </c>
      <c r="J3" s="74">
        <f ca="1">SUMIF(Emps2019!payTot,$A3,Emps2019!J$24:OFFSET(Emps2019!J$24,ROWS(Emps2019!payDet)-1,0))</f>
        <v>83940.26</v>
      </c>
      <c r="K3" s="74">
        <f ca="1">SUMIF(Emps2019!payTot,$A3,Emps2019!K$24:OFFSET(Emps2019!K$24,ROWS(Emps2019!payDet)-1,0))</f>
        <v>797.44999999999993</v>
      </c>
      <c r="L3" s="74">
        <f ca="1">SUMIF(Emps2019!payTot,$A3,Emps2019!L$24:OFFSET(Emps2019!L$24,ROWS(Emps2019!payDet)-1,0))</f>
        <v>5105.1900000000005</v>
      </c>
      <c r="M3" s="74">
        <f ca="1">SUMIF(Emps2019!payTot,$A3,Emps2019!M$24:OFFSET(Emps2019!M$24,ROWS(Emps2019!payDet)-1,0))</f>
        <v>7282.49</v>
      </c>
      <c r="N3" s="74">
        <f ca="1">SUMIF(Emps2019!payTot,$A3,Emps2019!N$24:OFFSET(Emps2019!N$24,ROWS(Emps2019!payDet)-1,0))</f>
        <v>0</v>
      </c>
      <c r="O3" s="74">
        <f ca="1">SUMIF(Emps2019!payTot,$A3,Emps2019!O$24:OFFSET(Emps2019!O$24,ROWS(Emps2019!payDet)-1,0))</f>
        <v>0</v>
      </c>
      <c r="P3" s="74">
        <f ca="1">SUMIF(Emps2019!payTot,$A3,Emps2019!P$24:OFFSET(Emps2019!P$24,ROWS(Emps2019!payDet)-1,0))</f>
        <v>70755.12999999999</v>
      </c>
      <c r="Q3" s="74">
        <f ca="1">SUMIF(Emps2019!payTot,$A3,Emps2019!Q$24:OFFSET(Emps2019!Q$24,ROWS(Emps2019!payDet)-1,0))</f>
        <v>19590</v>
      </c>
      <c r="R3" s="74">
        <f ca="1">SUMIF(Emps2019!payTot,$A3,Emps2019!R$24:OFFSET(Emps2019!R$24,ROWS(Emps2019!payDet)-1,0))</f>
        <v>51165.13</v>
      </c>
      <c r="S3" s="74">
        <f ca="1">SUMIF(Emps2019!payTot,$A3,Emps2019!S$24:OFFSET(Emps2019!S$24,ROWS(Emps2019!payDet)-1,0))</f>
        <v>5615.7</v>
      </c>
      <c r="T3" s="62"/>
    </row>
    <row r="4" spans="1:20" ht="12" customHeight="1" outlineLevel="1" x14ac:dyDescent="0.25">
      <c r="A4" s="120">
        <v>2</v>
      </c>
      <c r="B4" s="231"/>
      <c r="C4" s="77" t="s">
        <v>12</v>
      </c>
      <c r="D4" s="76"/>
      <c r="E4" s="396">
        <f ca="1">SUMIF(Emps2019!payTot,$A4,Emps2019!E$24:OFFSET(Emps2019!E$24,ROWS(Emps2019!payDet)-1,0))</f>
        <v>192</v>
      </c>
      <c r="F4" s="396">
        <f ca="1">SUMIF(Emps2019!payTot,$A4,Emps2019!F$24:OFFSET(Emps2019!F$24,ROWS(Emps2019!payDet)-1,0))</f>
        <v>0</v>
      </c>
      <c r="G4" s="396"/>
      <c r="H4" s="396">
        <f ca="1">SUMIF(Emps2019!payTot,$A4,Emps2019!H$24:OFFSET(Emps2019!H$24,ROWS(Emps2019!payDet)-1,0))</f>
        <v>101775</v>
      </c>
      <c r="I4" s="396">
        <f ca="1">SUMIF(Emps2019!payTot,$A4,Emps2019!I$24:OFFSET(Emps2019!I$24,ROWS(Emps2019!payDet)-1,0))</f>
        <v>4884</v>
      </c>
      <c r="J4" s="396">
        <f ca="1">SUMIF(Emps2019!payTot,$A4,Emps2019!J$24:OFFSET(Emps2019!J$24,ROWS(Emps2019!payDet)-1,0))</f>
        <v>97547.5</v>
      </c>
      <c r="K4" s="396">
        <f ca="1">SUMIF(Emps2019!payTot,$A4,Emps2019!K$24:OFFSET(Emps2019!K$24,ROWS(Emps2019!payDet)-1,0))</f>
        <v>926.70999999999981</v>
      </c>
      <c r="L4" s="396">
        <f ca="1">SUMIF(Emps2019!payTot,$A4,Emps2019!L$24:OFFSET(Emps2019!L$24,ROWS(Emps2019!payDet)-1,0))</f>
        <v>4407.829999999999</v>
      </c>
      <c r="M4" s="396">
        <f ca="1">SUMIF(Emps2019!payTot,$A4,Emps2019!M$24:OFFSET(Emps2019!M$24,ROWS(Emps2019!payDet)-1,0))</f>
        <v>8463.0099999999984</v>
      </c>
      <c r="N4" s="396">
        <f ca="1">SUMIF(Emps2019!payTot,$A4,Emps2019!N$24:OFFSET(Emps2019!N$24,ROWS(Emps2019!payDet)-1,0))</f>
        <v>0</v>
      </c>
      <c r="O4" s="396">
        <f ca="1">SUMIF(Emps2019!payTot,$A4,Emps2019!O$24:OFFSET(Emps2019!O$24,ROWS(Emps2019!payDet)-1,0))</f>
        <v>0</v>
      </c>
      <c r="P4" s="396">
        <f ca="1">SUMIF(Emps2019!payTot,$A4,Emps2019!P$24:OFFSET(Emps2019!P$24,ROWS(Emps2019!payDet)-1,0))</f>
        <v>83749.950000000012</v>
      </c>
      <c r="Q4" s="396">
        <f ca="1">SUMIF(Emps2019!payTot,$A4,Emps2019!Q$24:OFFSET(Emps2019!Q$24,ROWS(Emps2019!payDet)-1,0))</f>
        <v>24526</v>
      </c>
      <c r="R4" s="396">
        <f ca="1">SUMIF(Emps2019!payTot,$A4,Emps2019!R$24:OFFSET(Emps2019!R$24,ROWS(Emps2019!payDet)-1,0))</f>
        <v>59223.95</v>
      </c>
      <c r="S4" s="396">
        <f ca="1">SUMIF(Emps2019!payTot,$A4,Emps2019!S$24:OFFSET(Emps2019!S$24,ROWS(Emps2019!payDet)-1,0))</f>
        <v>4848.6000000000004</v>
      </c>
      <c r="T4" s="62"/>
    </row>
    <row r="5" spans="1:20" ht="12" customHeight="1" outlineLevel="1" x14ac:dyDescent="0.25">
      <c r="A5" s="120">
        <v>3</v>
      </c>
      <c r="B5" s="231"/>
      <c r="C5" s="77" t="s">
        <v>13</v>
      </c>
      <c r="D5" s="78"/>
      <c r="E5" s="78">
        <f ca="1">SUMIF(Emps2019!payTot,$A5,Emps2019!E$24:OFFSET(Emps2019!E$24,ROWS(Emps2019!payDet)-1,0))</f>
        <v>191</v>
      </c>
      <c r="F5" s="78">
        <f ca="1">SUMIF(Emps2019!payTot,$A5,Emps2019!F$24:OFFSET(Emps2019!F$24,ROWS(Emps2019!payDet)-1,0))</f>
        <v>0</v>
      </c>
      <c r="G5" s="78"/>
      <c r="H5" s="78">
        <f ca="1">SUMIF(Emps2019!payTot,$A5,Emps2019!H$24:OFFSET(Emps2019!H$24,ROWS(Emps2019!payDet)-1,0))</f>
        <v>107350</v>
      </c>
      <c r="I5" s="78">
        <f ca="1">SUMIF(Emps2019!payTot,$A5,Emps2019!I$24:OFFSET(Emps2019!I$24,ROWS(Emps2019!payDet)-1,0))</f>
        <v>5136.5</v>
      </c>
      <c r="J5" s="78">
        <f ca="1">SUMIF(Emps2019!payTot,$A5,Emps2019!J$24:OFFSET(Emps2019!J$24,ROWS(Emps2019!payDet)-1,0))</f>
        <v>102695</v>
      </c>
      <c r="K5" s="78">
        <f ca="1">SUMIF(Emps2019!payTot,$A5,Emps2019!K$24:OFFSET(Emps2019!K$24,ROWS(Emps2019!payDet)-1,0))</f>
        <v>975.61</v>
      </c>
      <c r="L5" s="78">
        <f ca="1">SUMIF(Emps2019!payTot,$A5,Emps2019!L$24:OFFSET(Emps2019!L$24,ROWS(Emps2019!payDet)-1,0))</f>
        <v>8769.5099999999984</v>
      </c>
      <c r="M5" s="78">
        <f ca="1">SUMIF(Emps2019!payTot,$A5,Emps2019!M$24:OFFSET(Emps2019!M$24,ROWS(Emps2019!payDet)-1,0))</f>
        <v>8909.61</v>
      </c>
      <c r="N5" s="78">
        <f ca="1">SUMIF(Emps2019!payTot,$A5,Emps2019!N$24:OFFSET(Emps2019!N$24,ROWS(Emps2019!payDet)-1,0))</f>
        <v>0</v>
      </c>
      <c r="O5" s="78">
        <f ca="1">SUMIF(Emps2019!payTot,$A5,Emps2019!O$24:OFFSET(Emps2019!O$24,ROWS(Emps2019!payDet)-1,0))</f>
        <v>0</v>
      </c>
      <c r="P5" s="78">
        <f ca="1">SUMIF(Emps2019!payTot,$A5,Emps2019!P$24:OFFSET(Emps2019!P$24,ROWS(Emps2019!payDet)-1,0))</f>
        <v>84040.26999999999</v>
      </c>
      <c r="Q5" s="78">
        <f ca="1">SUMIF(Emps2019!payTot,$A5,Emps2019!Q$24:OFFSET(Emps2019!Q$24,ROWS(Emps2019!payDet)-1,0))</f>
        <v>25230</v>
      </c>
      <c r="R5" s="78">
        <f ca="1">SUMIF(Emps2019!payTot,$A5,Emps2019!R$24:OFFSET(Emps2019!R$24,ROWS(Emps2019!payDet)-1,0))</f>
        <v>58810.27</v>
      </c>
      <c r="S5" s="78">
        <f ca="1">SUMIF(Emps2019!payTot,$A5,Emps2019!S$24:OFFSET(Emps2019!S$24,ROWS(Emps2019!payDet)-1,0))</f>
        <v>9646.4500000000007</v>
      </c>
      <c r="T5" s="62"/>
    </row>
    <row r="6" spans="1:20" ht="12" customHeight="1" x14ac:dyDescent="0.25">
      <c r="A6" s="131"/>
      <c r="B6" s="132"/>
      <c r="C6" s="132" t="s">
        <v>14</v>
      </c>
      <c r="D6" s="235"/>
      <c r="E6" s="190">
        <f ca="1">SUBTOTAL(9,E3:E5)</f>
        <v>543.5</v>
      </c>
      <c r="F6" s="190">
        <f ca="1">SUBTOTAL(9,F3:F5)</f>
        <v>0</v>
      </c>
      <c r="G6" s="236"/>
      <c r="H6" s="190">
        <f t="shared" ref="H6:S6" ca="1" si="0">SUBTOTAL(9,H3:H5)</f>
        <v>296870</v>
      </c>
      <c r="I6" s="190">
        <f t="shared" ca="1" si="0"/>
        <v>14234.5</v>
      </c>
      <c r="J6" s="190">
        <f t="shared" ca="1" si="0"/>
        <v>284182.76</v>
      </c>
      <c r="K6" s="190">
        <f t="shared" ca="1" si="0"/>
        <v>2699.77</v>
      </c>
      <c r="L6" s="190">
        <f t="shared" ca="1" si="0"/>
        <v>18282.53</v>
      </c>
      <c r="M6" s="190">
        <f t="shared" ca="1" si="0"/>
        <v>24655.11</v>
      </c>
      <c r="N6" s="190">
        <f t="shared" ca="1" si="0"/>
        <v>0</v>
      </c>
      <c r="O6" s="190">
        <f t="shared" ca="1" si="0"/>
        <v>0</v>
      </c>
      <c r="P6" s="190">
        <f t="shared" ca="1" si="0"/>
        <v>238545.35</v>
      </c>
      <c r="Q6" s="190">
        <f t="shared" ca="1" si="0"/>
        <v>69346</v>
      </c>
      <c r="R6" s="190">
        <f t="shared" ca="1" si="0"/>
        <v>169199.34999999998</v>
      </c>
      <c r="S6" s="237">
        <f t="shared" ca="1" si="0"/>
        <v>20110.75</v>
      </c>
    </row>
    <row r="7" spans="1:20" ht="12" customHeight="1" outlineLevel="1" x14ac:dyDescent="0.25">
      <c r="A7" s="120">
        <v>4</v>
      </c>
      <c r="B7" s="231"/>
      <c r="C7" s="77" t="s">
        <v>15</v>
      </c>
      <c r="D7" s="238"/>
      <c r="E7" s="74">
        <f ca="1">SUMIF(Emps2019!payTot,$A7,Emps2019!E$24:OFFSET(Emps2019!E$24,ROWS(Emps2019!payDet)-1,0))</f>
        <v>138.5</v>
      </c>
      <c r="F7" s="74">
        <f ca="1">SUMIF(Emps2019!payTot,$A7,Emps2019!F$24:OFFSET(Emps2019!F$24,ROWS(Emps2019!payDet)-1,0))</f>
        <v>0</v>
      </c>
      <c r="G7" s="74"/>
      <c r="H7" s="74">
        <f ca="1">SUMIF(Emps2019!payTot,$A7,Emps2019!H$24:OFFSET(Emps2019!H$24,ROWS(Emps2019!payDet)-1,0))</f>
        <v>78750</v>
      </c>
      <c r="I7" s="74">
        <f ca="1">SUMIF(Emps2019!payTot,$A7,Emps2019!I$24:OFFSET(Emps2019!I$24,ROWS(Emps2019!payDet)-1,0))</f>
        <v>3743.25</v>
      </c>
      <c r="J7" s="74">
        <f ca="1">SUMIF(Emps2019!payTot,$A7,Emps2019!J$24:OFFSET(Emps2019!J$24,ROWS(Emps2019!payDet)-1,0))</f>
        <v>75362.5</v>
      </c>
      <c r="K7" s="74">
        <f ca="1">SUMIF(Emps2019!payTot,$A7,Emps2019!K$24:OFFSET(Emps2019!K$24,ROWS(Emps2019!payDet)-1,0))</f>
        <v>715.93999999999994</v>
      </c>
      <c r="L7" s="74">
        <f ca="1">SUMIF(Emps2019!payTot,$A7,Emps2019!L$24:OFFSET(Emps2019!L$24,ROWS(Emps2019!payDet)-1,0))</f>
        <v>5850.8600000000006</v>
      </c>
      <c r="M7" s="74">
        <f ca="1">SUMIF(Emps2019!payTot,$A7,Emps2019!M$24:OFFSET(Emps2019!M$24,ROWS(Emps2019!payDet)-1,0))</f>
        <v>6538.3</v>
      </c>
      <c r="N7" s="74">
        <f ca="1">SUMIF(Emps2019!payTot,$A7,Emps2019!N$24:OFFSET(Emps2019!N$24,ROWS(Emps2019!payDet)-1,0))</f>
        <v>0</v>
      </c>
      <c r="O7" s="74">
        <f ca="1">SUMIF(Emps2019!payTot,$A7,Emps2019!O$24:OFFSET(Emps2019!O$24,ROWS(Emps2019!payDet)-1,0))</f>
        <v>0</v>
      </c>
      <c r="P7" s="74">
        <f ca="1">SUMIF(Emps2019!payTot,$A7,Emps2019!P$24:OFFSET(Emps2019!P$24,ROWS(Emps2019!payDet)-1,0))</f>
        <v>62257.400000000009</v>
      </c>
      <c r="Q7" s="74">
        <f ca="1">SUMIF(Emps2019!payTot,$A7,Emps2019!Q$24:OFFSET(Emps2019!Q$24,ROWS(Emps2019!payDet)-1,0))</f>
        <v>17263</v>
      </c>
      <c r="R7" s="74">
        <f ca="1">SUMIF(Emps2019!payTot,$A7,Emps2019!R$24:OFFSET(Emps2019!R$24,ROWS(Emps2019!payDet)-1,0))</f>
        <v>44994.400000000009</v>
      </c>
      <c r="S7" s="74">
        <f ca="1">SUMIF(Emps2019!payTot,$A7,Emps2019!S$24:OFFSET(Emps2019!S$24,ROWS(Emps2019!payDet)-1,0))</f>
        <v>6435.94</v>
      </c>
    </row>
    <row r="8" spans="1:20" ht="12" customHeight="1" outlineLevel="1" x14ac:dyDescent="0.25">
      <c r="A8" s="120">
        <v>5</v>
      </c>
      <c r="B8" s="231"/>
      <c r="C8" s="77" t="s">
        <v>16</v>
      </c>
      <c r="D8" s="238"/>
      <c r="E8" s="396">
        <f ca="1">SUMIF(Emps2019!payTot,$A8,Emps2019!E$24:OFFSET(Emps2019!E$24,ROWS(Emps2019!payDet)-1,0))</f>
        <v>0</v>
      </c>
      <c r="F8" s="396">
        <f ca="1">SUMIF(Emps2019!payTot,$A8,Emps2019!F$24:OFFSET(Emps2019!F$24,ROWS(Emps2019!payDet)-1,0))</f>
        <v>0</v>
      </c>
      <c r="G8" s="396"/>
      <c r="H8" s="396">
        <f ca="1">SUMIF(Emps2019!payTot,$A8,Emps2019!H$24:OFFSET(Emps2019!H$24,ROWS(Emps2019!payDet)-1,0))</f>
        <v>0</v>
      </c>
      <c r="I8" s="396">
        <f ca="1">SUMIF(Emps2019!payTot,$A8,Emps2019!I$24:OFFSET(Emps2019!I$24,ROWS(Emps2019!payDet)-1,0))</f>
        <v>0</v>
      </c>
      <c r="J8" s="396">
        <f ca="1">SUMIF(Emps2019!payTot,$A8,Emps2019!J$24:OFFSET(Emps2019!J$24,ROWS(Emps2019!payDet)-1,0))</f>
        <v>0</v>
      </c>
      <c r="K8" s="396">
        <f ca="1">SUMIF(Emps2019!payTot,$A8,Emps2019!K$24:OFFSET(Emps2019!K$24,ROWS(Emps2019!payDet)-1,0))</f>
        <v>0</v>
      </c>
      <c r="L8" s="396">
        <f ca="1">SUMIF(Emps2019!payTot,$A8,Emps2019!L$24:OFFSET(Emps2019!L$24,ROWS(Emps2019!payDet)-1,0))</f>
        <v>0</v>
      </c>
      <c r="M8" s="396">
        <f ca="1">SUMIF(Emps2019!payTot,$A8,Emps2019!M$24:OFFSET(Emps2019!M$24,ROWS(Emps2019!payDet)-1,0))</f>
        <v>0</v>
      </c>
      <c r="N8" s="396">
        <f ca="1">SUMIF(Emps2019!payTot,$A8,Emps2019!N$24:OFFSET(Emps2019!N$24,ROWS(Emps2019!payDet)-1,0))</f>
        <v>0</v>
      </c>
      <c r="O8" s="396">
        <f ca="1">SUMIF(Emps2019!payTot,$A8,Emps2019!O$24:OFFSET(Emps2019!O$24,ROWS(Emps2019!payDet)-1,0))</f>
        <v>0</v>
      </c>
      <c r="P8" s="396">
        <f ca="1">SUMIF(Emps2019!payTot,$A8,Emps2019!P$24:OFFSET(Emps2019!P$24,ROWS(Emps2019!payDet)-1,0))</f>
        <v>0</v>
      </c>
      <c r="Q8" s="396">
        <f ca="1">SUMIF(Emps2019!payTot,$A8,Emps2019!Q$24:OFFSET(Emps2019!Q$24,ROWS(Emps2019!payDet)-1,0))</f>
        <v>0</v>
      </c>
      <c r="R8" s="396">
        <f ca="1">SUMIF(Emps2019!payTot,$A8,Emps2019!R$24:OFFSET(Emps2019!R$24,ROWS(Emps2019!payDet)-1,0))</f>
        <v>0</v>
      </c>
      <c r="S8" s="396">
        <f ca="1">SUMIF(Emps2019!payTot,$A8,Emps2019!S$24:OFFSET(Emps2019!S$24,ROWS(Emps2019!payDet)-1,0))</f>
        <v>0</v>
      </c>
    </row>
    <row r="9" spans="1:20" ht="12" customHeight="1" outlineLevel="1" x14ac:dyDescent="0.25">
      <c r="A9" s="120">
        <v>6</v>
      </c>
      <c r="B9" s="231"/>
      <c r="C9" s="77" t="s">
        <v>17</v>
      </c>
      <c r="D9" s="238"/>
      <c r="E9" s="78">
        <f ca="1">SUMIF(Emps2019!payTot,$A9,Emps2019!E$24:OFFSET(Emps2019!E$24,ROWS(Emps2019!payDet)-1,0))</f>
        <v>0</v>
      </c>
      <c r="F9" s="78">
        <f ca="1">SUMIF(Emps2019!payTot,$A9,Emps2019!F$24:OFFSET(Emps2019!F$24,ROWS(Emps2019!payDet)-1,0))</f>
        <v>0</v>
      </c>
      <c r="G9" s="78"/>
      <c r="H9" s="78">
        <f ca="1">SUMIF(Emps2019!payTot,$A9,Emps2019!H$24:OFFSET(Emps2019!H$24,ROWS(Emps2019!payDet)-1,0))</f>
        <v>0</v>
      </c>
      <c r="I9" s="78">
        <f ca="1">SUMIF(Emps2019!payTot,$A9,Emps2019!I$24:OFFSET(Emps2019!I$24,ROWS(Emps2019!payDet)-1,0))</f>
        <v>0</v>
      </c>
      <c r="J9" s="78">
        <f ca="1">SUMIF(Emps2019!payTot,$A9,Emps2019!J$24:OFFSET(Emps2019!J$24,ROWS(Emps2019!payDet)-1,0))</f>
        <v>0</v>
      </c>
      <c r="K9" s="78">
        <f ca="1">SUMIF(Emps2019!payTot,$A9,Emps2019!K$24:OFFSET(Emps2019!K$24,ROWS(Emps2019!payDet)-1,0))</f>
        <v>0</v>
      </c>
      <c r="L9" s="78">
        <f ca="1">SUMIF(Emps2019!payTot,$A9,Emps2019!L$24:OFFSET(Emps2019!L$24,ROWS(Emps2019!payDet)-1,0))</f>
        <v>0</v>
      </c>
      <c r="M9" s="78">
        <f ca="1">SUMIF(Emps2019!payTot,$A9,Emps2019!M$24:OFFSET(Emps2019!M$24,ROWS(Emps2019!payDet)-1,0))</f>
        <v>0</v>
      </c>
      <c r="N9" s="78">
        <f ca="1">SUMIF(Emps2019!payTot,$A9,Emps2019!N$24:OFFSET(Emps2019!N$24,ROWS(Emps2019!payDet)-1,0))</f>
        <v>0</v>
      </c>
      <c r="O9" s="78">
        <f ca="1">SUMIF(Emps2019!payTot,$A9,Emps2019!O$24:OFFSET(Emps2019!O$24,ROWS(Emps2019!payDet)-1,0))</f>
        <v>0</v>
      </c>
      <c r="P9" s="78">
        <f ca="1">SUMIF(Emps2019!payTot,$A9,Emps2019!P$24:OFFSET(Emps2019!P$24,ROWS(Emps2019!payDet)-1,0))</f>
        <v>0</v>
      </c>
      <c r="Q9" s="78">
        <f ca="1">SUMIF(Emps2019!payTot,$A9,Emps2019!Q$24:OFFSET(Emps2019!Q$24,ROWS(Emps2019!payDet)-1,0))</f>
        <v>0</v>
      </c>
      <c r="R9" s="78">
        <f ca="1">SUMIF(Emps2019!payTot,$A9,Emps2019!R$24:OFFSET(Emps2019!R$24,ROWS(Emps2019!payDet)-1,0))</f>
        <v>0</v>
      </c>
      <c r="S9" s="78">
        <f ca="1">SUMIF(Emps2019!payTot,$A9,Emps2019!S$24:OFFSET(Emps2019!S$24,ROWS(Emps2019!payDet)-1,0))</f>
        <v>0</v>
      </c>
    </row>
    <row r="10" spans="1:20" ht="12" customHeight="1" x14ac:dyDescent="0.25">
      <c r="A10" s="131"/>
      <c r="B10" s="132"/>
      <c r="C10" s="132" t="s">
        <v>18</v>
      </c>
      <c r="D10" s="235"/>
      <c r="E10" s="132">
        <f ca="1">SUBTOTAL(9,E7:E9)</f>
        <v>138.5</v>
      </c>
      <c r="F10" s="132">
        <f ca="1">SUBTOTAL(9,F7:F9)</f>
        <v>0</v>
      </c>
      <c r="G10" s="235"/>
      <c r="H10" s="190">
        <f t="shared" ref="H10:S10" ca="1" si="1">SUBTOTAL(9,H7:H9)</f>
        <v>78750</v>
      </c>
      <c r="I10" s="190">
        <f t="shared" ca="1" si="1"/>
        <v>3743.25</v>
      </c>
      <c r="J10" s="190">
        <f t="shared" ca="1" si="1"/>
        <v>75362.5</v>
      </c>
      <c r="K10" s="190">
        <f t="shared" ca="1" si="1"/>
        <v>715.93999999999994</v>
      </c>
      <c r="L10" s="190">
        <f t="shared" ca="1" si="1"/>
        <v>5850.8600000000006</v>
      </c>
      <c r="M10" s="190">
        <f t="shared" ca="1" si="1"/>
        <v>6538.3</v>
      </c>
      <c r="N10" s="190">
        <f t="shared" ca="1" si="1"/>
        <v>0</v>
      </c>
      <c r="O10" s="190">
        <f t="shared" ca="1" si="1"/>
        <v>0</v>
      </c>
      <c r="P10" s="190">
        <f t="shared" ca="1" si="1"/>
        <v>62257.400000000009</v>
      </c>
      <c r="Q10" s="190">
        <f t="shared" ca="1" si="1"/>
        <v>17263</v>
      </c>
      <c r="R10" s="190">
        <f t="shared" ca="1" si="1"/>
        <v>44994.400000000009</v>
      </c>
      <c r="S10" s="237">
        <f t="shared" ca="1" si="1"/>
        <v>6435.94</v>
      </c>
    </row>
    <row r="11" spans="1:20" ht="12" customHeight="1" outlineLevel="1" x14ac:dyDescent="0.25">
      <c r="A11" s="120">
        <v>7</v>
      </c>
      <c r="B11" s="231"/>
      <c r="C11" s="77" t="s">
        <v>19</v>
      </c>
      <c r="D11" s="238"/>
      <c r="E11" s="74">
        <f ca="1">SUMIF(Emps2019!payTot,$A11,Emps2019!E$24:OFFSET(Emps2019!E$24,ROWS(Emps2019!payDet)-1,0))</f>
        <v>0</v>
      </c>
      <c r="F11" s="74">
        <f ca="1">SUMIF(Emps2019!payTot,$A11,Emps2019!F$24:OFFSET(Emps2019!F$24,ROWS(Emps2019!payDet)-1,0))</f>
        <v>0</v>
      </c>
      <c r="G11" s="74"/>
      <c r="H11" s="74">
        <f ca="1">SUMIF(Emps2019!payTot,$A11,Emps2019!H$24:OFFSET(Emps2019!H$24,ROWS(Emps2019!payDet)-1,0))</f>
        <v>0</v>
      </c>
      <c r="I11" s="74">
        <f ca="1">SUMIF(Emps2019!payTot,$A11,Emps2019!I$24:OFFSET(Emps2019!I$24,ROWS(Emps2019!payDet)-1,0))</f>
        <v>0</v>
      </c>
      <c r="J11" s="74">
        <f ca="1">SUMIF(Emps2019!payTot,$A11,Emps2019!J$24:OFFSET(Emps2019!J$24,ROWS(Emps2019!payDet)-1,0))</f>
        <v>0</v>
      </c>
      <c r="K11" s="74">
        <f ca="1">SUMIF(Emps2019!payTot,$A11,Emps2019!K$24:OFFSET(Emps2019!K$24,ROWS(Emps2019!payDet)-1,0))</f>
        <v>0</v>
      </c>
      <c r="L11" s="74">
        <f ca="1">SUMIF(Emps2019!payTot,$A11,Emps2019!L$24:OFFSET(Emps2019!L$24,ROWS(Emps2019!payDet)-1,0))</f>
        <v>0</v>
      </c>
      <c r="M11" s="74">
        <f ca="1">SUMIF(Emps2019!payTot,$A11,Emps2019!M$24:OFFSET(Emps2019!M$24,ROWS(Emps2019!payDet)-1,0))</f>
        <v>0</v>
      </c>
      <c r="N11" s="74">
        <f ca="1">SUMIF(Emps2019!payTot,$A11,Emps2019!N$24:OFFSET(Emps2019!N$24,ROWS(Emps2019!payDet)-1,0))</f>
        <v>0</v>
      </c>
      <c r="O11" s="74">
        <f ca="1">SUMIF(Emps2019!payTot,$A11,Emps2019!O$24:OFFSET(Emps2019!O$24,ROWS(Emps2019!payDet)-1,0))</f>
        <v>0</v>
      </c>
      <c r="P11" s="74">
        <f ca="1">SUMIF(Emps2019!payTot,$A11,Emps2019!P$24:OFFSET(Emps2019!P$24,ROWS(Emps2019!payDet)-1,0))</f>
        <v>0</v>
      </c>
      <c r="Q11" s="74">
        <f ca="1">SUMIF(Emps2019!payTot,$A11,Emps2019!Q$24:OFFSET(Emps2019!Q$24,ROWS(Emps2019!payDet)-1,0))</f>
        <v>0</v>
      </c>
      <c r="R11" s="74">
        <f ca="1">SUMIF(Emps2019!payTot,$A11,Emps2019!R$24:OFFSET(Emps2019!R$24,ROWS(Emps2019!payDet)-1,0))</f>
        <v>0</v>
      </c>
      <c r="S11" s="74">
        <f ca="1">SUMIF(Emps2019!payTot,$A11,Emps2019!S$24:OFFSET(Emps2019!S$24,ROWS(Emps2019!payDet)-1,0))</f>
        <v>0</v>
      </c>
    </row>
    <row r="12" spans="1:20" ht="12" customHeight="1" outlineLevel="1" x14ac:dyDescent="0.25">
      <c r="A12" s="120">
        <v>8</v>
      </c>
      <c r="B12" s="231"/>
      <c r="C12" s="77" t="s">
        <v>20</v>
      </c>
      <c r="D12" s="238"/>
      <c r="E12" s="396">
        <f ca="1">SUMIF(Emps2019!payTot,$A12,Emps2019!E$24:OFFSET(Emps2019!E$24,ROWS(Emps2019!payDet)-1,0))</f>
        <v>0</v>
      </c>
      <c r="F12" s="396">
        <f ca="1">SUMIF(Emps2019!payTot,$A12,Emps2019!F$24:OFFSET(Emps2019!F$24,ROWS(Emps2019!payDet)-1,0))</f>
        <v>0</v>
      </c>
      <c r="G12" s="396"/>
      <c r="H12" s="396">
        <f ca="1">SUMIF(Emps2019!payTot,$A12,Emps2019!H$24:OFFSET(Emps2019!H$24,ROWS(Emps2019!payDet)-1,0))</f>
        <v>0</v>
      </c>
      <c r="I12" s="396">
        <f ca="1">SUMIF(Emps2019!payTot,$A12,Emps2019!I$24:OFFSET(Emps2019!I$24,ROWS(Emps2019!payDet)-1,0))</f>
        <v>0</v>
      </c>
      <c r="J12" s="396">
        <f ca="1">SUMIF(Emps2019!payTot,$A12,Emps2019!J$24:OFFSET(Emps2019!J$24,ROWS(Emps2019!payDet)-1,0))</f>
        <v>0</v>
      </c>
      <c r="K12" s="396">
        <f ca="1">SUMIF(Emps2019!payTot,$A12,Emps2019!K$24:OFFSET(Emps2019!K$24,ROWS(Emps2019!payDet)-1,0))</f>
        <v>0</v>
      </c>
      <c r="L12" s="396">
        <f ca="1">SUMIF(Emps2019!payTot,$A12,Emps2019!L$24:OFFSET(Emps2019!L$24,ROWS(Emps2019!payDet)-1,0))</f>
        <v>0</v>
      </c>
      <c r="M12" s="396">
        <f ca="1">SUMIF(Emps2019!payTot,$A12,Emps2019!M$24:OFFSET(Emps2019!M$24,ROWS(Emps2019!payDet)-1,0))</f>
        <v>0</v>
      </c>
      <c r="N12" s="396">
        <f ca="1">SUMIF(Emps2019!payTot,$A12,Emps2019!N$24:OFFSET(Emps2019!N$24,ROWS(Emps2019!payDet)-1,0))</f>
        <v>0</v>
      </c>
      <c r="O12" s="396">
        <f ca="1">SUMIF(Emps2019!payTot,$A12,Emps2019!O$24:OFFSET(Emps2019!O$24,ROWS(Emps2019!payDet)-1,0))</f>
        <v>0</v>
      </c>
      <c r="P12" s="396">
        <f ca="1">SUMIF(Emps2019!payTot,$A12,Emps2019!P$24:OFFSET(Emps2019!P$24,ROWS(Emps2019!payDet)-1,0))</f>
        <v>0</v>
      </c>
      <c r="Q12" s="396">
        <f ca="1">SUMIF(Emps2019!payTot,$A12,Emps2019!Q$24:OFFSET(Emps2019!Q$24,ROWS(Emps2019!payDet)-1,0))</f>
        <v>0</v>
      </c>
      <c r="R12" s="396">
        <f ca="1">SUMIF(Emps2019!payTot,$A12,Emps2019!R$24:OFFSET(Emps2019!R$24,ROWS(Emps2019!payDet)-1,0))</f>
        <v>0</v>
      </c>
      <c r="S12" s="396">
        <f ca="1">SUMIF(Emps2019!payTot,$A12,Emps2019!S$24:OFFSET(Emps2019!S$24,ROWS(Emps2019!payDet)-1,0))</f>
        <v>0</v>
      </c>
    </row>
    <row r="13" spans="1:20" ht="12" customHeight="1" outlineLevel="1" x14ac:dyDescent="0.25">
      <c r="A13" s="120">
        <v>9</v>
      </c>
      <c r="B13" s="231"/>
      <c r="C13" s="77" t="s">
        <v>21</v>
      </c>
      <c r="D13" s="238"/>
      <c r="E13" s="78">
        <f ca="1">SUMIF(Emps2019!payTot,$A13,Emps2019!E$24:OFFSET(Emps2019!E$24,ROWS(Emps2019!payDet)-1,0))</f>
        <v>0</v>
      </c>
      <c r="F13" s="78">
        <f ca="1">SUMIF(Emps2019!payTot,$A13,Emps2019!F$24:OFFSET(Emps2019!F$24,ROWS(Emps2019!payDet)-1,0))</f>
        <v>0</v>
      </c>
      <c r="G13" s="78"/>
      <c r="H13" s="78">
        <f ca="1">SUMIF(Emps2019!payTot,$A13,Emps2019!H$24:OFFSET(Emps2019!H$24,ROWS(Emps2019!payDet)-1,0))</f>
        <v>0</v>
      </c>
      <c r="I13" s="78">
        <f ca="1">SUMIF(Emps2019!payTot,$A13,Emps2019!I$24:OFFSET(Emps2019!I$24,ROWS(Emps2019!payDet)-1,0))</f>
        <v>0</v>
      </c>
      <c r="J13" s="78">
        <f ca="1">SUMIF(Emps2019!payTot,$A13,Emps2019!J$24:OFFSET(Emps2019!J$24,ROWS(Emps2019!payDet)-1,0))</f>
        <v>0</v>
      </c>
      <c r="K13" s="78">
        <f ca="1">SUMIF(Emps2019!payTot,$A13,Emps2019!K$24:OFFSET(Emps2019!K$24,ROWS(Emps2019!payDet)-1,0))</f>
        <v>0</v>
      </c>
      <c r="L13" s="78">
        <f ca="1">SUMIF(Emps2019!payTot,$A13,Emps2019!L$24:OFFSET(Emps2019!L$24,ROWS(Emps2019!payDet)-1,0))</f>
        <v>0</v>
      </c>
      <c r="M13" s="78">
        <f ca="1">SUMIF(Emps2019!payTot,$A13,Emps2019!M$24:OFFSET(Emps2019!M$24,ROWS(Emps2019!payDet)-1,0))</f>
        <v>0</v>
      </c>
      <c r="N13" s="78">
        <f ca="1">SUMIF(Emps2019!payTot,$A13,Emps2019!N$24:OFFSET(Emps2019!N$24,ROWS(Emps2019!payDet)-1,0))</f>
        <v>0</v>
      </c>
      <c r="O13" s="78">
        <f ca="1">SUMIF(Emps2019!payTot,$A13,Emps2019!O$24:OFFSET(Emps2019!O$24,ROWS(Emps2019!payDet)-1,0))</f>
        <v>0</v>
      </c>
      <c r="P13" s="78">
        <f ca="1">SUMIF(Emps2019!payTot,$A13,Emps2019!P$24:OFFSET(Emps2019!P$24,ROWS(Emps2019!payDet)-1,0))</f>
        <v>0</v>
      </c>
      <c r="Q13" s="78">
        <f ca="1">SUMIF(Emps2019!payTot,$A13,Emps2019!Q$24:OFFSET(Emps2019!Q$24,ROWS(Emps2019!payDet)-1,0))</f>
        <v>0</v>
      </c>
      <c r="R13" s="78">
        <f ca="1">SUMIF(Emps2019!payTot,$A13,Emps2019!R$24:OFFSET(Emps2019!R$24,ROWS(Emps2019!payDet)-1,0))</f>
        <v>0</v>
      </c>
      <c r="S13" s="78">
        <f ca="1">SUMIF(Emps2019!payTot,$A13,Emps2019!S$24:OFFSET(Emps2019!S$24,ROWS(Emps2019!payDet)-1,0))</f>
        <v>0</v>
      </c>
    </row>
    <row r="14" spans="1:20" ht="12" customHeight="1" x14ac:dyDescent="0.25">
      <c r="A14" s="131"/>
      <c r="B14" s="132"/>
      <c r="C14" s="132" t="s">
        <v>22</v>
      </c>
      <c r="D14" s="235"/>
      <c r="E14" s="190">
        <f ca="1">SUBTOTAL(9,E11:E13)</f>
        <v>0</v>
      </c>
      <c r="F14" s="190">
        <f ca="1">SUBTOTAL(9,F11:F13)</f>
        <v>0</v>
      </c>
      <c r="G14" s="236"/>
      <c r="H14" s="190">
        <f t="shared" ref="H14:S14" ca="1" si="2">SUBTOTAL(9,H11:H13)</f>
        <v>0</v>
      </c>
      <c r="I14" s="190">
        <f t="shared" ca="1" si="2"/>
        <v>0</v>
      </c>
      <c r="J14" s="190">
        <f t="shared" ca="1" si="2"/>
        <v>0</v>
      </c>
      <c r="K14" s="190">
        <f t="shared" ca="1" si="2"/>
        <v>0</v>
      </c>
      <c r="L14" s="190">
        <f t="shared" ca="1" si="2"/>
        <v>0</v>
      </c>
      <c r="M14" s="190">
        <f t="shared" ca="1" si="2"/>
        <v>0</v>
      </c>
      <c r="N14" s="190">
        <f t="shared" ca="1" si="2"/>
        <v>0</v>
      </c>
      <c r="O14" s="190">
        <f t="shared" ca="1" si="2"/>
        <v>0</v>
      </c>
      <c r="P14" s="190">
        <f t="shared" ca="1" si="2"/>
        <v>0</v>
      </c>
      <c r="Q14" s="190">
        <f t="shared" ca="1" si="2"/>
        <v>0</v>
      </c>
      <c r="R14" s="190">
        <f t="shared" ca="1" si="2"/>
        <v>0</v>
      </c>
      <c r="S14" s="237">
        <f t="shared" ca="1" si="2"/>
        <v>0</v>
      </c>
    </row>
    <row r="15" spans="1:20" ht="12" customHeight="1" outlineLevel="1" x14ac:dyDescent="0.25">
      <c r="A15" s="120">
        <v>10</v>
      </c>
      <c r="B15" s="231"/>
      <c r="C15" s="77" t="s">
        <v>23</v>
      </c>
      <c r="D15" s="238"/>
      <c r="E15" s="74">
        <f ca="1">SUMIF(Emps2019!payTot,$A15,Emps2019!E$24:OFFSET(Emps2019!E$24,ROWS(Emps2019!payDet)-1,0))</f>
        <v>0</v>
      </c>
      <c r="F15" s="74">
        <f ca="1">SUMIF(Emps2019!payTot,$A15,Emps2019!F$24:OFFSET(Emps2019!F$24,ROWS(Emps2019!payDet)-1,0))</f>
        <v>0</v>
      </c>
      <c r="G15" s="74"/>
      <c r="H15" s="74">
        <f ca="1">SUMIF(Emps2019!payTot,$A15,Emps2019!H$24:OFFSET(Emps2019!H$24,ROWS(Emps2019!payDet)-1,0))</f>
        <v>0</v>
      </c>
      <c r="I15" s="74">
        <f ca="1">SUMIF(Emps2019!payTot,$A15,Emps2019!I$24:OFFSET(Emps2019!I$24,ROWS(Emps2019!payDet)-1,0))</f>
        <v>0</v>
      </c>
      <c r="J15" s="74">
        <f ca="1">SUMIF(Emps2019!payTot,$A15,Emps2019!J$24:OFFSET(Emps2019!J$24,ROWS(Emps2019!payDet)-1,0))</f>
        <v>0</v>
      </c>
      <c r="K15" s="74">
        <f ca="1">SUMIF(Emps2019!payTot,$A15,Emps2019!K$24:OFFSET(Emps2019!K$24,ROWS(Emps2019!payDet)-1,0))</f>
        <v>0</v>
      </c>
      <c r="L15" s="74">
        <f ca="1">SUMIF(Emps2019!payTot,$A15,Emps2019!L$24:OFFSET(Emps2019!L$24,ROWS(Emps2019!payDet)-1,0))</f>
        <v>0</v>
      </c>
      <c r="M15" s="74">
        <f ca="1">SUMIF(Emps2019!payTot,$A15,Emps2019!M$24:OFFSET(Emps2019!M$24,ROWS(Emps2019!payDet)-1,0))</f>
        <v>0</v>
      </c>
      <c r="N15" s="74">
        <f ca="1">SUMIF(Emps2019!payTot,$A15,Emps2019!N$24:OFFSET(Emps2019!N$24,ROWS(Emps2019!payDet)-1,0))</f>
        <v>0</v>
      </c>
      <c r="O15" s="74">
        <f ca="1">SUMIF(Emps2019!payTot,$A15,Emps2019!O$24:OFFSET(Emps2019!O$24,ROWS(Emps2019!payDet)-1,0))</f>
        <v>0</v>
      </c>
      <c r="P15" s="74">
        <f ca="1">SUMIF(Emps2019!payTot,$A15,Emps2019!P$24:OFFSET(Emps2019!P$24,ROWS(Emps2019!payDet)-1,0))</f>
        <v>0</v>
      </c>
      <c r="Q15" s="74">
        <f ca="1">SUMIF(Emps2019!payTot,$A15,Emps2019!Q$24:OFFSET(Emps2019!Q$24,ROWS(Emps2019!payDet)-1,0))</f>
        <v>0</v>
      </c>
      <c r="R15" s="74">
        <f ca="1">SUMIF(Emps2019!payTot,$A15,Emps2019!R$24:OFFSET(Emps2019!R$24,ROWS(Emps2019!payDet)-1,0))</f>
        <v>0</v>
      </c>
      <c r="S15" s="74">
        <f ca="1">SUMIF(Emps2019!payTot,$A15,Emps2019!S$24:OFFSET(Emps2019!S$24,ROWS(Emps2019!payDet)-1,0))</f>
        <v>0</v>
      </c>
    </row>
    <row r="16" spans="1:20" ht="12" customHeight="1" outlineLevel="1" x14ac:dyDescent="0.25">
      <c r="A16" s="120">
        <v>11</v>
      </c>
      <c r="B16" s="231"/>
      <c r="C16" s="77" t="s">
        <v>24</v>
      </c>
      <c r="D16" s="238"/>
      <c r="E16" s="396">
        <f ca="1">SUMIF(Emps2019!payTot,$A16,Emps2019!E$24:OFFSET(Emps2019!E$24,ROWS(Emps2019!payDet)-1,0))</f>
        <v>0</v>
      </c>
      <c r="F16" s="396">
        <f ca="1">SUMIF(Emps2019!payTot,$A16,Emps2019!F$24:OFFSET(Emps2019!F$24,ROWS(Emps2019!payDet)-1,0))</f>
        <v>0</v>
      </c>
      <c r="G16" s="396"/>
      <c r="H16" s="396">
        <f ca="1">SUMIF(Emps2019!payTot,$A16,Emps2019!H$24:OFFSET(Emps2019!H$24,ROWS(Emps2019!payDet)-1,0))</f>
        <v>0</v>
      </c>
      <c r="I16" s="396">
        <f ca="1">SUMIF(Emps2019!payTot,$A16,Emps2019!I$24:OFFSET(Emps2019!I$24,ROWS(Emps2019!payDet)-1,0))</f>
        <v>0</v>
      </c>
      <c r="J16" s="396">
        <f ca="1">SUMIF(Emps2019!payTot,$A16,Emps2019!J$24:OFFSET(Emps2019!J$24,ROWS(Emps2019!payDet)-1,0))</f>
        <v>0</v>
      </c>
      <c r="K16" s="396">
        <f ca="1">SUMIF(Emps2019!payTot,$A16,Emps2019!K$24:OFFSET(Emps2019!K$24,ROWS(Emps2019!payDet)-1,0))</f>
        <v>0</v>
      </c>
      <c r="L16" s="396">
        <f ca="1">SUMIF(Emps2019!payTot,$A16,Emps2019!L$24:OFFSET(Emps2019!L$24,ROWS(Emps2019!payDet)-1,0))</f>
        <v>0</v>
      </c>
      <c r="M16" s="396">
        <f ca="1">SUMIF(Emps2019!payTot,$A16,Emps2019!M$24:OFFSET(Emps2019!M$24,ROWS(Emps2019!payDet)-1,0))</f>
        <v>0</v>
      </c>
      <c r="N16" s="396">
        <f ca="1">SUMIF(Emps2019!payTot,$A16,Emps2019!N$24:OFFSET(Emps2019!N$24,ROWS(Emps2019!payDet)-1,0))</f>
        <v>0</v>
      </c>
      <c r="O16" s="396">
        <f ca="1">SUMIF(Emps2019!payTot,$A16,Emps2019!O$24:OFFSET(Emps2019!O$24,ROWS(Emps2019!payDet)-1,0))</f>
        <v>0</v>
      </c>
      <c r="P16" s="396">
        <f ca="1">SUMIF(Emps2019!payTot,$A16,Emps2019!P$24:OFFSET(Emps2019!P$24,ROWS(Emps2019!payDet)-1,0))</f>
        <v>0</v>
      </c>
      <c r="Q16" s="396">
        <f ca="1">SUMIF(Emps2019!payTot,$A16,Emps2019!Q$24:OFFSET(Emps2019!Q$24,ROWS(Emps2019!payDet)-1,0))</f>
        <v>0</v>
      </c>
      <c r="R16" s="396">
        <f ca="1">SUMIF(Emps2019!payTot,$A16,Emps2019!R$24:OFFSET(Emps2019!R$24,ROWS(Emps2019!payDet)-1,0))</f>
        <v>0</v>
      </c>
      <c r="S16" s="396">
        <f ca="1">SUMIF(Emps2019!payTot,$A16,Emps2019!S$24:OFFSET(Emps2019!S$24,ROWS(Emps2019!payDet)-1,0))</f>
        <v>0</v>
      </c>
    </row>
    <row r="17" spans="1:19" ht="12" customHeight="1" outlineLevel="1" x14ac:dyDescent="0.25">
      <c r="A17" s="120">
        <v>12</v>
      </c>
      <c r="B17" s="231"/>
      <c r="C17" s="77" t="s">
        <v>25</v>
      </c>
      <c r="D17" s="238"/>
      <c r="E17" s="78">
        <f ca="1">SUMIF(Emps2019!payTot,$A17,Emps2019!E$24:OFFSET(Emps2019!E$24,ROWS(Emps2019!payDet)-1,0))</f>
        <v>0</v>
      </c>
      <c r="F17" s="78">
        <f ca="1">SUMIF(Emps2019!payTot,$A17,Emps2019!F$24:OFFSET(Emps2019!F$24,ROWS(Emps2019!payDet)-1,0))</f>
        <v>0</v>
      </c>
      <c r="G17" s="78"/>
      <c r="H17" s="78">
        <f ca="1">SUMIF(Emps2019!payTot,$A17,Emps2019!H$24:OFFSET(Emps2019!H$24,ROWS(Emps2019!payDet)-1,0))</f>
        <v>0</v>
      </c>
      <c r="I17" s="78">
        <f ca="1">SUMIF(Emps2019!payTot,$A17,Emps2019!I$24:OFFSET(Emps2019!I$24,ROWS(Emps2019!payDet)-1,0))</f>
        <v>0</v>
      </c>
      <c r="J17" s="78">
        <f ca="1">SUMIF(Emps2019!payTot,$A17,Emps2019!J$24:OFFSET(Emps2019!J$24,ROWS(Emps2019!payDet)-1,0))</f>
        <v>0</v>
      </c>
      <c r="K17" s="78">
        <f ca="1">SUMIF(Emps2019!payTot,$A17,Emps2019!K$24:OFFSET(Emps2019!K$24,ROWS(Emps2019!payDet)-1,0))</f>
        <v>0</v>
      </c>
      <c r="L17" s="78">
        <f ca="1">SUMIF(Emps2019!payTot,$A17,Emps2019!L$24:OFFSET(Emps2019!L$24,ROWS(Emps2019!payDet)-1,0))</f>
        <v>0</v>
      </c>
      <c r="M17" s="78">
        <f ca="1">SUMIF(Emps2019!payTot,$A17,Emps2019!M$24:OFFSET(Emps2019!M$24,ROWS(Emps2019!payDet)-1,0))</f>
        <v>0</v>
      </c>
      <c r="N17" s="78">
        <f ca="1">SUMIF(Emps2019!payTot,$A17,Emps2019!N$24:OFFSET(Emps2019!N$24,ROWS(Emps2019!payDet)-1,0))</f>
        <v>0</v>
      </c>
      <c r="O17" s="78">
        <f ca="1">SUMIF(Emps2019!payTot,$A17,Emps2019!O$24:OFFSET(Emps2019!O$24,ROWS(Emps2019!payDet)-1,0))</f>
        <v>0</v>
      </c>
      <c r="P17" s="78">
        <f ca="1">SUMIF(Emps2019!payTot,$A17,Emps2019!P$24:OFFSET(Emps2019!P$24,ROWS(Emps2019!payDet)-1,0))</f>
        <v>0</v>
      </c>
      <c r="Q17" s="78">
        <f ca="1">SUMIF(Emps2019!payTot,$A17,Emps2019!Q$24:OFFSET(Emps2019!Q$24,ROWS(Emps2019!payDet)-1,0))</f>
        <v>0</v>
      </c>
      <c r="R17" s="78">
        <f ca="1">SUMIF(Emps2019!payTot,$A17,Emps2019!R$24:OFFSET(Emps2019!R$24,ROWS(Emps2019!payDet)-1,0))</f>
        <v>0</v>
      </c>
      <c r="S17" s="78">
        <f ca="1">SUMIF(Emps2019!payTot,$A17,Emps2019!S$24:OFFSET(Emps2019!S$24,ROWS(Emps2019!payDet)-1,0))</f>
        <v>0</v>
      </c>
    </row>
    <row r="18" spans="1:19" ht="12" customHeight="1" x14ac:dyDescent="0.25">
      <c r="A18" s="239"/>
      <c r="B18" s="190"/>
      <c r="C18" s="132" t="s">
        <v>26</v>
      </c>
      <c r="D18" s="236"/>
      <c r="E18" s="190">
        <f ca="1">SUBTOTAL(9,E15:E17)</f>
        <v>0</v>
      </c>
      <c r="F18" s="190">
        <f ca="1">SUBTOTAL(9,F15:F17)</f>
        <v>0</v>
      </c>
      <c r="G18" s="236"/>
      <c r="H18" s="190">
        <f t="shared" ref="H18:S18" ca="1" si="3">SUBTOTAL(9,H15:H17)</f>
        <v>0</v>
      </c>
      <c r="I18" s="190">
        <f t="shared" ca="1" si="3"/>
        <v>0</v>
      </c>
      <c r="J18" s="190">
        <f t="shared" ca="1" si="3"/>
        <v>0</v>
      </c>
      <c r="K18" s="190">
        <f t="shared" ca="1" si="3"/>
        <v>0</v>
      </c>
      <c r="L18" s="190">
        <f t="shared" ca="1" si="3"/>
        <v>0</v>
      </c>
      <c r="M18" s="190">
        <f t="shared" ca="1" si="3"/>
        <v>0</v>
      </c>
      <c r="N18" s="190">
        <f t="shared" ca="1" si="3"/>
        <v>0</v>
      </c>
      <c r="O18" s="190">
        <f t="shared" ca="1" si="3"/>
        <v>0</v>
      </c>
      <c r="P18" s="190">
        <f t="shared" ca="1" si="3"/>
        <v>0</v>
      </c>
      <c r="Q18" s="190">
        <f t="shared" ca="1" si="3"/>
        <v>0</v>
      </c>
      <c r="R18" s="190">
        <f t="shared" ca="1" si="3"/>
        <v>0</v>
      </c>
      <c r="S18" s="237">
        <f t="shared" ca="1" si="3"/>
        <v>0</v>
      </c>
    </row>
    <row r="19" spans="1:19" ht="12" customHeight="1" x14ac:dyDescent="0.25">
      <c r="A19" s="240"/>
      <c r="B19" s="241"/>
      <c r="C19" s="241" t="s">
        <v>119</v>
      </c>
      <c r="D19" s="242"/>
      <c r="E19" s="241">
        <f ca="1">SUBTOTAL(9,E3:E18)</f>
        <v>682</v>
      </c>
      <c r="F19" s="241">
        <f ca="1">SUBTOTAL(9,F3:F18)</f>
        <v>0</v>
      </c>
      <c r="G19" s="242"/>
      <c r="H19" s="241">
        <f t="shared" ref="H19:S19" ca="1" si="4">SUBTOTAL(9,H3:H18)</f>
        <v>375620</v>
      </c>
      <c r="I19" s="241">
        <f t="shared" ca="1" si="4"/>
        <v>17977.75</v>
      </c>
      <c r="J19" s="241">
        <f t="shared" ca="1" si="4"/>
        <v>359545.26</v>
      </c>
      <c r="K19" s="241">
        <f t="shared" ca="1" si="4"/>
        <v>3415.71</v>
      </c>
      <c r="L19" s="241">
        <f t="shared" ca="1" si="4"/>
        <v>24133.39</v>
      </c>
      <c r="M19" s="241">
        <f t="shared" ca="1" si="4"/>
        <v>31193.41</v>
      </c>
      <c r="N19" s="241">
        <f t="shared" ca="1" si="4"/>
        <v>0</v>
      </c>
      <c r="O19" s="241">
        <f t="shared" ca="1" si="4"/>
        <v>0</v>
      </c>
      <c r="P19" s="241">
        <f t="shared" ca="1" si="4"/>
        <v>300802.75</v>
      </c>
      <c r="Q19" s="241">
        <f t="shared" ca="1" si="4"/>
        <v>86609</v>
      </c>
      <c r="R19" s="241">
        <f t="shared" ca="1" si="4"/>
        <v>214193.75</v>
      </c>
      <c r="S19" s="243">
        <f t="shared" ca="1" si="4"/>
        <v>26546.69</v>
      </c>
    </row>
    <row r="20" spans="1:19" x14ac:dyDescent="0.25">
      <c r="A20" t="s">
        <v>461</v>
      </c>
    </row>
  </sheetData>
  <conditionalFormatting sqref="B10:C10 B18:C19 B14:C14 B6:C6 E14:F14 E10:F10 E6:F6 E18:F19 H6:S6 H10:S10 H14:S14 H18:S19">
    <cfRule type="cellIs" dxfId="82" priority="2" operator="greaterThanOrEqual">
      <formula>0</formula>
    </cfRule>
    <cfRule type="cellIs" dxfId="81" priority="3" operator="lessThan">
      <formula>0</formula>
    </cfRule>
  </conditionalFormatting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 filterMode="1"/>
  <dimension ref="A1:AJ678"/>
  <sheetViews>
    <sheetView showZeros="0" zoomScale="75" zoomScaleNormal="75" workbookViewId="0">
      <selection activeCell="I296" sqref="I296"/>
    </sheetView>
  </sheetViews>
  <sheetFormatPr defaultRowHeight="13.2" outlineLevelRow="1" x14ac:dyDescent="0.25"/>
  <cols>
    <col min="1" max="1" width="7"/>
    <col min="2" max="2" width="9.5546875"/>
    <col min="3" max="4" width="13.44140625"/>
    <col min="5" max="5" width="10.5546875"/>
    <col min="6" max="6" width="9.5546875" style="88"/>
    <col min="7" max="7" width="2"/>
    <col min="8" max="8" width="14.5546875"/>
    <col min="9" max="9" width="13.44140625"/>
    <col min="10" max="10" width="14.5546875"/>
    <col min="11" max="11" width="13.44140625"/>
    <col min="12" max="12" width="13.5546875" customWidth="1"/>
    <col min="13" max="17" width="13.44140625"/>
    <col min="18" max="18" width="9.44140625" bestFit="1" customWidth="1"/>
    <col min="19" max="19" width="10.44140625" bestFit="1" customWidth="1"/>
    <col min="20" max="22" width="9.109375" customWidth="1"/>
    <col min="23" max="23" width="13.44140625" customWidth="1"/>
    <col min="24" max="26" width="11"/>
    <col min="27" max="27" width="14.5546875"/>
    <col min="28" max="35" width="11"/>
    <col min="36" max="37" width="34.44140625"/>
    <col min="38" max="1025" width="11"/>
  </cols>
  <sheetData>
    <row r="1" spans="1:28" ht="22.8" x14ac:dyDescent="0.4">
      <c r="A1" s="221" t="s">
        <v>462</v>
      </c>
      <c r="B1" s="219"/>
      <c r="C1" s="244" t="s">
        <v>657</v>
      </c>
      <c r="D1" s="220"/>
      <c r="E1" s="245" t="e">
        <f>VLOOKUP($C$1,payEmpNames,2)</f>
        <v>#NAME?</v>
      </c>
      <c r="F1" s="381"/>
      <c r="G1" s="219"/>
      <c r="H1" s="221"/>
      <c r="I1" s="66"/>
      <c r="J1" s="221" t="s">
        <v>463</v>
      </c>
      <c r="K1" s="66"/>
      <c r="L1" s="66"/>
      <c r="M1" s="66"/>
      <c r="N1" s="66"/>
      <c r="O1" s="66"/>
      <c r="P1" s="66"/>
      <c r="Q1" s="66"/>
      <c r="R1" s="66"/>
      <c r="S1" s="66"/>
      <c r="T1" s="66"/>
      <c r="V1" s="66"/>
      <c r="Y1" s="246"/>
      <c r="Z1" s="219"/>
      <c r="AA1" s="219"/>
      <c r="AB1" s="219"/>
    </row>
    <row r="2" spans="1:28" s="224" customFormat="1" ht="13.8" thickBot="1" x14ac:dyDescent="0.3">
      <c r="A2" s="222" t="s">
        <v>444</v>
      </c>
      <c r="B2" s="156" t="s">
        <v>445</v>
      </c>
      <c r="C2" s="223" t="s">
        <v>464</v>
      </c>
      <c r="D2" s="156" t="s">
        <v>446</v>
      </c>
      <c r="E2" s="156" t="s">
        <v>126</v>
      </c>
      <c r="F2" s="380" t="s">
        <v>445</v>
      </c>
      <c r="G2" s="156"/>
      <c r="H2" s="156" t="s">
        <v>448</v>
      </c>
      <c r="I2" s="156" t="s">
        <v>449</v>
      </c>
      <c r="J2" s="156" t="s">
        <v>450</v>
      </c>
      <c r="K2" s="156" t="s">
        <v>451</v>
      </c>
      <c r="L2" s="156" t="s">
        <v>452</v>
      </c>
      <c r="M2" s="156" t="s">
        <v>453</v>
      </c>
      <c r="N2" s="156" t="s">
        <v>454</v>
      </c>
      <c r="O2" s="156" t="s">
        <v>455</v>
      </c>
      <c r="P2" s="156" t="s">
        <v>456</v>
      </c>
      <c r="Q2" s="156" t="s">
        <v>457</v>
      </c>
      <c r="R2" s="156" t="s">
        <v>458</v>
      </c>
      <c r="S2" s="156" t="s">
        <v>459</v>
      </c>
      <c r="T2" s="156" t="s">
        <v>460</v>
      </c>
      <c r="V2" s="222" t="s">
        <v>465</v>
      </c>
      <c r="Y2" s="246" t="s">
        <v>466</v>
      </c>
      <c r="Z2" s="219" t="s">
        <v>467</v>
      </c>
      <c r="AA2" s="219"/>
      <c r="AB2" s="219" t="s">
        <v>468</v>
      </c>
    </row>
    <row r="3" spans="1:28" x14ac:dyDescent="0.25">
      <c r="A3" s="225">
        <v>1</v>
      </c>
      <c r="B3" s="226"/>
      <c r="C3" s="227"/>
      <c r="D3" s="228"/>
      <c r="E3" s="228" t="e">
        <f ca="1">SUMIF(payDet,$V3,E$23:OFFSET(E$23,ROWS(payDet)-1,0))</f>
        <v>#NAME?</v>
      </c>
      <c r="F3" s="375"/>
      <c r="G3" s="228"/>
      <c r="H3" s="228" t="e">
        <f ca="1">SUMIF(payDet,$V3,H$23:OFFSET(H$23,ROWS(payDet)-1,0))</f>
        <v>#NAME?</v>
      </c>
      <c r="I3" s="247" t="e">
        <f ca="1">SUMIF(payDet,$V3,I$23:OFFSET(I$23,ROWS(payDet)-1,0))</f>
        <v>#NAME?</v>
      </c>
      <c r="J3" s="248" t="e">
        <f ca="1">SUMIF(payDet,$V3,J$23:OFFSET(J$23,ROWS(payDet)-1,0))</f>
        <v>#NAME?</v>
      </c>
      <c r="K3" s="228" t="e">
        <f ca="1">SUMIF(payDet,$V3,K$23:OFFSET(K$23,ROWS(payDet)-1,0))</f>
        <v>#NAME?</v>
      </c>
      <c r="L3" s="228" t="e">
        <f ca="1">SUMIF(payDet,$V3,L$23:OFFSET(L$23,ROWS(payDet)-1,0))</f>
        <v>#NAME?</v>
      </c>
      <c r="M3" s="228" t="e">
        <f ca="1">SUMIF(payDet,$V3,M$23:OFFSET(M$23,ROWS(payDet)-1,0))</f>
        <v>#NAME?</v>
      </c>
      <c r="N3" s="228" t="e">
        <f ca="1">SUMIF(payDet,$V3,N$23:OFFSET(N$23,ROWS(payDet)-1,0))</f>
        <v>#NAME?</v>
      </c>
      <c r="O3" s="228" t="e">
        <f ca="1">SUMIF(payDet,$V3,O$23:OFFSET(O$23,ROWS(payDet)-1,0))</f>
        <v>#NAME?</v>
      </c>
      <c r="P3" s="228" t="e">
        <f ca="1">SUMIF(payDet,$V3,P$23:OFFSET(P$23,ROWS(payDet)-1,0))</f>
        <v>#NAME?</v>
      </c>
      <c r="Q3" s="228" t="e">
        <f ca="1">SUMIF(payDet,$V3,Q$23:OFFSET(Q$23,ROWS(payDet)-1,0))</f>
        <v>#NAME?</v>
      </c>
      <c r="R3" s="228" t="e">
        <f ca="1">SUMIF(payDet,$V3,R$23:OFFSET(R$23,ROWS(payDet)-1,0))</f>
        <v>#NAME?</v>
      </c>
      <c r="S3" s="228" t="e">
        <f ca="1">SUMIF(payDet,$V3,S$23:OFFSET(S$23,ROWS(payDet)-1,0))</f>
        <v>#NAME?</v>
      </c>
      <c r="T3" s="228" t="e">
        <f ca="1">SUMIF(payDet,$V3,T$23:OFFSET(T$23,ROWS(payDet)-1,0))</f>
        <v>#NAME?</v>
      </c>
      <c r="V3" s="225" t="e">
        <f>IF(ISBLANK(EmpID),A3,EmpID &amp;":"&amp; A3)</f>
        <v>#NAME?</v>
      </c>
      <c r="Y3" s="249" t="s">
        <v>469</v>
      </c>
      <c r="Z3" s="37" t="s">
        <v>470</v>
      </c>
      <c r="AA3" s="37"/>
      <c r="AB3" s="37"/>
    </row>
    <row r="4" spans="1:28" x14ac:dyDescent="0.25">
      <c r="A4" s="120">
        <v>2</v>
      </c>
      <c r="B4" s="231"/>
      <c r="C4" s="77"/>
      <c r="D4" s="76"/>
      <c r="E4" s="76" t="e">
        <f ca="1">SUMIF(payDet,$V4,E$23:OFFSET(E$23,ROWS(payDet)-1,0))</f>
        <v>#NAME?</v>
      </c>
      <c r="F4" s="336"/>
      <c r="G4" s="76"/>
      <c r="H4" s="76" t="e">
        <f ca="1">SUMIF(payDet,$V4,H$23:OFFSET(H$23,ROWS(payDet)-1,0))</f>
        <v>#NAME?</v>
      </c>
      <c r="I4" s="232" t="e">
        <f ca="1">SUMIF(payDet,$V4,I$23:OFFSET(I$23,ROWS(payDet)-1,0))</f>
        <v>#NAME?</v>
      </c>
      <c r="J4" s="76" t="e">
        <f ca="1">SUMIF(payDet,$V4,J$23:OFFSET(J$23,ROWS(payDet)-1,0))</f>
        <v>#NAME?</v>
      </c>
      <c r="K4" s="76" t="e">
        <f ca="1">SUMIF(payDet,$V4,K$23:OFFSET(K$23,ROWS(payDet)-1,0))</f>
        <v>#NAME?</v>
      </c>
      <c r="L4" s="76" t="e">
        <f ca="1">SUMIF(payDet,$V4,L$23:OFFSET(L$23,ROWS(payDet)-1,0))</f>
        <v>#NAME?</v>
      </c>
      <c r="M4" s="76" t="e">
        <f ca="1">SUMIF(payDet,$V4,M$23:OFFSET(M$23,ROWS(payDet)-1,0))</f>
        <v>#NAME?</v>
      </c>
      <c r="N4" s="76" t="e">
        <f ca="1">SUMIF(payDet,$V4,N$23:OFFSET(N$23,ROWS(payDet)-1,0))</f>
        <v>#NAME?</v>
      </c>
      <c r="O4" s="76" t="e">
        <f ca="1">SUMIF(payDet,$V4,O$23:OFFSET(O$23,ROWS(payDet)-1,0))</f>
        <v>#NAME?</v>
      </c>
      <c r="P4" s="76" t="e">
        <f ca="1">SUMIF(payDet,$V4,P$23:OFFSET(P$23,ROWS(payDet)-1,0))</f>
        <v>#NAME?</v>
      </c>
      <c r="Q4" s="76" t="e">
        <f ca="1">SUMIF(payDet,$V4,Q$23:OFFSET(Q$23,ROWS(payDet)-1,0))</f>
        <v>#NAME?</v>
      </c>
      <c r="R4" s="76" t="e">
        <f ca="1">SUMIF(payDet,$V4,R$23:OFFSET(R$23,ROWS(payDet)-1,0))</f>
        <v>#NAME?</v>
      </c>
      <c r="S4" s="76" t="e">
        <f ca="1">SUMIF(payDet,$V4,S$23:OFFSET(S$23,ROWS(payDet)-1,0))</f>
        <v>#NAME?</v>
      </c>
      <c r="T4" s="76" t="e">
        <f ca="1">SUMIF(payDet,$V4,T$23:OFFSET(T$23,ROWS(payDet)-1,0))</f>
        <v>#NAME?</v>
      </c>
      <c r="V4" s="120" t="e">
        <f>IF(ISBLANK(EmpID),A4,EmpID &amp;":"&amp; A4)</f>
        <v>#NAME?</v>
      </c>
      <c r="Y4" s="250" t="s">
        <v>678</v>
      </c>
      <c r="Z4" s="16" t="s">
        <v>679</v>
      </c>
      <c r="AA4" s="15"/>
      <c r="AB4" s="16">
        <v>21</v>
      </c>
    </row>
    <row r="5" spans="1:28" x14ac:dyDescent="0.25">
      <c r="A5" s="120">
        <v>3</v>
      </c>
      <c r="B5" s="231"/>
      <c r="C5" s="77"/>
      <c r="D5" s="78"/>
      <c r="E5" s="78" t="e">
        <f ca="1">SUMIF(payDet,$V5,E$23:OFFSET(E$23,ROWS(payDet)-1,0))</f>
        <v>#NAME?</v>
      </c>
      <c r="F5" s="340"/>
      <c r="G5" s="78"/>
      <c r="H5" s="78" t="e">
        <f ca="1">SUMIF(payDet,$V5,H$23:OFFSET(H$23,ROWS(payDet)-1,0))</f>
        <v>#NAME?</v>
      </c>
      <c r="I5" s="232" t="e">
        <f ca="1">SUMIF(payDet,$V5,I$23:OFFSET(I$23,ROWS(payDet)-1,0))</f>
        <v>#NAME?</v>
      </c>
      <c r="J5" s="78" t="e">
        <f ca="1">SUMIF(payDet,$V5,J$23:OFFSET(J$23,ROWS(payDet)-1,0))</f>
        <v>#NAME?</v>
      </c>
      <c r="K5" s="78" t="e">
        <f ca="1">SUMIF(payDet,$V5,K$23:OFFSET(K$23,ROWS(payDet)-1,0))</f>
        <v>#NAME?</v>
      </c>
      <c r="L5" s="78" t="e">
        <f ca="1">SUMIF(payDet,$V5,L$23:OFFSET(L$23,ROWS(payDet)-1,0))</f>
        <v>#NAME?</v>
      </c>
      <c r="M5" s="78" t="e">
        <f ca="1">SUMIF(payDet,$V5,M$23:OFFSET(M$23,ROWS(payDet)-1,0))</f>
        <v>#NAME?</v>
      </c>
      <c r="N5" s="78" t="e">
        <f ca="1">SUMIF(payDet,$V5,N$23:OFFSET(N$23,ROWS(payDet)-1,0))</f>
        <v>#NAME?</v>
      </c>
      <c r="O5" s="78" t="e">
        <f ca="1">SUMIF(payDet,$V5,O$23:OFFSET(O$23,ROWS(payDet)-1,0))</f>
        <v>#NAME?</v>
      </c>
      <c r="P5" s="78" t="e">
        <f ca="1">SUMIF(payDet,$V5,P$23:OFFSET(P$23,ROWS(payDet)-1,0))</f>
        <v>#NAME?</v>
      </c>
      <c r="Q5" s="78" t="e">
        <f ca="1">SUMIF(payDet,$V5,Q$23:OFFSET(Q$23,ROWS(payDet)-1,0))</f>
        <v>#NAME?</v>
      </c>
      <c r="R5" s="78" t="e">
        <f ca="1">SUMIF(payDet,$V5,R$23:OFFSET(R$23,ROWS(payDet)-1,0))</f>
        <v>#NAME?</v>
      </c>
      <c r="S5" s="78" t="e">
        <f ca="1">SUMIF(payDet,$V5,S$23:OFFSET(S$23,ROWS(payDet)-1,0))</f>
        <v>#NAME?</v>
      </c>
      <c r="T5" s="78" t="e">
        <f ca="1">SUMIF(payDet,$V5,T$23:OFFSET(T$23,ROWS(payDet)-1,0))</f>
        <v>#NAME?</v>
      </c>
      <c r="V5" s="123" t="e">
        <f>IF(ISBLANK(EmpID),A5,EmpID &amp;":"&amp; A5)</f>
        <v>#NAME?</v>
      </c>
      <c r="Y5" s="250" t="s">
        <v>658</v>
      </c>
      <c r="Z5" s="16" t="s">
        <v>656</v>
      </c>
      <c r="AA5" s="15"/>
      <c r="AB5" s="16">
        <v>21</v>
      </c>
    </row>
    <row r="6" spans="1:28" x14ac:dyDescent="0.25">
      <c r="A6" s="131"/>
      <c r="B6" s="132"/>
      <c r="C6" s="132" t="s">
        <v>14</v>
      </c>
      <c r="D6" s="235"/>
      <c r="E6" s="190" t="e">
        <f ca="1">SUBTOTAL(9,E3:E5)</f>
        <v>#NAME?</v>
      </c>
      <c r="F6" s="377"/>
      <c r="G6" s="236"/>
      <c r="H6" s="190" t="e">
        <f t="shared" ref="H6:T6" ca="1" si="0">SUBTOTAL(9,H3:H5)</f>
        <v>#NAME?</v>
      </c>
      <c r="I6" s="190" t="e">
        <f t="shared" ca="1" si="0"/>
        <v>#NAME?</v>
      </c>
      <c r="J6" s="190" t="e">
        <f t="shared" ca="1" si="0"/>
        <v>#NAME?</v>
      </c>
      <c r="K6" s="190" t="e">
        <f t="shared" ca="1" si="0"/>
        <v>#NAME?</v>
      </c>
      <c r="L6" s="190" t="e">
        <f t="shared" ca="1" si="0"/>
        <v>#NAME?</v>
      </c>
      <c r="M6" s="190" t="e">
        <f t="shared" ca="1" si="0"/>
        <v>#NAME?</v>
      </c>
      <c r="N6" s="190" t="e">
        <f t="shared" ca="1" si="0"/>
        <v>#NAME?</v>
      </c>
      <c r="O6" s="190" t="e">
        <f t="shared" ca="1" si="0"/>
        <v>#NAME?</v>
      </c>
      <c r="P6" s="190" t="e">
        <f t="shared" ca="1" si="0"/>
        <v>#NAME?</v>
      </c>
      <c r="Q6" s="190" t="e">
        <f t="shared" ca="1" si="0"/>
        <v>#NAME?</v>
      </c>
      <c r="R6" s="190" t="e">
        <f t="shared" ca="1" si="0"/>
        <v>#NAME?</v>
      </c>
      <c r="S6" s="190" t="e">
        <f t="shared" ca="1" si="0"/>
        <v>#NAME?</v>
      </c>
      <c r="T6" s="237" t="e">
        <f t="shared" ca="1" si="0"/>
        <v>#NAME?</v>
      </c>
      <c r="V6" s="239"/>
      <c r="Y6" s="250" t="s">
        <v>57</v>
      </c>
      <c r="Z6" s="16" t="s">
        <v>471</v>
      </c>
      <c r="AA6" s="15"/>
      <c r="AB6" s="16">
        <v>21</v>
      </c>
    </row>
    <row r="7" spans="1:28" x14ac:dyDescent="0.25">
      <c r="A7" s="120">
        <v>4</v>
      </c>
      <c r="B7" s="231"/>
      <c r="C7" s="77"/>
      <c r="D7" s="238"/>
      <c r="E7" s="74" t="e">
        <f ca="1">SUMIF(payDet,$V7,E$23:OFFSET(E$23,ROWS(payDet)-1,0))</f>
        <v>#NAME?</v>
      </c>
      <c r="F7" s="378"/>
      <c r="G7" s="74"/>
      <c r="H7" s="74" t="e">
        <f ca="1">SUMIF(payDet,$V7,H$23:OFFSET(H$23,ROWS(payDet)-1,0))</f>
        <v>#NAME?</v>
      </c>
      <c r="I7" s="229" t="e">
        <f ca="1">SUMIF(payDet,$V7,I$23:OFFSET(I$23,ROWS(payDet)-1,0))</f>
        <v>#NAME?</v>
      </c>
      <c r="J7" s="230" t="e">
        <f ca="1">SUMIF(payDet,$V7,J$23:OFFSET(J$23,ROWS(payDet)-1,0))</f>
        <v>#NAME?</v>
      </c>
      <c r="K7" s="74" t="e">
        <f ca="1">SUMIF(payDet,$V7,K$23:OFFSET(K$23,ROWS(payDet)-1,0))</f>
        <v>#NAME?</v>
      </c>
      <c r="L7" s="74" t="e">
        <f ca="1">SUMIF(payDet,$V7,L$23:OFFSET(L$23,ROWS(payDet)-1,0))</f>
        <v>#NAME?</v>
      </c>
      <c r="M7" s="74" t="e">
        <f ca="1">SUMIF(payDet,$V7,M$23:OFFSET(M$23,ROWS(payDet)-1,0))</f>
        <v>#NAME?</v>
      </c>
      <c r="N7" s="74" t="e">
        <f ca="1">SUMIF(payDet,$V7,N$23:OFFSET(N$23,ROWS(payDet)-1,0))</f>
        <v>#NAME?</v>
      </c>
      <c r="O7" s="74" t="e">
        <f ca="1">SUMIF(payDet,$V7,O$23:OFFSET(O$23,ROWS(payDet)-1,0))</f>
        <v>#NAME?</v>
      </c>
      <c r="P7" s="74" t="e">
        <f ca="1">SUMIF(payDet,$V7,P$23:OFFSET(P$23,ROWS(payDet)-1,0))</f>
        <v>#NAME?</v>
      </c>
      <c r="Q7" s="74" t="e">
        <f ca="1">SUMIF(payDet,$V7,Q$23:OFFSET(Q$23,ROWS(payDet)-1,0))</f>
        <v>#NAME?</v>
      </c>
      <c r="R7" s="74" t="e">
        <f ca="1">SUMIF(payDet,$V7,R$23:OFFSET(R$23,ROWS(payDet)-1,0))</f>
        <v>#NAME?</v>
      </c>
      <c r="S7" s="74" t="e">
        <f ca="1">SUMIF(payDet,$V7,S$23:OFFSET(S$23,ROWS(payDet)-1,0))</f>
        <v>#NAME?</v>
      </c>
      <c r="T7" s="74" t="e">
        <f ca="1">SUMIF(payDet,$V7,T$23:OFFSET(T$23,ROWS(payDet)-1,0))</f>
        <v>#NAME?</v>
      </c>
      <c r="V7" s="267" t="e">
        <f>IF(ISBLANK(EmpID),A7,EmpID &amp;":"&amp; A7)</f>
        <v>#NAME?</v>
      </c>
      <c r="Y7" s="250" t="s">
        <v>669</v>
      </c>
      <c r="Z7" s="16" t="s">
        <v>670</v>
      </c>
      <c r="AA7" s="15"/>
      <c r="AB7" s="16">
        <v>21</v>
      </c>
    </row>
    <row r="8" spans="1:28" x14ac:dyDescent="0.25">
      <c r="A8" s="120">
        <v>5</v>
      </c>
      <c r="B8" s="231"/>
      <c r="C8" s="77"/>
      <c r="D8" s="238"/>
      <c r="E8" s="76" t="e">
        <f ca="1">SUMIF(payDet,$V8,E$23:OFFSET(E$23,ROWS(payDet)-1,0))</f>
        <v>#NAME?</v>
      </c>
      <c r="F8" s="336"/>
      <c r="G8" s="76"/>
      <c r="H8" s="76" t="e">
        <f ca="1">SUMIF(payDet,$V8,H$23:OFFSET(H$23,ROWS(payDet)-1,0))</f>
        <v>#NAME?</v>
      </c>
      <c r="I8" s="232" t="e">
        <f ca="1">SUMIF(payDet,$V8,I$23:OFFSET(I$23,ROWS(payDet)-1,0))</f>
        <v>#NAME?</v>
      </c>
      <c r="J8" s="76" t="e">
        <f ca="1">SUMIF(payDet,$V8,J$23:OFFSET(J$23,ROWS(payDet)-1,0))</f>
        <v>#NAME?</v>
      </c>
      <c r="K8" s="76" t="e">
        <f ca="1">SUMIF(payDet,$V8,K$23:OFFSET(K$23,ROWS(payDet)-1,0))</f>
        <v>#NAME?</v>
      </c>
      <c r="L8" s="76" t="e">
        <f ca="1">SUMIF(payDet,$V8,L$23:OFFSET(L$23,ROWS(payDet)-1,0))</f>
        <v>#NAME?</v>
      </c>
      <c r="M8" s="76" t="e">
        <f ca="1">SUMIF(payDet,$V8,M$23:OFFSET(M$23,ROWS(payDet)-1,0))</f>
        <v>#NAME?</v>
      </c>
      <c r="N8" s="76" t="e">
        <f ca="1">SUMIF(payDet,$V8,N$23:OFFSET(N$23,ROWS(payDet)-1,0))</f>
        <v>#NAME?</v>
      </c>
      <c r="O8" s="76" t="e">
        <f ca="1">SUMIF(payDet,$V8,O$23:OFFSET(O$23,ROWS(payDet)-1,0))</f>
        <v>#NAME?</v>
      </c>
      <c r="P8" s="76" t="e">
        <f ca="1">SUMIF(payDet,$V8,P$23:OFFSET(P$23,ROWS(payDet)-1,0))</f>
        <v>#NAME?</v>
      </c>
      <c r="Q8" s="76" t="e">
        <f ca="1">SUMIF(payDet,$V8,Q$23:OFFSET(Q$23,ROWS(payDet)-1,0))</f>
        <v>#NAME?</v>
      </c>
      <c r="R8" s="76" t="e">
        <f ca="1">SUMIF(payDet,$V8,R$23:OFFSET(R$23,ROWS(payDet)-1,0))</f>
        <v>#NAME?</v>
      </c>
      <c r="S8" s="76" t="e">
        <f ca="1">SUMIF(payDet,$V8,S$23:OFFSET(S$23,ROWS(payDet)-1,0))</f>
        <v>#NAME?</v>
      </c>
      <c r="T8" s="76" t="e">
        <f ca="1">SUMIF(payDet,$V8,T$23:OFFSET(T$23,ROWS(payDet)-1,0))</f>
        <v>#NAME?</v>
      </c>
      <c r="U8" s="251"/>
      <c r="V8" s="120" t="e">
        <f>IF(ISBLANK(EmpID),A8,EmpID &amp;":"&amp; A8)</f>
        <v>#NAME?</v>
      </c>
      <c r="Y8" s="250" t="s">
        <v>622</v>
      </c>
      <c r="Z8" s="16" t="s">
        <v>629</v>
      </c>
      <c r="AA8" s="15"/>
      <c r="AB8" s="16">
        <v>21</v>
      </c>
    </row>
    <row r="9" spans="1:28" x14ac:dyDescent="0.25">
      <c r="A9" s="120">
        <v>6</v>
      </c>
      <c r="B9" s="231"/>
      <c r="C9" s="77"/>
      <c r="D9" s="238"/>
      <c r="E9" s="78" t="e">
        <f ca="1">SUMIF(payDet,$V9,E$23:OFFSET(E$23,ROWS(payDet)-1,0))</f>
        <v>#NAME?</v>
      </c>
      <c r="F9" s="340"/>
      <c r="G9" s="78"/>
      <c r="H9" s="78" t="e">
        <f ca="1">SUMIF(payDet,$V9,H$23:OFFSET(H$23,ROWS(payDet)-1,0))</f>
        <v>#NAME?</v>
      </c>
      <c r="I9" s="234" t="e">
        <f ca="1">SUMIF(payDet,$V9,I$23:OFFSET(I$23,ROWS(payDet)-1,0))</f>
        <v>#NAME?</v>
      </c>
      <c r="J9" s="78" t="e">
        <f ca="1">SUMIF(payDet,$V9,J$23:OFFSET(J$23,ROWS(payDet)-1,0))</f>
        <v>#NAME?</v>
      </c>
      <c r="K9" s="78" t="e">
        <f ca="1">SUMIF(payDet,$V9,K$23:OFFSET(K$23,ROWS(payDet)-1,0))</f>
        <v>#NAME?</v>
      </c>
      <c r="L9" s="78" t="e">
        <f ca="1">SUMIF(payDet,$V9,L$23:OFFSET(L$23,ROWS(payDet)-1,0))</f>
        <v>#NAME?</v>
      </c>
      <c r="M9" s="78" t="e">
        <f ca="1">SUMIF(payDet,$V9,M$23:OFFSET(M$23,ROWS(payDet)-1,0))</f>
        <v>#NAME?</v>
      </c>
      <c r="N9" s="78" t="e">
        <f ca="1">SUMIF(payDet,$V9,N$23:OFFSET(N$23,ROWS(payDet)-1,0))</f>
        <v>#NAME?</v>
      </c>
      <c r="O9" s="78" t="e">
        <f ca="1">SUMIF(payDet,$V9,O$23:OFFSET(O$23,ROWS(payDet)-1,0))</f>
        <v>#NAME?</v>
      </c>
      <c r="P9" s="78" t="e">
        <f ca="1">SUMIF(payDet,$V9,P$23:OFFSET(P$23,ROWS(payDet)-1,0))</f>
        <v>#NAME?</v>
      </c>
      <c r="Q9" s="78" t="e">
        <f ca="1">SUMIF(payDet,$V9,Q$23:OFFSET(Q$23,ROWS(payDet)-1,0))</f>
        <v>#NAME?</v>
      </c>
      <c r="R9" s="78" t="e">
        <f ca="1">SUMIF(payDet,$V9,R$23:OFFSET(R$23,ROWS(payDet)-1,0))</f>
        <v>#NAME?</v>
      </c>
      <c r="S9" s="78" t="e">
        <f ca="1">SUMIF(payDet,$V9,S$23:OFFSET(S$23,ROWS(payDet)-1,0))</f>
        <v>#NAME?</v>
      </c>
      <c r="T9" s="78" t="e">
        <f ca="1">SUMIF(payDet,$V9,T$23:OFFSET(T$23,ROWS(payDet)-1,0))</f>
        <v>#NAME?</v>
      </c>
      <c r="V9" s="123" t="e">
        <f>IF(ISBLANK(EmpID),A9,EmpID &amp;":"&amp; A9)</f>
        <v>#NAME?</v>
      </c>
      <c r="Y9" s="250" t="s">
        <v>55</v>
      </c>
      <c r="Z9" s="16" t="s">
        <v>68</v>
      </c>
      <c r="AA9" s="15"/>
      <c r="AB9" s="16">
        <v>21</v>
      </c>
    </row>
    <row r="10" spans="1:28" x14ac:dyDescent="0.25">
      <c r="A10" s="131"/>
      <c r="B10" s="132"/>
      <c r="C10" s="132" t="s">
        <v>18</v>
      </c>
      <c r="D10" s="235"/>
      <c r="E10" s="190" t="e">
        <f ca="1">SUBTOTAL(9,E7:E9)</f>
        <v>#NAME?</v>
      </c>
      <c r="F10" s="377"/>
      <c r="G10" s="190"/>
      <c r="H10" s="190" t="e">
        <f t="shared" ref="H10:T10" ca="1" si="1">SUBTOTAL(9,H7:H9)</f>
        <v>#NAME?</v>
      </c>
      <c r="I10" s="190" t="e">
        <f t="shared" ca="1" si="1"/>
        <v>#NAME?</v>
      </c>
      <c r="J10" s="190" t="e">
        <f t="shared" ca="1" si="1"/>
        <v>#NAME?</v>
      </c>
      <c r="K10" s="190" t="e">
        <f t="shared" ca="1" si="1"/>
        <v>#NAME?</v>
      </c>
      <c r="L10" s="190" t="e">
        <f t="shared" ca="1" si="1"/>
        <v>#NAME?</v>
      </c>
      <c r="M10" s="190" t="e">
        <f t="shared" ca="1" si="1"/>
        <v>#NAME?</v>
      </c>
      <c r="N10" s="190" t="e">
        <f t="shared" ca="1" si="1"/>
        <v>#NAME?</v>
      </c>
      <c r="O10" s="190" t="e">
        <f t="shared" ca="1" si="1"/>
        <v>#NAME?</v>
      </c>
      <c r="P10" s="190" t="e">
        <f t="shared" ca="1" si="1"/>
        <v>#NAME?</v>
      </c>
      <c r="Q10" s="190" t="e">
        <f t="shared" ca="1" si="1"/>
        <v>#NAME?</v>
      </c>
      <c r="R10" s="190" t="e">
        <f t="shared" ca="1" si="1"/>
        <v>#NAME?</v>
      </c>
      <c r="S10" s="190" t="e">
        <f t="shared" ca="1" si="1"/>
        <v>#NAME?</v>
      </c>
      <c r="T10" s="237" t="e">
        <f t="shared" ca="1" si="1"/>
        <v>#NAME?</v>
      </c>
      <c r="V10" s="239"/>
      <c r="Y10" s="250" t="s">
        <v>58</v>
      </c>
      <c r="Z10" s="16" t="s">
        <v>473</v>
      </c>
      <c r="AA10" s="15"/>
      <c r="AB10" s="16">
        <v>21</v>
      </c>
    </row>
    <row r="11" spans="1:28" x14ac:dyDescent="0.25">
      <c r="A11" s="120">
        <v>7</v>
      </c>
      <c r="B11" s="231"/>
      <c r="C11" s="77"/>
      <c r="D11" s="238"/>
      <c r="E11" s="74" t="e">
        <f ca="1">SUMIF(payDet,$V11,E$23:OFFSET(E$23,ROWS(payDet)-1,0))</f>
        <v>#NAME?</v>
      </c>
      <c r="F11" s="378"/>
      <c r="G11" s="74"/>
      <c r="H11" s="74" t="e">
        <f ca="1">SUMIF(payDet,$V11,H$23:OFFSET(H$23,ROWS(payDet)-1,0))</f>
        <v>#NAME?</v>
      </c>
      <c r="I11" s="229" t="e">
        <f ca="1">SUMIF(payDet,$V11,I$23:OFFSET(I$23,ROWS(payDet)-1,0))</f>
        <v>#NAME?</v>
      </c>
      <c r="J11" s="230" t="e">
        <f ca="1">SUMIF(payDet,$V11,J$23:OFFSET(J$23,ROWS(payDet)-1,0))</f>
        <v>#NAME?</v>
      </c>
      <c r="K11" s="74" t="e">
        <f ca="1">SUMIF(payDet,$V11,K$23:OFFSET(K$23,ROWS(payDet)-1,0))</f>
        <v>#NAME?</v>
      </c>
      <c r="L11" s="74" t="e">
        <f ca="1">SUMIF(payDet,$V11,L$23:OFFSET(L$23,ROWS(payDet)-1,0))</f>
        <v>#NAME?</v>
      </c>
      <c r="M11" s="74" t="e">
        <f ca="1">SUMIF(payDet,$V11,M$23:OFFSET(M$23,ROWS(payDet)-1,0))</f>
        <v>#NAME?</v>
      </c>
      <c r="N11" s="74" t="e">
        <f ca="1">SUMIF(payDet,$V11,N$23:OFFSET(N$23,ROWS(payDet)-1,0))</f>
        <v>#NAME?</v>
      </c>
      <c r="O11" s="74" t="e">
        <f ca="1">SUMIF(payDet,$V11,O$23:OFFSET(O$23,ROWS(payDet)-1,0))</f>
        <v>#NAME?</v>
      </c>
      <c r="P11" s="74" t="e">
        <f ca="1">SUMIF(payDet,$V11,P$23:OFFSET(P$23,ROWS(payDet)-1,0))</f>
        <v>#NAME?</v>
      </c>
      <c r="Q11" s="74" t="e">
        <f ca="1">SUMIF(payDet,$V11,Q$23:OFFSET(Q$23,ROWS(payDet)-1,0))</f>
        <v>#NAME?</v>
      </c>
      <c r="R11" s="74" t="e">
        <f ca="1">SUMIF(payDet,$V11,R$23:OFFSET(R$23,ROWS(payDet)-1,0))</f>
        <v>#NAME?</v>
      </c>
      <c r="S11" s="74" t="e">
        <f ca="1">SUMIF(payDet,$V11,S$23:OFFSET(S$23,ROWS(payDet)-1,0))</f>
        <v>#NAME?</v>
      </c>
      <c r="T11" s="74" t="e">
        <f ca="1">SUMIF(payDet,$V11,T$23:OFFSET(T$23,ROWS(payDet)-1,0))</f>
        <v>#NAME?</v>
      </c>
      <c r="V11" s="267" t="e">
        <f>IF(ISBLANK(EmpID),A11,EmpID &amp;":"&amp; A11)</f>
        <v>#NAME?</v>
      </c>
      <c r="Y11" s="250" t="s">
        <v>657</v>
      </c>
      <c r="Z11" s="16" t="s">
        <v>655</v>
      </c>
      <c r="AA11" s="15"/>
      <c r="AB11" s="16">
        <v>21</v>
      </c>
    </row>
    <row r="12" spans="1:28" x14ac:dyDescent="0.25">
      <c r="A12" s="120">
        <v>8</v>
      </c>
      <c r="B12" s="231"/>
      <c r="C12" s="77"/>
      <c r="D12" s="238"/>
      <c r="E12" s="76" t="e">
        <f ca="1">SUMIF(payDet,$V12,E$23:OFFSET(E$23,ROWS(payDet)-1,0))</f>
        <v>#NAME?</v>
      </c>
      <c r="F12" s="336"/>
      <c r="G12" s="76"/>
      <c r="H12" s="76" t="e">
        <f ca="1">SUMIF(payDet,$V12,H$23:OFFSET(H$23,ROWS(payDet)-1,0))</f>
        <v>#NAME?</v>
      </c>
      <c r="I12" s="232" t="e">
        <f ca="1">SUMIF(payDet,$V12,I$23:OFFSET(I$23,ROWS(payDet)-1,0))</f>
        <v>#NAME?</v>
      </c>
      <c r="J12" s="76" t="e">
        <f ca="1">SUMIF(payDet,$V12,J$23:OFFSET(J$23,ROWS(payDet)-1,0))</f>
        <v>#NAME?</v>
      </c>
      <c r="K12" s="76" t="e">
        <f ca="1">SUMIF(payDet,$V12,K$23:OFFSET(K$23,ROWS(payDet)-1,0))</f>
        <v>#NAME?</v>
      </c>
      <c r="L12" s="76" t="e">
        <f ca="1">SUMIF(payDet,$V12,L$23:OFFSET(L$23,ROWS(payDet)-1,0))</f>
        <v>#NAME?</v>
      </c>
      <c r="M12" s="76" t="e">
        <f ca="1">SUMIF(payDet,$V12,M$23:OFFSET(M$23,ROWS(payDet)-1,0))</f>
        <v>#NAME?</v>
      </c>
      <c r="N12" s="76"/>
      <c r="O12" s="76" t="e">
        <f ca="1">SUMIF(payDet,$V12,O$23:OFFSET(O$23,ROWS(payDet)-1,0))</f>
        <v>#NAME?</v>
      </c>
      <c r="P12" s="76" t="e">
        <f ca="1">SUMIF(payDet,$V12,P$23:OFFSET(P$23,ROWS(payDet)-1,0))</f>
        <v>#NAME?</v>
      </c>
      <c r="Q12" s="76" t="e">
        <f ca="1">SUMIF(payDet,$V12,Q$23:OFFSET(Q$23,ROWS(payDet)-1,0))</f>
        <v>#NAME?</v>
      </c>
      <c r="R12" s="76" t="e">
        <f ca="1">SUMIF(payDet,$V12,R$23:OFFSET(R$23,ROWS(payDet)-1,0))</f>
        <v>#NAME?</v>
      </c>
      <c r="S12" s="76" t="e">
        <f ca="1">SUMIF(payDet,$V12,S$23:OFFSET(S$23,ROWS(payDet)-1,0))</f>
        <v>#NAME?</v>
      </c>
      <c r="T12" s="76" t="e">
        <f ca="1">SUMIF(payDet,$V12,T$23:OFFSET(T$23,ROWS(payDet)-1,0))</f>
        <v>#NAME?</v>
      </c>
      <c r="V12" s="120" t="e">
        <f>IF(ISBLANK(EmpID),A12,EmpID &amp;":"&amp; A12)</f>
        <v>#NAME?</v>
      </c>
      <c r="Y12" s="250"/>
      <c r="Z12" s="16"/>
      <c r="AA12" s="15"/>
      <c r="AB12" s="16"/>
    </row>
    <row r="13" spans="1:28" x14ac:dyDescent="0.25">
      <c r="A13" s="120">
        <v>9</v>
      </c>
      <c r="B13" s="231"/>
      <c r="C13" s="77"/>
      <c r="D13" s="238"/>
      <c r="E13" s="78" t="e">
        <f ca="1">SUMIF(payDet,$V13,E$23:OFFSET(E$23,ROWS(payDet)-1,0))</f>
        <v>#NAME?</v>
      </c>
      <c r="F13" s="340"/>
      <c r="G13" s="78"/>
      <c r="H13" s="78" t="e">
        <f ca="1">SUMIF(payDet,$V13,H$23:OFFSET(H$23,ROWS(payDet)-1,0))</f>
        <v>#NAME?</v>
      </c>
      <c r="I13" s="234" t="e">
        <f ca="1">SUMIF(payDet,$V13,I$23:OFFSET(I$23,ROWS(payDet)-1,0))</f>
        <v>#NAME?</v>
      </c>
      <c r="J13" s="78" t="e">
        <f ca="1">SUMIF(payDet,$V13,J$23:OFFSET(J$23,ROWS(payDet)-1,0))</f>
        <v>#NAME?</v>
      </c>
      <c r="K13" s="78" t="e">
        <f ca="1">SUMIF(payDet,$V13,K$23:OFFSET(K$23,ROWS(payDet)-1,0))</f>
        <v>#NAME?</v>
      </c>
      <c r="L13" s="78" t="e">
        <f ca="1">SUMIF(payDet,$V13,L$23:OFFSET(L$23,ROWS(payDet)-1,0))</f>
        <v>#NAME?</v>
      </c>
      <c r="M13" s="78" t="e">
        <f ca="1">SUMIF(payDet,$V13,M$23:OFFSET(M$23,ROWS(payDet)-1,0))</f>
        <v>#NAME?</v>
      </c>
      <c r="N13" s="78" t="e">
        <f ca="1">SUMIF(payDet,$V13,N$23:OFFSET(N$23,ROWS(payDet)-1,0))</f>
        <v>#NAME?</v>
      </c>
      <c r="O13" s="78" t="e">
        <f ca="1">SUMIF(payDet,$V13,O$23:OFFSET(O$23,ROWS(payDet)-1,0))</f>
        <v>#NAME?</v>
      </c>
      <c r="P13" s="78" t="e">
        <f ca="1">SUMIF(payDet,$V13,P$23:OFFSET(P$23,ROWS(payDet)-1,0))</f>
        <v>#NAME?</v>
      </c>
      <c r="Q13" s="78" t="e">
        <f ca="1">SUMIF(payDet,$V13,Q$23:OFFSET(Q$23,ROWS(payDet)-1,0))</f>
        <v>#NAME?</v>
      </c>
      <c r="R13" s="78" t="e">
        <f ca="1">SUMIF(payDet,$V13,R$23:OFFSET(R$23,ROWS(payDet)-1,0))</f>
        <v>#NAME?</v>
      </c>
      <c r="S13" s="78" t="e">
        <f ca="1">SUMIF(payDet,$V13,S$23:OFFSET(S$23,ROWS(payDet)-1,0))</f>
        <v>#NAME?</v>
      </c>
      <c r="T13" s="78" t="e">
        <f ca="1">SUMIF(payDet,$V13,T$23:OFFSET(T$23,ROWS(payDet)-1,0))</f>
        <v>#NAME?</v>
      </c>
      <c r="V13" s="123" t="e">
        <f>IF(ISBLANK(EmpID),A13,EmpID &amp;":"&amp; A13)</f>
        <v>#NAME?</v>
      </c>
      <c r="Y13" s="250"/>
      <c r="Z13" s="16"/>
      <c r="AA13" s="15"/>
      <c r="AB13" s="16"/>
    </row>
    <row r="14" spans="1:28" x14ac:dyDescent="0.25">
      <c r="A14" s="131"/>
      <c r="B14" s="132"/>
      <c r="C14" s="132" t="s">
        <v>22</v>
      </c>
      <c r="D14" s="235"/>
      <c r="E14" s="190" t="e">
        <f ca="1">SUBTOTAL(9,E11:E13)</f>
        <v>#NAME?</v>
      </c>
      <c r="F14" s="377"/>
      <c r="G14" s="236"/>
      <c r="H14" s="190" t="e">
        <f t="shared" ref="H14:T14" ca="1" si="2">SUBTOTAL(9,H11:H13)</f>
        <v>#NAME?</v>
      </c>
      <c r="I14" s="190" t="e">
        <f t="shared" ca="1" si="2"/>
        <v>#NAME?</v>
      </c>
      <c r="J14" s="190" t="e">
        <f t="shared" ca="1" si="2"/>
        <v>#NAME?</v>
      </c>
      <c r="K14" s="190" t="e">
        <f t="shared" ca="1" si="2"/>
        <v>#NAME?</v>
      </c>
      <c r="L14" s="190" t="e">
        <f t="shared" ca="1" si="2"/>
        <v>#NAME?</v>
      </c>
      <c r="M14" s="190" t="e">
        <f t="shared" ca="1" si="2"/>
        <v>#NAME?</v>
      </c>
      <c r="N14" s="190" t="e">
        <f t="shared" ca="1" si="2"/>
        <v>#NAME?</v>
      </c>
      <c r="O14" s="190" t="e">
        <f t="shared" ca="1" si="2"/>
        <v>#NAME?</v>
      </c>
      <c r="P14" s="190" t="e">
        <f t="shared" ca="1" si="2"/>
        <v>#NAME?</v>
      </c>
      <c r="Q14" s="190" t="e">
        <f t="shared" ca="1" si="2"/>
        <v>#NAME?</v>
      </c>
      <c r="R14" s="190" t="e">
        <f t="shared" ca="1" si="2"/>
        <v>#NAME?</v>
      </c>
      <c r="S14" s="190" t="e">
        <f t="shared" ca="1" si="2"/>
        <v>#NAME?</v>
      </c>
      <c r="T14" s="237" t="e">
        <f t="shared" ca="1" si="2"/>
        <v>#NAME?</v>
      </c>
      <c r="V14" s="239"/>
      <c r="Y14" s="250"/>
      <c r="Z14" s="16"/>
      <c r="AA14" s="15"/>
      <c r="AB14" s="15"/>
    </row>
    <row r="15" spans="1:28" x14ac:dyDescent="0.25">
      <c r="A15" s="120">
        <v>10</v>
      </c>
      <c r="B15" s="231"/>
      <c r="C15" s="77"/>
      <c r="D15" s="238"/>
      <c r="E15" s="74" t="e">
        <f ca="1">SUMIF(payDet,$V15,E$23:OFFSET(E$23,ROWS(payDet)-1,0))</f>
        <v>#NAME?</v>
      </c>
      <c r="F15" s="378"/>
      <c r="G15" s="74"/>
      <c r="H15" s="74" t="e">
        <f ca="1">SUMIF(payDet,$V15,H$23:OFFSET(H$23,ROWS(payDet)-1,0))</f>
        <v>#NAME?</v>
      </c>
      <c r="I15" s="229" t="e">
        <f ca="1">SUMIF(payDet,$V15,I$23:OFFSET(I$23,ROWS(payDet)-1,0))</f>
        <v>#NAME?</v>
      </c>
      <c r="J15" s="230" t="e">
        <f ca="1">SUMIF(payDet,$V15,J$23:OFFSET(J$23,ROWS(payDet)-1,0))</f>
        <v>#NAME?</v>
      </c>
      <c r="K15" s="74" t="e">
        <f ca="1">SUMIF(payDet,$V15,K$23:OFFSET(K$23,ROWS(payDet)-1,0))</f>
        <v>#NAME?</v>
      </c>
      <c r="L15" s="74" t="e">
        <f ca="1">SUMIF(payDet,$V15,L$23:OFFSET(L$23,ROWS(payDet)-1,0))</f>
        <v>#NAME?</v>
      </c>
      <c r="M15" s="74" t="e">
        <f ca="1">SUMIF(payDet,$V15,M$23:OFFSET(M$23,ROWS(payDet)-1,0))</f>
        <v>#NAME?</v>
      </c>
      <c r="N15" s="74" t="e">
        <f ca="1">SUMIF(payDet,$V15,N$23:OFFSET(N$23,ROWS(payDet)-1,0))</f>
        <v>#NAME?</v>
      </c>
      <c r="O15" s="74" t="e">
        <f ca="1">SUMIF(payDet,$V15,O$23:OFFSET(O$23,ROWS(payDet)-1,0))</f>
        <v>#NAME?</v>
      </c>
      <c r="P15" s="74" t="e">
        <f ca="1">SUMIF(payDet,$V15,P$23:OFFSET(P$23,ROWS(payDet)-1,0))</f>
        <v>#NAME?</v>
      </c>
      <c r="Q15" s="74" t="e">
        <f ca="1">SUMIF(payDet,$V15,Q$23:OFFSET(Q$23,ROWS(payDet)-1,0))</f>
        <v>#NAME?</v>
      </c>
      <c r="R15" s="74" t="e">
        <f ca="1">SUMIF(payDet,$V15,R$23:OFFSET(R$23,ROWS(payDet)-1,0))</f>
        <v>#NAME?</v>
      </c>
      <c r="S15" s="74" t="e">
        <f ca="1">SUMIF(payDet,$V15,S$23:OFFSET(S$23,ROWS(payDet)-1,0))</f>
        <v>#NAME?</v>
      </c>
      <c r="T15" s="74" t="e">
        <f ca="1">SUMIF(payDet,$V15,T$23:OFFSET(T$23,ROWS(payDet)-1,0))</f>
        <v>#NAME?</v>
      </c>
      <c r="V15" s="267" t="e">
        <f>IF(ISBLANK(EmpID),A15,EmpID &amp;":"&amp; A15)</f>
        <v>#NAME?</v>
      </c>
      <c r="Y15" s="250"/>
      <c r="Z15" s="16"/>
      <c r="AA15" s="15"/>
      <c r="AB15" s="15"/>
    </row>
    <row r="16" spans="1:28" x14ac:dyDescent="0.25">
      <c r="A16" s="120">
        <v>11</v>
      </c>
      <c r="B16" s="231"/>
      <c r="C16" s="77"/>
      <c r="D16" s="238"/>
      <c r="E16" s="76" t="e">
        <f ca="1">SUMIF(payDet,$V16,E$23:OFFSET(E$23,ROWS(payDet)-1,0))</f>
        <v>#NAME?</v>
      </c>
      <c r="F16" s="336"/>
      <c r="G16" s="76"/>
      <c r="H16" s="76" t="e">
        <f ca="1">SUMIF(payDet,$V16,H$23:OFFSET(H$23,ROWS(payDet)-1,0))</f>
        <v>#NAME?</v>
      </c>
      <c r="I16" s="232" t="e">
        <f ca="1">SUMIF(payDet,$V16,I$23:OFFSET(I$23,ROWS(payDet)-1,0))</f>
        <v>#NAME?</v>
      </c>
      <c r="J16" s="76" t="e">
        <f ca="1">SUMIF(payDet,$V16,J$23:OFFSET(J$23,ROWS(payDet)-1,0))</f>
        <v>#NAME?</v>
      </c>
      <c r="K16" s="76" t="e">
        <f ca="1">SUMIF(payDet,$V16,K$23:OFFSET(K$23,ROWS(payDet)-1,0))</f>
        <v>#NAME?</v>
      </c>
      <c r="L16" s="76" t="e">
        <f ca="1">SUMIF(payDet,$V16,L$23:OFFSET(L$23,ROWS(payDet)-1,0))</f>
        <v>#NAME?</v>
      </c>
      <c r="M16" s="76" t="e">
        <f ca="1">SUMIF(payDet,$V16,M$23:OFFSET(M$23,ROWS(payDet)-1,0))</f>
        <v>#NAME?</v>
      </c>
      <c r="N16" s="76" t="e">
        <f ca="1">SUMIF(payDet,$V16,N$23:OFFSET(N$23,ROWS(payDet)-1,0))</f>
        <v>#NAME?</v>
      </c>
      <c r="O16" s="76" t="e">
        <f ca="1">SUMIF(payDet,$V16,O$23:OFFSET(O$23,ROWS(payDet)-1,0))</f>
        <v>#NAME?</v>
      </c>
      <c r="P16" s="76" t="e">
        <f ca="1">SUMIF(payDet,$V16,P$23:OFFSET(P$23,ROWS(payDet)-1,0))</f>
        <v>#NAME?</v>
      </c>
      <c r="Q16" s="76" t="e">
        <f ca="1">SUMIF(payDet,$V16,Q$23:OFFSET(Q$23,ROWS(payDet)-1,0))</f>
        <v>#NAME?</v>
      </c>
      <c r="R16" s="76" t="e">
        <f ca="1">SUMIF(payDet,$V16,R$23:OFFSET(R$23,ROWS(payDet)-1,0))</f>
        <v>#NAME?</v>
      </c>
      <c r="S16" s="76" t="e">
        <f ca="1">SUMIF(payDet,$V16,S$23:OFFSET(S$23,ROWS(payDet)-1,0))</f>
        <v>#NAME?</v>
      </c>
      <c r="T16" s="76" t="e">
        <f ca="1">SUMIF(payDet,$V16,T$23:OFFSET(T$23,ROWS(payDet)-1,0))</f>
        <v>#NAME?</v>
      </c>
      <c r="U16" s="202"/>
      <c r="V16" s="120" t="e">
        <f>IF(ISBLANK(EmpID),A16,EmpID &amp;":"&amp; A16)</f>
        <v>#NAME?</v>
      </c>
    </row>
    <row r="17" spans="1:36" ht="12" customHeight="1" x14ac:dyDescent="0.25">
      <c r="A17" s="120">
        <v>12</v>
      </c>
      <c r="B17" s="231"/>
      <c r="C17" s="77"/>
      <c r="D17" s="238"/>
      <c r="E17" s="78" t="e">
        <f ca="1">SUMIF(payDet,$V17,E$23:OFFSET(E$23,ROWS(payDet)-1,0))</f>
        <v>#NAME?</v>
      </c>
      <c r="F17" s="340"/>
      <c r="G17" s="78"/>
      <c r="H17" s="78" t="e">
        <f ca="1">SUMIF(payDet,$V17,H$23:OFFSET(H$23,ROWS(payDet)-1,0))</f>
        <v>#NAME?</v>
      </c>
      <c r="I17" s="234" t="e">
        <f ca="1">SUMIF(payDet,$V17,I$23:OFFSET(I$23,ROWS(payDet)-1,0))</f>
        <v>#NAME?</v>
      </c>
      <c r="J17" s="78" t="e">
        <f ca="1">SUMIF(payDet,$V17,J$23:OFFSET(J$23,ROWS(payDet)-1,0))</f>
        <v>#NAME?</v>
      </c>
      <c r="K17" s="78" t="e">
        <f ca="1">SUMIF(payDet,$V17,K$23:OFFSET(K$23,ROWS(payDet)-1,0))</f>
        <v>#NAME?</v>
      </c>
      <c r="L17" s="78" t="e">
        <f ca="1">SUMIF(payDet,$V17,L$23:OFFSET(L$23,ROWS(payDet)-1,0))</f>
        <v>#NAME?</v>
      </c>
      <c r="M17" s="78" t="e">
        <f ca="1">SUMIF(payDet,$V17,M$23:OFFSET(M$23,ROWS(payDet)-1,0))</f>
        <v>#NAME?</v>
      </c>
      <c r="N17" s="78" t="e">
        <f ca="1">SUMIF(payDet,$V17,N$23:OFFSET(N$23,ROWS(payDet)-1,0))</f>
        <v>#NAME?</v>
      </c>
      <c r="O17" s="78" t="e">
        <f ca="1">SUMIF(payDet,$V17,O$23:OFFSET(O$23,ROWS(payDet)-1,0))</f>
        <v>#NAME?</v>
      </c>
      <c r="P17" s="78" t="e">
        <f ca="1">SUMIF(payDet,$V17,P$23:OFFSET(P$23,ROWS(payDet)-1,0))</f>
        <v>#NAME?</v>
      </c>
      <c r="Q17" s="78" t="e">
        <f ca="1">SUMIF(payDet,$V17,Q$23:OFFSET(Q$23,ROWS(payDet)-1,0))</f>
        <v>#NAME?</v>
      </c>
      <c r="R17" s="78" t="e">
        <f ca="1">SUMIF(payDet,$V17,R$23:OFFSET(R$23,ROWS(payDet)-1,0))</f>
        <v>#NAME?</v>
      </c>
      <c r="S17" s="78" t="e">
        <f ca="1">SUMIF(payDet,$V17,S$23:OFFSET(S$23,ROWS(payDet)-1,0))</f>
        <v>#NAME?</v>
      </c>
      <c r="T17" s="78" t="e">
        <f ca="1">SUMIF(payDet,$V17,T$23:OFFSET(T$23,ROWS(payDet)-1,0))</f>
        <v>#NAME?</v>
      </c>
      <c r="V17" s="123" t="e">
        <f>IF(ISBLANK(EmpID),A17,EmpID &amp;":"&amp; A17)</f>
        <v>#NAME?</v>
      </c>
    </row>
    <row r="18" spans="1:36" ht="12" customHeight="1" thickBot="1" x14ac:dyDescent="0.3">
      <c r="A18" s="239"/>
      <c r="B18" s="190"/>
      <c r="C18" s="132" t="s">
        <v>26</v>
      </c>
      <c r="D18" s="236"/>
      <c r="E18" s="190" t="e">
        <f ca="1">SUBTOTAL(9,E15:E17)</f>
        <v>#NAME?</v>
      </c>
      <c r="F18" s="377"/>
      <c r="G18" s="236"/>
      <c r="H18" s="190" t="e">
        <f t="shared" ref="H18:T18" ca="1" si="3">SUBTOTAL(9,H15:H17)</f>
        <v>#NAME?</v>
      </c>
      <c r="I18" s="190" t="e">
        <f t="shared" ca="1" si="3"/>
        <v>#NAME?</v>
      </c>
      <c r="J18" s="190" t="e">
        <f t="shared" ca="1" si="3"/>
        <v>#NAME?</v>
      </c>
      <c r="K18" s="190" t="e">
        <f t="shared" ca="1" si="3"/>
        <v>#NAME?</v>
      </c>
      <c r="L18" s="190" t="e">
        <f t="shared" ca="1" si="3"/>
        <v>#NAME?</v>
      </c>
      <c r="M18" s="190" t="e">
        <f t="shared" ca="1" si="3"/>
        <v>#NAME?</v>
      </c>
      <c r="N18" s="190" t="e">
        <f t="shared" ca="1" si="3"/>
        <v>#NAME?</v>
      </c>
      <c r="O18" s="190" t="e">
        <f t="shared" ca="1" si="3"/>
        <v>#NAME?</v>
      </c>
      <c r="P18" s="190" t="e">
        <f t="shared" ca="1" si="3"/>
        <v>#NAME?</v>
      </c>
      <c r="Q18" s="190" t="e">
        <f t="shared" ca="1" si="3"/>
        <v>#NAME?</v>
      </c>
      <c r="R18" s="190" t="e">
        <f t="shared" ca="1" si="3"/>
        <v>#NAME?</v>
      </c>
      <c r="S18" s="190" t="e">
        <f t="shared" ca="1" si="3"/>
        <v>#NAME?</v>
      </c>
      <c r="T18" s="237" t="e">
        <f t="shared" ca="1" si="3"/>
        <v>#NAME?</v>
      </c>
      <c r="V18" s="239"/>
    </row>
    <row r="19" spans="1:36" ht="12" customHeight="1" x14ac:dyDescent="0.25">
      <c r="A19" s="240"/>
      <c r="B19" s="241"/>
      <c r="C19" s="241" t="s">
        <v>119</v>
      </c>
      <c r="D19" s="242"/>
      <c r="E19" s="241" t="e">
        <f ca="1">SUBTOTAL(9,E3:E18)</f>
        <v>#NAME?</v>
      </c>
      <c r="F19" s="376"/>
      <c r="G19" s="242"/>
      <c r="H19" s="241" t="e">
        <f t="shared" ref="H19:T19" ca="1" si="4">SUBTOTAL(9,H3:H18)</f>
        <v>#NAME?</v>
      </c>
      <c r="I19" s="241" t="e">
        <f t="shared" ca="1" si="4"/>
        <v>#NAME?</v>
      </c>
      <c r="J19" s="241" t="e">
        <f t="shared" ca="1" si="4"/>
        <v>#NAME?</v>
      </c>
      <c r="K19" s="241" t="e">
        <f t="shared" ca="1" si="4"/>
        <v>#NAME?</v>
      </c>
      <c r="L19" s="241" t="e">
        <f t="shared" ca="1" si="4"/>
        <v>#NAME?</v>
      </c>
      <c r="M19" s="241" t="e">
        <f t="shared" ca="1" si="4"/>
        <v>#NAME?</v>
      </c>
      <c r="N19" s="241" t="e">
        <f t="shared" ca="1" si="4"/>
        <v>#NAME?</v>
      </c>
      <c r="O19" s="241" t="e">
        <f t="shared" ca="1" si="4"/>
        <v>#NAME?</v>
      </c>
      <c r="P19" s="241" t="e">
        <f t="shared" ca="1" si="4"/>
        <v>#NAME?</v>
      </c>
      <c r="Q19" s="241" t="e">
        <f t="shared" ca="1" si="4"/>
        <v>#NAME?</v>
      </c>
      <c r="R19" s="241" t="e">
        <f t="shared" ca="1" si="4"/>
        <v>#NAME?</v>
      </c>
      <c r="S19" s="241" t="e">
        <f t="shared" ca="1" si="4"/>
        <v>#NAME?</v>
      </c>
      <c r="T19" s="243" t="e">
        <f t="shared" ca="1" si="4"/>
        <v>#NAME?</v>
      </c>
      <c r="V19" s="240"/>
    </row>
    <row r="20" spans="1:36" x14ac:dyDescent="0.25">
      <c r="B20" s="252"/>
      <c r="E20" s="253"/>
      <c r="U20" s="253"/>
    </row>
    <row r="21" spans="1:36" ht="23.25" customHeight="1" x14ac:dyDescent="0.4">
      <c r="A21" s="254"/>
      <c r="B21" s="255"/>
      <c r="C21" s="256" t="e">
        <f>EmpID</f>
        <v>#NAME?</v>
      </c>
      <c r="D21" s="255"/>
      <c r="E21" s="219"/>
      <c r="F21" s="145"/>
      <c r="G21" s="255"/>
      <c r="H21" s="219"/>
      <c r="I21" s="66"/>
      <c r="J21" s="221" t="s">
        <v>475</v>
      </c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253"/>
      <c r="V21" s="66" t="s">
        <v>465</v>
      </c>
      <c r="W21" s="66" t="s">
        <v>465</v>
      </c>
      <c r="X21" s="66" t="s">
        <v>465</v>
      </c>
      <c r="Y21" s="257" t="s">
        <v>476</v>
      </c>
      <c r="Z21" s="219"/>
      <c r="AA21" s="246"/>
      <c r="AB21" s="219"/>
      <c r="AC21" s="219" t="s">
        <v>138</v>
      </c>
      <c r="AD21" s="246" t="s">
        <v>138</v>
      </c>
      <c r="AE21" s="246" t="s">
        <v>477</v>
      </c>
      <c r="AF21" s="219" t="s">
        <v>477</v>
      </c>
      <c r="AG21" s="219"/>
      <c r="AH21" s="246"/>
      <c r="AI21" s="219" t="s">
        <v>478</v>
      </c>
      <c r="AJ21" s="219"/>
    </row>
    <row r="22" spans="1:36" s="224" customFormat="1" ht="12.75" customHeight="1" thickBot="1" x14ac:dyDescent="0.3">
      <c r="A22" s="222"/>
      <c r="B22" s="156"/>
      <c r="C22" s="263" t="e">
        <f>EmpID</f>
        <v>#NAME?</v>
      </c>
      <c r="D22" s="156"/>
      <c r="E22" s="156"/>
      <c r="F22" s="156"/>
      <c r="G22" s="156"/>
      <c r="H22" s="156"/>
      <c r="I22" s="156"/>
      <c r="J22" s="156" t="s">
        <v>479</v>
      </c>
      <c r="K22" s="156" t="s">
        <v>60</v>
      </c>
      <c r="L22" s="156" t="s">
        <v>61</v>
      </c>
      <c r="M22" s="156" t="s">
        <v>480</v>
      </c>
      <c r="N22" s="156" t="s">
        <v>481</v>
      </c>
      <c r="O22" s="156" t="s">
        <v>482</v>
      </c>
      <c r="P22" s="156" t="s">
        <v>483</v>
      </c>
      <c r="Q22" s="156" t="s">
        <v>101</v>
      </c>
      <c r="R22" s="156" t="s">
        <v>35</v>
      </c>
      <c r="S22" s="156" t="s">
        <v>484</v>
      </c>
      <c r="T22" s="156" t="s">
        <v>460</v>
      </c>
      <c r="U22" s="258"/>
      <c r="V22" s="222" t="s">
        <v>485</v>
      </c>
      <c r="W22" s="222" t="s">
        <v>486</v>
      </c>
      <c r="X22" s="222" t="s">
        <v>487</v>
      </c>
      <c r="Y22" s="222" t="s">
        <v>477</v>
      </c>
      <c r="Z22" s="156" t="s">
        <v>138</v>
      </c>
      <c r="AA22" s="156" t="s">
        <v>445</v>
      </c>
      <c r="AB22" s="67" t="s">
        <v>488</v>
      </c>
      <c r="AC22" s="67" t="s">
        <v>128</v>
      </c>
      <c r="AD22" s="67" t="s">
        <v>489</v>
      </c>
      <c r="AE22" s="67" t="s">
        <v>128</v>
      </c>
      <c r="AF22" s="67" t="s">
        <v>489</v>
      </c>
      <c r="AG22" s="67" t="s">
        <v>490</v>
      </c>
      <c r="AH22" s="67" t="s">
        <v>491</v>
      </c>
      <c r="AI22" s="67" t="s">
        <v>477</v>
      </c>
      <c r="AJ22" s="259" t="s">
        <v>492</v>
      </c>
    </row>
    <row r="23" spans="1:36" hidden="1" outlineLevel="1" x14ac:dyDescent="0.25">
      <c r="A23" s="120">
        <f>GETPAYMONTH(B23)</f>
        <v>0</v>
      </c>
      <c r="B23" s="226"/>
      <c r="C23" s="227"/>
      <c r="D23" s="260"/>
      <c r="E23" s="228" t="e">
        <f ca="1">SUMIF(payNonMonth,"="&amp;$X23,$E$362:OFFSET($E$362,ROWS(payNonMonth)-1,0))</f>
        <v>#NAME?</v>
      </c>
      <c r="F23" s="228"/>
      <c r="G23" s="77" t="e">
        <f ca="1">IF(AND($E23=0,$F23=0),0,1)</f>
        <v>#NAME?</v>
      </c>
      <c r="H23" s="76" t="e">
        <f ca="1">ROUND(SUM(E23:F23)*AC23,2)</f>
        <v>#NAME?</v>
      </c>
      <c r="I23" s="76" t="e">
        <f ca="1">H23*OFFSET(payMgmtRate,0,$AH23)</f>
        <v>#NAME?</v>
      </c>
      <c r="J23" s="233" t="e">
        <f t="shared" ref="J23:J54" ca="1" si="5">ROUND(IF(AI23,$E23,1)*AE23+$F23*AF23+SUMIF(payAllow,$W23,$J$269:$J$359),2)</f>
        <v>#NAME?</v>
      </c>
      <c r="K23" s="76" t="e">
        <f t="shared" ref="K23:K54" si="6">SUMIF(payAllow,$W23,K$269:K$359)+SUMIF(payAllow,$W23,O$269:O$359)</f>
        <v>#NAME?</v>
      </c>
      <c r="L23" s="76" t="e">
        <f t="shared" ref="L23:L56" ca="1" si="7">SUMIF(payAllow,$W23,L$269:L$359)*$G23</f>
        <v>#NAME?</v>
      </c>
      <c r="M23" s="76" t="e">
        <f ca="1">GETSUPER(J23-SUM(K23:L23))</f>
        <v>#VALUE!</v>
      </c>
      <c r="N23" s="76" t="e">
        <f t="shared" ref="N23:N54" ca="1" si="8">SUMIF(payAllow,$W23,N$269:N$359)*G23</f>
        <v>#NAME?</v>
      </c>
      <c r="O23" s="76" t="e">
        <f t="shared" ref="O23:O58" ca="1" si="9">ROUND((J23-SUM(K23:N23))*InsureRate,2)</f>
        <v>#NAME?</v>
      </c>
      <c r="P23" s="76"/>
      <c r="Q23" s="76" t="e">
        <f ca="1">J23-SUM(K23:P23)</f>
        <v>#NAME?</v>
      </c>
      <c r="R23" s="76" t="e">
        <f ca="1">GETTAX(Q23,AA23)</f>
        <v>#VALUE!</v>
      </c>
      <c r="S23" s="76" t="e">
        <f ca="1">Q23-R23</f>
        <v>#NAME?</v>
      </c>
      <c r="T23" s="232" t="e">
        <f t="shared" ref="T23:T54" ca="1" si="10">SUMIF(payAllow,W23,T$269:T$359)*G23</f>
        <v>#NAME?</v>
      </c>
      <c r="V23" s="120" t="e">
        <f>IF(EmpID="*","*",C23) &amp;":"&amp; $A23</f>
        <v>#NAME?</v>
      </c>
      <c r="W23" s="120" t="str">
        <f>$C23 &amp;":"&amp; $B23</f>
        <v>:</v>
      </c>
      <c r="X23" s="120" t="str">
        <f>C23 &amp;":"&amp; A23</f>
        <v>:0</v>
      </c>
      <c r="Y23" s="250">
        <f t="array" aca="1" ref="Y23:AJ23" ca="1">VLOOKUP($D23&amp;":"&amp;$C23,tblPayRates,{3,4,5,6,7,8,9,10,11,12,13,14},0)</f>
        <v>0</v>
      </c>
      <c r="Z23" s="16" t="str">
        <f ca="1"/>
        <v>Nobody</v>
      </c>
      <c r="AA23" s="261" t="str">
        <f ca="1"/>
        <v>M</v>
      </c>
      <c r="AB23" s="77" t="str">
        <f ca="1"/>
        <v>Daily</v>
      </c>
      <c r="AC23" s="77">
        <f ca="1"/>
        <v>0</v>
      </c>
      <c r="AD23" s="77">
        <f ca="1"/>
        <v>0</v>
      </c>
      <c r="AE23" s="77">
        <f ca="1"/>
        <v>0</v>
      </c>
      <c r="AF23" s="77">
        <f ca="1"/>
        <v>0</v>
      </c>
      <c r="AG23" s="261" t="str">
        <f ca="1"/>
        <v>N</v>
      </c>
      <c r="AH23" s="261">
        <f ca="1"/>
        <v>1</v>
      </c>
      <c r="AI23" s="261">
        <f ca="1"/>
        <v>1</v>
      </c>
      <c r="AJ23" s="262">
        <f ca="1"/>
        <v>0</v>
      </c>
    </row>
    <row r="24" spans="1:36" hidden="1" outlineLevel="1" x14ac:dyDescent="0.25">
      <c r="A24" s="120">
        <f t="shared" ref="A24:A58" si="11">GETPAYMONTH(B24)</f>
        <v>1</v>
      </c>
      <c r="B24" s="231">
        <v>43646</v>
      </c>
      <c r="C24" s="77" t="s">
        <v>55</v>
      </c>
      <c r="D24" s="238" t="s">
        <v>659</v>
      </c>
      <c r="E24" s="76" t="e">
        <f ca="1">SUMIF(payNonMonth,"="&amp;$X24,$E$362:OFFSET($E$362,ROWS(payNonMonth)-1,0))</f>
        <v>#NAME?</v>
      </c>
      <c r="F24" s="76"/>
      <c r="G24" s="77" t="e">
        <f t="shared" ref="G24:G58" ca="1" si="12">IF(AND($E24=0,$F24=0),0,1)</f>
        <v>#NAME?</v>
      </c>
      <c r="H24" s="76" t="e">
        <f t="shared" ref="H24:H58" ca="1" si="13">ROUND(SUM(E24:F24)*AC24,2)</f>
        <v>#NAME?</v>
      </c>
      <c r="I24" s="76" t="e">
        <f t="shared" ref="I24:I58" ca="1" si="14">H24*OFFSET(payMgmtRate,0,$AH24)</f>
        <v>#NAME?</v>
      </c>
      <c r="J24" s="233" t="e">
        <f t="shared" ca="1" si="5"/>
        <v>#NAME?</v>
      </c>
      <c r="K24" s="76" t="e">
        <f t="shared" si="6"/>
        <v>#NAME?</v>
      </c>
      <c r="L24" s="76" t="e">
        <f t="shared" ca="1" si="7"/>
        <v>#NAME?</v>
      </c>
      <c r="M24" s="76" t="e">
        <f t="shared" ref="M24:M58" ca="1" si="15">GETSUPER(J24-SUM(K24:L24))</f>
        <v>#VALUE!</v>
      </c>
      <c r="N24" s="76" t="e">
        <f t="shared" ca="1" si="8"/>
        <v>#NAME?</v>
      </c>
      <c r="O24" s="76" t="e">
        <f t="shared" ca="1" si="9"/>
        <v>#NAME?</v>
      </c>
      <c r="P24" s="76"/>
      <c r="Q24" s="76" t="e">
        <f t="shared" ref="Q24:Q58" ca="1" si="16">J24-SUM(K24:P24)</f>
        <v>#NAME?</v>
      </c>
      <c r="R24" s="76" t="e">
        <f ca="1">GETTAX(Q24,AA24)</f>
        <v>#VALUE!</v>
      </c>
      <c r="S24" s="76" t="e">
        <f t="shared" ref="S24:S58" ca="1" si="17">Q24-R24</f>
        <v>#NAME?</v>
      </c>
      <c r="T24" s="232" t="e">
        <f t="shared" ca="1" si="10"/>
        <v>#NAME?</v>
      </c>
      <c r="V24" s="120" t="e">
        <f t="shared" ref="V24:V58" si="18">IF(EmpID="*","*",C24) &amp;":"&amp; $A24</f>
        <v>#NAME?</v>
      </c>
      <c r="W24" s="120" t="str">
        <f t="shared" ref="W24:X58" si="19">$C24 &amp;":"&amp; $B24</f>
        <v>MAM:43646</v>
      </c>
      <c r="X24" s="120" t="str">
        <f t="shared" ref="X24:X40" si="20">C24 &amp;":"&amp; A24</f>
        <v>MAM:1</v>
      </c>
      <c r="Y24" s="250" t="str">
        <f t="array" ref="Y24:AJ24">VLOOKUP($D24&amp;":"&amp;$C24,tblPayRates,{3,4,5,6,7,8,9,10,11,12,13,14},0)</f>
        <v>MAM</v>
      </c>
      <c r="Z24" s="16" t="str">
        <v>Magma</v>
      </c>
      <c r="AA24" s="261" t="str">
        <v>M</v>
      </c>
      <c r="AB24" s="77" t="str">
        <v>Daily</v>
      </c>
      <c r="AC24" s="77">
        <v>950</v>
      </c>
      <c r="AD24" s="77">
        <v>950</v>
      </c>
      <c r="AE24" s="77">
        <v>900</v>
      </c>
      <c r="AF24" s="77">
        <v>0</v>
      </c>
      <c r="AG24" s="261" t="str">
        <v>N</v>
      </c>
      <c r="AH24" s="261">
        <v>1</v>
      </c>
      <c r="AI24" s="261">
        <v>1</v>
      </c>
      <c r="AJ24" s="262">
        <v>0</v>
      </c>
    </row>
    <row r="25" spans="1:36" hidden="1" outlineLevel="1" x14ac:dyDescent="0.25">
      <c r="A25" s="120">
        <f t="shared" ref="A25:A29" si="21">GETPAYMONTH(B25)</f>
        <v>1</v>
      </c>
      <c r="B25" s="231">
        <v>43646</v>
      </c>
      <c r="C25" s="77" t="s">
        <v>57</v>
      </c>
      <c r="D25" s="238" t="s">
        <v>668</v>
      </c>
      <c r="E25" s="76" t="e">
        <f ca="1">SUMIF(payNonMonth,"="&amp;$X25,$E$362:OFFSET($E$362,ROWS(payNonMonth)-1,0))</f>
        <v>#NAME?</v>
      </c>
      <c r="F25" s="76"/>
      <c r="G25" s="77" t="e">
        <f t="shared" ca="1" si="12"/>
        <v>#NAME?</v>
      </c>
      <c r="H25" s="76" t="e">
        <f t="shared" ref="H25:H29" ca="1" si="22">ROUND(SUM(E25:F25)*AC25,2)</f>
        <v>#NAME?</v>
      </c>
      <c r="I25" s="76" t="e">
        <f t="shared" ref="I25:I29" ca="1" si="23">H25*OFFSET(payMgmtRate,0,$AH25)</f>
        <v>#NAME?</v>
      </c>
      <c r="J25" s="233" t="e">
        <f t="shared" ca="1" si="5"/>
        <v>#NAME?</v>
      </c>
      <c r="K25" s="76" t="e">
        <f t="shared" si="6"/>
        <v>#NAME?</v>
      </c>
      <c r="L25" s="76" t="e">
        <f t="shared" ca="1" si="7"/>
        <v>#NAME?</v>
      </c>
      <c r="M25" s="76" t="e">
        <f t="shared" ref="M25:M29" ca="1" si="24">GETSUPER(J25-SUM(K25:L25))</f>
        <v>#VALUE!</v>
      </c>
      <c r="N25" s="76" t="e">
        <f t="shared" ca="1" si="8"/>
        <v>#NAME?</v>
      </c>
      <c r="O25" s="76" t="e">
        <f t="shared" ref="O25:O27" ca="1" si="25">ROUND((J25-SUM(K25:N25))*InsureRate,2)</f>
        <v>#NAME?</v>
      </c>
      <c r="P25" s="76"/>
      <c r="Q25" s="76" t="e">
        <f t="shared" ref="Q25:Q29" ca="1" si="26">J25-SUM(K25:P25)</f>
        <v>#NAME?</v>
      </c>
      <c r="R25" s="76" t="e">
        <f ca="1">GETTAX(Q25,AA25)</f>
        <v>#VALUE!</v>
      </c>
      <c r="S25" s="76" t="e">
        <f t="shared" ref="S25:S29" ca="1" si="27">Q25-R25</f>
        <v>#NAME?</v>
      </c>
      <c r="T25" s="232" t="e">
        <f t="shared" ca="1" si="10"/>
        <v>#NAME?</v>
      </c>
      <c r="V25" s="120" t="e">
        <f t="shared" ref="V25:V29" si="28">IF(EmpID="*","*",C25) &amp;":"&amp; $A25</f>
        <v>#NAME?</v>
      </c>
      <c r="W25" s="120" t="str">
        <f t="shared" si="19"/>
        <v>CRP:43646</v>
      </c>
      <c r="X25" s="120" t="str">
        <f t="shared" ref="X25:X29" si="29">C25 &amp;":"&amp; A25</f>
        <v>CRP:1</v>
      </c>
      <c r="Y25" s="250" t="str">
        <f t="array" ref="Y25:AJ25">VLOOKUP($D25&amp;":"&amp;$C25,tblPayRates,{3,4,5,6,7,8,9,10,11,12,13,14},0)</f>
        <v>CRP</v>
      </c>
      <c r="Z25" s="16" t="str">
        <v>MTR</v>
      </c>
      <c r="AA25" s="261" t="str">
        <v>M</v>
      </c>
      <c r="AB25" s="77" t="str">
        <v>Daily</v>
      </c>
      <c r="AC25" s="77">
        <v>500</v>
      </c>
      <c r="AD25" s="77">
        <v>500</v>
      </c>
      <c r="AE25" s="77">
        <v>490</v>
      </c>
      <c r="AF25" s="77">
        <v>0</v>
      </c>
      <c r="AG25" s="261" t="str">
        <v>Q</v>
      </c>
      <c r="AH25" s="261">
        <v>1</v>
      </c>
      <c r="AI25" s="261">
        <v>1</v>
      </c>
      <c r="AJ25" s="262">
        <v>0</v>
      </c>
    </row>
    <row r="26" spans="1:36" hidden="1" outlineLevel="1" x14ac:dyDescent="0.25">
      <c r="A26" s="120">
        <f t="shared" si="21"/>
        <v>1</v>
      </c>
      <c r="B26" s="231">
        <v>43646</v>
      </c>
      <c r="C26" s="77" t="s">
        <v>58</v>
      </c>
      <c r="D26" s="238" t="s">
        <v>668</v>
      </c>
      <c r="E26" s="76" t="e">
        <f ca="1">SUMIF(payNonMonth,"="&amp;$X26,$E$362:OFFSET($E$362,ROWS(payNonMonth)-1,0))</f>
        <v>#NAME?</v>
      </c>
      <c r="F26" s="76"/>
      <c r="G26" s="77" t="e">
        <f t="shared" ca="1" si="12"/>
        <v>#NAME?</v>
      </c>
      <c r="H26" s="76" t="e">
        <f t="shared" ca="1" si="22"/>
        <v>#NAME?</v>
      </c>
      <c r="I26" s="76" t="e">
        <f t="shared" ca="1" si="23"/>
        <v>#NAME?</v>
      </c>
      <c r="J26" s="233" t="e">
        <f t="shared" ca="1" si="5"/>
        <v>#NAME?</v>
      </c>
      <c r="K26" s="76" t="e">
        <f t="shared" si="6"/>
        <v>#NAME?</v>
      </c>
      <c r="L26" s="76" t="e">
        <f t="shared" ca="1" si="7"/>
        <v>#NAME?</v>
      </c>
      <c r="M26" s="76" t="e">
        <f t="shared" ca="1" si="24"/>
        <v>#VALUE!</v>
      </c>
      <c r="N26" s="76" t="e">
        <f t="shared" ca="1" si="8"/>
        <v>#NAME?</v>
      </c>
      <c r="O26" s="76" t="e">
        <f t="shared" ca="1" si="25"/>
        <v>#NAME?</v>
      </c>
      <c r="P26" s="76"/>
      <c r="Q26" s="76" t="e">
        <f t="shared" ca="1" si="26"/>
        <v>#NAME?</v>
      </c>
      <c r="R26" s="76" t="e">
        <f t="shared" ref="R26:R29" ca="1" si="30">GETTAX(Q26,AA26)</f>
        <v>#VALUE!</v>
      </c>
      <c r="S26" s="76" t="e">
        <f t="shared" ca="1" si="27"/>
        <v>#NAME?</v>
      </c>
      <c r="T26" s="232" t="e">
        <f t="shared" ca="1" si="10"/>
        <v>#NAME?</v>
      </c>
      <c r="V26" s="120" t="e">
        <f t="shared" si="28"/>
        <v>#NAME?</v>
      </c>
      <c r="W26" s="120" t="str">
        <f t="shared" si="19"/>
        <v>SM:43646</v>
      </c>
      <c r="X26" s="120" t="str">
        <f t="shared" si="29"/>
        <v>SM:1</v>
      </c>
      <c r="Y26" s="250" t="str">
        <f t="array" ref="Y26:AJ26">VLOOKUP($D26&amp;":"&amp;$C26,tblPayRates,{3,4,5,6,7,8,9,10,11,12,13,14},0)</f>
        <v>SM</v>
      </c>
      <c r="Z26" s="16" t="str">
        <v>MTR</v>
      </c>
      <c r="AA26" s="261" t="str">
        <v>M</v>
      </c>
      <c r="AB26" s="77" t="str">
        <v>Daily</v>
      </c>
      <c r="AC26" s="77">
        <v>500</v>
      </c>
      <c r="AD26" s="77">
        <v>500</v>
      </c>
      <c r="AE26" s="77">
        <v>490</v>
      </c>
      <c r="AF26" s="77">
        <v>0</v>
      </c>
      <c r="AG26" s="261" t="str">
        <v>Q</v>
      </c>
      <c r="AH26" s="261">
        <v>1</v>
      </c>
      <c r="AI26" s="261">
        <v>1</v>
      </c>
      <c r="AJ26" s="262">
        <v>0</v>
      </c>
    </row>
    <row r="27" spans="1:36" hidden="1" outlineLevel="1" x14ac:dyDescent="0.25">
      <c r="A27" s="120">
        <f t="shared" si="21"/>
        <v>1</v>
      </c>
      <c r="B27" s="231">
        <v>43646</v>
      </c>
      <c r="C27" s="77" t="s">
        <v>622</v>
      </c>
      <c r="D27" s="238" t="s">
        <v>499</v>
      </c>
      <c r="E27" s="76" t="e">
        <f ca="1">SUMIF(payNonMonth,"="&amp;$X27,$E$362:OFFSET($E$362,ROWS(payNonMonth)-1,0))</f>
        <v>#NAME?</v>
      </c>
      <c r="F27" s="76"/>
      <c r="G27" s="77" t="e">
        <f t="shared" ca="1" si="12"/>
        <v>#NAME?</v>
      </c>
      <c r="H27" s="76" t="e">
        <f t="shared" ca="1" si="22"/>
        <v>#NAME?</v>
      </c>
      <c r="I27" s="76" t="e">
        <f t="shared" ca="1" si="23"/>
        <v>#NAME?</v>
      </c>
      <c r="J27" s="233" t="e">
        <f t="shared" ca="1" si="5"/>
        <v>#NAME?</v>
      </c>
      <c r="K27" s="76" t="e">
        <f t="shared" si="6"/>
        <v>#NAME?</v>
      </c>
      <c r="L27" s="76" t="e">
        <f t="shared" ca="1" si="7"/>
        <v>#NAME?</v>
      </c>
      <c r="M27" s="76" t="e">
        <f t="shared" ca="1" si="24"/>
        <v>#VALUE!</v>
      </c>
      <c r="N27" s="76" t="e">
        <f t="shared" ca="1" si="8"/>
        <v>#NAME?</v>
      </c>
      <c r="O27" s="76" t="e">
        <f t="shared" ca="1" si="25"/>
        <v>#NAME?</v>
      </c>
      <c r="P27" s="76"/>
      <c r="Q27" s="76" t="e">
        <f t="shared" ca="1" si="26"/>
        <v>#NAME?</v>
      </c>
      <c r="R27" s="76" t="e">
        <f t="shared" ca="1" si="30"/>
        <v>#VALUE!</v>
      </c>
      <c r="S27" s="76" t="e">
        <f t="shared" ca="1" si="27"/>
        <v>#NAME?</v>
      </c>
      <c r="T27" s="232" t="e">
        <f t="shared" ca="1" si="10"/>
        <v>#NAME?</v>
      </c>
      <c r="V27" s="120" t="e">
        <f t="shared" si="28"/>
        <v>#NAME?</v>
      </c>
      <c r="W27" s="120" t="str">
        <f t="shared" si="19"/>
        <v>GEO:43646</v>
      </c>
      <c r="X27" s="120" t="str">
        <f t="shared" si="29"/>
        <v>GEO:1</v>
      </c>
      <c r="Y27" s="250" t="str">
        <f t="array" ref="Y27:AJ27">VLOOKUP($D27&amp;":"&amp;$C27,tblPayRates,{3,4,5,6,7,8,9,10,11,12,13,14},0)</f>
        <v>GEO</v>
      </c>
      <c r="Z27" s="16" t="str">
        <v>Magma</v>
      </c>
      <c r="AA27" s="261" t="str">
        <v>M</v>
      </c>
      <c r="AB27" s="77" t="str">
        <v>Daily</v>
      </c>
      <c r="AC27" s="77">
        <v>700</v>
      </c>
      <c r="AD27" s="77">
        <v>700</v>
      </c>
      <c r="AE27" s="77">
        <v>665</v>
      </c>
      <c r="AF27" s="77">
        <v>0</v>
      </c>
      <c r="AG27" s="261" t="str">
        <v>N</v>
      </c>
      <c r="AH27" s="261">
        <v>2</v>
      </c>
      <c r="AI27" s="261">
        <v>1</v>
      </c>
      <c r="AJ27" s="262">
        <v>0</v>
      </c>
    </row>
    <row r="28" spans="1:36" outlineLevel="1" x14ac:dyDescent="0.25">
      <c r="A28" s="120">
        <f>GETPAYMONTH(B28)</f>
        <v>1</v>
      </c>
      <c r="B28" s="231">
        <v>43646</v>
      </c>
      <c r="C28" s="77" t="s">
        <v>657</v>
      </c>
      <c r="D28" s="238" t="s">
        <v>674</v>
      </c>
      <c r="E28" s="76" t="e">
        <f ca="1">SUMIF(payNonMonth,"="&amp;$X28,$E$362:OFFSET($E$362,ROWS(payNonMonth)-1,0))</f>
        <v>#NAME?</v>
      </c>
      <c r="F28" s="76"/>
      <c r="G28" s="77" t="e">
        <f ca="1">IF(AND($E28=0,$F28=0),0,1)</f>
        <v>#NAME?</v>
      </c>
      <c r="H28" s="76" t="e">
        <f ca="1">ROUND(SUM(E28:F28)*AC28,2)</f>
        <v>#NAME?</v>
      </c>
      <c r="I28" s="76" t="e">
        <f ca="1">H28*OFFSET(payMgmtRate,0,$AH28)</f>
        <v>#NAME?</v>
      </c>
      <c r="J28" s="233" t="e">
        <f t="shared" ca="1" si="5"/>
        <v>#NAME?</v>
      </c>
      <c r="K28" s="76" t="e">
        <f t="shared" si="6"/>
        <v>#NAME?</v>
      </c>
      <c r="L28" s="76" t="e">
        <f t="shared" ca="1" si="7"/>
        <v>#NAME?</v>
      </c>
      <c r="M28" s="76" t="e">
        <f ca="1">GETSUPER(J28-SUM(K28:L28))</f>
        <v>#VALUE!</v>
      </c>
      <c r="N28" s="76" t="e">
        <f t="shared" ca="1" si="8"/>
        <v>#NAME?</v>
      </c>
      <c r="O28" s="76"/>
      <c r="P28" s="76"/>
      <c r="Q28" s="76" t="e">
        <f ca="1">J28-SUM(K28:P28)</f>
        <v>#NAME?</v>
      </c>
      <c r="R28" s="76" t="e">
        <f ca="1">GETTAX(Q28,AA28)</f>
        <v>#VALUE!</v>
      </c>
      <c r="S28" s="76" t="e">
        <f ca="1">Q28-R28</f>
        <v>#NAME?</v>
      </c>
      <c r="T28" s="232" t="e">
        <f t="shared" ca="1" si="10"/>
        <v>#NAME?</v>
      </c>
      <c r="V28" s="120" t="e">
        <f>IF(EmpID="*","*",C28) &amp;":"&amp; $A28</f>
        <v>#NAME?</v>
      </c>
      <c r="W28" s="120" t="str">
        <f>$C28 &amp;":"&amp; $B28</f>
        <v>VAK:43646</v>
      </c>
      <c r="X28" s="120" t="str">
        <f>C28 &amp;":"&amp; A28</f>
        <v>VAK:1</v>
      </c>
      <c r="Y28" s="250" t="str">
        <f t="array" ref="Y28:AJ28">VLOOKUP($D28&amp;":"&amp;$C28,tblPayRates,{3,4,5,6,7,8,9,10,11,12,13,14},0)</f>
        <v>VAK</v>
      </c>
      <c r="Z28" s="16" t="str">
        <v>Paxus</v>
      </c>
      <c r="AA28" s="261" t="str">
        <v>M</v>
      </c>
      <c r="AB28" s="77" t="str">
        <v>Daily</v>
      </c>
      <c r="AC28" s="77">
        <v>623</v>
      </c>
      <c r="AD28" s="77">
        <v>623</v>
      </c>
      <c r="AE28" s="77">
        <v>524.21</v>
      </c>
      <c r="AF28" s="77">
        <v>0</v>
      </c>
      <c r="AG28" s="261" t="str">
        <v>Q</v>
      </c>
      <c r="AH28" s="261">
        <v>1</v>
      </c>
      <c r="AI28" s="261">
        <v>1</v>
      </c>
      <c r="AJ28" s="262">
        <v>0</v>
      </c>
    </row>
    <row r="29" spans="1:36" hidden="1" outlineLevel="1" x14ac:dyDescent="0.25">
      <c r="A29" s="120">
        <f t="shared" si="21"/>
        <v>1</v>
      </c>
      <c r="B29" s="231">
        <v>43646</v>
      </c>
      <c r="C29" s="77" t="s">
        <v>658</v>
      </c>
      <c r="D29" s="238" t="s">
        <v>673</v>
      </c>
      <c r="E29" s="76" t="e">
        <f ca="1">SUMIF(payNonMonth,"="&amp;$X29,$E$362:OFFSET($E$362,ROWS(payNonMonth)-1,0))</f>
        <v>#NAME?</v>
      </c>
      <c r="F29" s="76"/>
      <c r="G29" s="77" t="e">
        <f t="shared" ca="1" si="12"/>
        <v>#NAME?</v>
      </c>
      <c r="H29" s="76" t="e">
        <f t="shared" ca="1" si="22"/>
        <v>#NAME?</v>
      </c>
      <c r="I29" s="76" t="e">
        <f t="shared" ca="1" si="23"/>
        <v>#NAME?</v>
      </c>
      <c r="J29" s="233" t="e">
        <f t="shared" ca="1" si="5"/>
        <v>#NAME?</v>
      </c>
      <c r="K29" s="76" t="e">
        <f t="shared" si="6"/>
        <v>#NAME?</v>
      </c>
      <c r="L29" s="76" t="e">
        <f t="shared" ca="1" si="7"/>
        <v>#NAME?</v>
      </c>
      <c r="M29" s="76" t="e">
        <f t="shared" ca="1" si="24"/>
        <v>#VALUE!</v>
      </c>
      <c r="N29" s="76" t="e">
        <f t="shared" ca="1" si="8"/>
        <v>#NAME?</v>
      </c>
      <c r="O29" s="76"/>
      <c r="P29" s="76"/>
      <c r="Q29" s="76" t="e">
        <f t="shared" ca="1" si="26"/>
        <v>#NAME?</v>
      </c>
      <c r="R29" s="76" t="e">
        <f t="shared" ca="1" si="30"/>
        <v>#VALUE!</v>
      </c>
      <c r="S29" s="76" t="e">
        <f t="shared" ca="1" si="27"/>
        <v>#NAME?</v>
      </c>
      <c r="T29" s="232" t="e">
        <f t="shared" ca="1" si="10"/>
        <v>#NAME?</v>
      </c>
      <c r="V29" s="120" t="e">
        <f t="shared" si="28"/>
        <v>#NAME?</v>
      </c>
      <c r="W29" s="120" t="str">
        <f t="shared" si="19"/>
        <v>ASW:43646</v>
      </c>
      <c r="X29" s="120" t="str">
        <f t="shared" si="29"/>
        <v>ASW:1</v>
      </c>
      <c r="Y29" s="250" t="str">
        <f t="array" ref="Y29:AJ29">VLOOKUP($D29&amp;":"&amp;$C29,tblPayRates,{3,4,5,6,7,8,9,10,11,12,13,14},0)</f>
        <v>ASW</v>
      </c>
      <c r="Z29" s="16" t="str">
        <v>Paxus</v>
      </c>
      <c r="AA29" s="261" t="str">
        <v>M</v>
      </c>
      <c r="AB29" s="77" t="str">
        <v>Daily</v>
      </c>
      <c r="AC29" s="77">
        <v>267</v>
      </c>
      <c r="AD29" s="77">
        <v>267</v>
      </c>
      <c r="AE29" s="77">
        <v>321.29000000000002</v>
      </c>
      <c r="AF29" s="77">
        <v>0</v>
      </c>
      <c r="AG29" s="261" t="str">
        <v>Q</v>
      </c>
      <c r="AH29" s="261">
        <v>1</v>
      </c>
      <c r="AI29" s="261">
        <v>1</v>
      </c>
      <c r="AJ29" s="262">
        <v>0</v>
      </c>
    </row>
    <row r="30" spans="1:36" hidden="1" outlineLevel="1" x14ac:dyDescent="0.25">
      <c r="A30" s="120">
        <f t="shared" si="11"/>
        <v>1</v>
      </c>
      <c r="B30" s="231">
        <v>43653</v>
      </c>
      <c r="C30" s="77" t="s">
        <v>669</v>
      </c>
      <c r="D30" s="238" t="s">
        <v>668</v>
      </c>
      <c r="E30" s="76">
        <v>8</v>
      </c>
      <c r="F30" s="76"/>
      <c r="G30" s="77">
        <f t="shared" si="12"/>
        <v>1</v>
      </c>
      <c r="H30" s="76">
        <f t="shared" si="13"/>
        <v>3600</v>
      </c>
      <c r="I30" s="76">
        <f t="shared" ca="1" si="14"/>
        <v>180</v>
      </c>
      <c r="J30" s="233" t="e">
        <f t="shared" si="5"/>
        <v>#NAME?</v>
      </c>
      <c r="K30" s="76" t="e">
        <f t="shared" si="6"/>
        <v>#NAME?</v>
      </c>
      <c r="L30" s="76" t="e">
        <f t="shared" si="7"/>
        <v>#NAME?</v>
      </c>
      <c r="M30" s="76" t="e">
        <f>GETSUPER(J30-SUM(K30:L30))</f>
        <v>#VALUE!</v>
      </c>
      <c r="N30" s="76" t="e">
        <f t="shared" si="8"/>
        <v>#NAME?</v>
      </c>
      <c r="O30" s="76" t="e">
        <f>ROUND((J30-SUM(K30:N30))*InsureRate,2)</f>
        <v>#NAME?</v>
      </c>
      <c r="P30" s="76"/>
      <c r="Q30" s="76" t="e">
        <f t="shared" si="16"/>
        <v>#NAME?</v>
      </c>
      <c r="R30" s="76" t="e">
        <f>GETTAX(Q30,AA30)</f>
        <v>#VALUE!</v>
      </c>
      <c r="S30" s="76" t="e">
        <f t="shared" si="17"/>
        <v>#NAME?</v>
      </c>
      <c r="T30" s="232" t="e">
        <f t="shared" si="10"/>
        <v>#NAME?</v>
      </c>
      <c r="V30" s="120" t="e">
        <f t="shared" si="18"/>
        <v>#NAME?</v>
      </c>
      <c r="W30" s="120" t="str">
        <f t="shared" si="19"/>
        <v>DP:43653</v>
      </c>
      <c r="X30" s="120" t="str">
        <f>C30 &amp;":"&amp; $B30</f>
        <v>DP:43653</v>
      </c>
      <c r="Y30" s="250" t="str">
        <f t="array" ref="Y30:AJ30">VLOOKUP($D30&amp;":"&amp;$C30,tblPayRates,{3,4,5,6,7,8,9,10,11,12,13,14},0)</f>
        <v>DP</v>
      </c>
      <c r="Z30" s="16" t="str">
        <v>MTR</v>
      </c>
      <c r="AA30" s="261" t="str">
        <v>F</v>
      </c>
      <c r="AB30" s="77" t="str">
        <v>Daily</v>
      </c>
      <c r="AC30" s="77">
        <v>450</v>
      </c>
      <c r="AD30" s="77">
        <v>450</v>
      </c>
      <c r="AE30" s="77">
        <v>427.5</v>
      </c>
      <c r="AF30" s="77">
        <v>0</v>
      </c>
      <c r="AG30" s="261" t="str">
        <v>Q</v>
      </c>
      <c r="AH30" s="261">
        <v>1</v>
      </c>
      <c r="AI30" s="261">
        <v>1</v>
      </c>
      <c r="AJ30" s="262">
        <v>0</v>
      </c>
    </row>
    <row r="31" spans="1:36" hidden="1" outlineLevel="1" x14ac:dyDescent="0.25">
      <c r="A31" s="120">
        <f t="shared" si="11"/>
        <v>1</v>
      </c>
      <c r="B31" s="231">
        <v>43653</v>
      </c>
      <c r="C31" s="77" t="s">
        <v>678</v>
      </c>
      <c r="D31" s="238" t="s">
        <v>668</v>
      </c>
      <c r="E31" s="76" t="e">
        <f ca="1">SUMIF(payNonMonth,"="&amp;$X31,$E$362:OFFSET($E$362,ROWS(payNonMonth)-1,0))</f>
        <v>#NAME?</v>
      </c>
      <c r="F31" s="76"/>
      <c r="G31" s="77" t="e">
        <f t="shared" ca="1" si="12"/>
        <v>#NAME?</v>
      </c>
      <c r="H31" s="76" t="e">
        <f t="shared" ca="1" si="13"/>
        <v>#NAME?</v>
      </c>
      <c r="I31" s="76" t="e">
        <f t="shared" ca="1" si="14"/>
        <v>#NAME?</v>
      </c>
      <c r="J31" s="233" t="e">
        <f t="shared" ca="1" si="5"/>
        <v>#NAME?</v>
      </c>
      <c r="K31" s="76" t="e">
        <f t="shared" si="6"/>
        <v>#NAME?</v>
      </c>
      <c r="L31" s="76" t="e">
        <f t="shared" ca="1" si="7"/>
        <v>#NAME?</v>
      </c>
      <c r="M31" s="76" t="e">
        <f t="shared" ca="1" si="15"/>
        <v>#VALUE!</v>
      </c>
      <c r="N31" s="76" t="e">
        <f t="shared" ca="1" si="8"/>
        <v>#NAME?</v>
      </c>
      <c r="O31" s="76" t="e">
        <f t="shared" ca="1" si="9"/>
        <v>#NAME?</v>
      </c>
      <c r="P31" s="76"/>
      <c r="Q31" s="76" t="e">
        <f t="shared" ca="1" si="16"/>
        <v>#NAME?</v>
      </c>
      <c r="R31" s="76" t="e">
        <f t="shared" ref="R31:R96" ca="1" si="31">GETTAX(Q31,AA31)</f>
        <v>#VALUE!</v>
      </c>
      <c r="S31" s="76" t="e">
        <f t="shared" ca="1" si="17"/>
        <v>#NAME?</v>
      </c>
      <c r="T31" s="232" t="e">
        <f t="shared" ca="1" si="10"/>
        <v>#NAME?</v>
      </c>
      <c r="V31" s="120" t="e">
        <f t="shared" si="18"/>
        <v>#NAME?</v>
      </c>
      <c r="W31" s="120" t="str">
        <f t="shared" si="19"/>
        <v>ANK:43653</v>
      </c>
      <c r="X31" s="120" t="str">
        <f t="shared" si="19"/>
        <v>ANK:43653</v>
      </c>
      <c r="Y31" s="250" t="str">
        <f t="array" ref="Y31:AJ31">VLOOKUP($D31&amp;":"&amp;$C31,tblPayRates,{3,4,5,6,7,8,9,10,11,12,13,14},0)</f>
        <v>ANK</v>
      </c>
      <c r="Z31" s="16" t="str">
        <v>MTR</v>
      </c>
      <c r="AA31" s="261" t="str">
        <v>F</v>
      </c>
      <c r="AB31" s="77" t="str">
        <v>Daily</v>
      </c>
      <c r="AC31" s="77">
        <v>450</v>
      </c>
      <c r="AD31" s="77">
        <v>450</v>
      </c>
      <c r="AE31" s="77">
        <v>427.5</v>
      </c>
      <c r="AF31" s="77">
        <v>0</v>
      </c>
      <c r="AG31" s="261" t="str">
        <v>Q</v>
      </c>
      <c r="AH31" s="261">
        <v>1</v>
      </c>
      <c r="AI31" s="261">
        <v>1</v>
      </c>
      <c r="AJ31" s="262">
        <v>0</v>
      </c>
    </row>
    <row r="32" spans="1:36" hidden="1" outlineLevel="1" x14ac:dyDescent="0.25">
      <c r="A32" s="120">
        <f>GETPAYMONTH(B32)</f>
        <v>1</v>
      </c>
      <c r="B32" s="231">
        <v>43667</v>
      </c>
      <c r="C32" s="77" t="s">
        <v>669</v>
      </c>
      <c r="D32" s="238" t="s">
        <v>668</v>
      </c>
      <c r="E32" s="76" t="e">
        <f ca="1">SUMIF(payNonMonth,"="&amp;$X32,$E$362:OFFSET($E$362,ROWS(payNonMonth)-1,0))</f>
        <v>#NAME?</v>
      </c>
      <c r="F32" s="76"/>
      <c r="G32" s="77" t="e">
        <f ca="1">IF(AND($E32=0,$F32=0),0,1)</f>
        <v>#NAME?</v>
      </c>
      <c r="H32" s="76" t="e">
        <f ca="1">ROUND(SUM(E32:F32)*AC32,2)</f>
        <v>#NAME?</v>
      </c>
      <c r="I32" s="76" t="e">
        <f ca="1">H32*OFFSET(payMgmtRate,0,$AH32)</f>
        <v>#NAME?</v>
      </c>
      <c r="J32" s="233" t="e">
        <f t="shared" ca="1" si="5"/>
        <v>#NAME?</v>
      </c>
      <c r="K32" s="76" t="e">
        <f t="shared" si="6"/>
        <v>#NAME?</v>
      </c>
      <c r="L32" s="76" t="e">
        <f t="shared" ca="1" si="7"/>
        <v>#NAME?</v>
      </c>
      <c r="M32" s="76" t="e">
        <f ca="1">GETSUPER(J32-SUM(K32:L32))</f>
        <v>#VALUE!</v>
      </c>
      <c r="N32" s="76" t="e">
        <f t="shared" ca="1" si="8"/>
        <v>#NAME?</v>
      </c>
      <c r="O32" s="76" t="e">
        <f ca="1">ROUND((J32-SUM(K32:N32))*InsureRate,2)</f>
        <v>#NAME?</v>
      </c>
      <c r="P32" s="76"/>
      <c r="Q32" s="76" t="e">
        <f ca="1">J32-SUM(K32:P32)</f>
        <v>#NAME?</v>
      </c>
      <c r="R32" s="76" t="e">
        <f ca="1">GETTAX(Q32,AA32)</f>
        <v>#VALUE!</v>
      </c>
      <c r="S32" s="76" t="e">
        <f ca="1">Q32-R32</f>
        <v>#NAME?</v>
      </c>
      <c r="T32" s="232" t="e">
        <f t="shared" ca="1" si="10"/>
        <v>#NAME?</v>
      </c>
      <c r="V32" s="120" t="e">
        <f>IF(EmpID="*","*",C32) &amp;":"&amp; $A32</f>
        <v>#NAME?</v>
      </c>
      <c r="W32" s="120" t="str">
        <f>$C32 &amp;":"&amp; $B32</f>
        <v>DP:43667</v>
      </c>
      <c r="X32" s="120" t="str">
        <f>C32 &amp;":"&amp; $B32</f>
        <v>DP:43667</v>
      </c>
      <c r="Y32" s="250" t="str">
        <f t="array" ref="Y32:AJ32">VLOOKUP($D32&amp;":"&amp;$C32,tblPayRates,{3,4,5,6,7,8,9,10,11,12,13,14},0)</f>
        <v>DP</v>
      </c>
      <c r="Z32" s="16" t="str">
        <v>MTR</v>
      </c>
      <c r="AA32" s="261" t="str">
        <v>F</v>
      </c>
      <c r="AB32" s="77" t="str">
        <v>Daily</v>
      </c>
      <c r="AC32" s="77">
        <v>450</v>
      </c>
      <c r="AD32" s="77">
        <v>450</v>
      </c>
      <c r="AE32" s="77">
        <v>427.5</v>
      </c>
      <c r="AF32" s="77">
        <v>0</v>
      </c>
      <c r="AG32" s="261" t="str">
        <v>Q</v>
      </c>
      <c r="AH32" s="261">
        <v>1</v>
      </c>
      <c r="AI32" s="261">
        <v>1</v>
      </c>
      <c r="AJ32" s="262">
        <v>0</v>
      </c>
    </row>
    <row r="33" spans="1:36" hidden="1" outlineLevel="1" x14ac:dyDescent="0.25">
      <c r="A33" s="120">
        <f t="shared" si="11"/>
        <v>1</v>
      </c>
      <c r="B33" s="231">
        <v>43667</v>
      </c>
      <c r="C33" s="77" t="s">
        <v>678</v>
      </c>
      <c r="D33" s="238" t="s">
        <v>668</v>
      </c>
      <c r="E33" s="76" t="e">
        <f ca="1">SUMIF(payNonMonth,"="&amp;$X33,$E$362:OFFSET($E$362,ROWS(payNonMonth)-1,0))</f>
        <v>#NAME?</v>
      </c>
      <c r="F33" s="76"/>
      <c r="G33" s="77" t="e">
        <f t="shared" ca="1" si="12"/>
        <v>#NAME?</v>
      </c>
      <c r="H33" s="76" t="e">
        <f t="shared" ca="1" si="13"/>
        <v>#NAME?</v>
      </c>
      <c r="I33" s="76" t="e">
        <f t="shared" ca="1" si="14"/>
        <v>#NAME?</v>
      </c>
      <c r="J33" s="233" t="e">
        <f t="shared" ca="1" si="5"/>
        <v>#NAME?</v>
      </c>
      <c r="K33" s="76" t="e">
        <f t="shared" si="6"/>
        <v>#NAME?</v>
      </c>
      <c r="L33" s="76" t="e">
        <f t="shared" ca="1" si="7"/>
        <v>#NAME?</v>
      </c>
      <c r="M33" s="76" t="e">
        <f t="shared" ca="1" si="15"/>
        <v>#VALUE!</v>
      </c>
      <c r="N33" s="76" t="e">
        <f t="shared" ca="1" si="8"/>
        <v>#NAME?</v>
      </c>
      <c r="O33" s="76" t="e">
        <f t="shared" ca="1" si="9"/>
        <v>#NAME?</v>
      </c>
      <c r="P33" s="76"/>
      <c r="Q33" s="76" t="e">
        <f t="shared" ca="1" si="16"/>
        <v>#NAME?</v>
      </c>
      <c r="R33" s="76" t="e">
        <f t="shared" ca="1" si="31"/>
        <v>#VALUE!</v>
      </c>
      <c r="S33" s="76" t="e">
        <f t="shared" ca="1" si="17"/>
        <v>#NAME?</v>
      </c>
      <c r="T33" s="232" t="e">
        <f t="shared" ca="1" si="10"/>
        <v>#NAME?</v>
      </c>
      <c r="V33" s="120" t="e">
        <f t="shared" si="18"/>
        <v>#NAME?</v>
      </c>
      <c r="W33" s="120" t="str">
        <f t="shared" si="19"/>
        <v>ANK:43667</v>
      </c>
      <c r="X33" s="120" t="str">
        <f t="shared" si="19"/>
        <v>ANK:43667</v>
      </c>
      <c r="Y33" s="250" t="str">
        <f t="array" ref="Y33:AJ33">VLOOKUP($D33&amp;":"&amp;$C33,tblPayRates,{3,4,5,6,7,8,9,10,11,12,13,14},0)</f>
        <v>ANK</v>
      </c>
      <c r="Z33" s="16" t="str">
        <v>MTR</v>
      </c>
      <c r="AA33" s="261" t="str">
        <v>F</v>
      </c>
      <c r="AB33" s="77" t="str">
        <v>Daily</v>
      </c>
      <c r="AC33" s="77">
        <v>450</v>
      </c>
      <c r="AD33" s="77">
        <v>450</v>
      </c>
      <c r="AE33" s="77">
        <v>427.5</v>
      </c>
      <c r="AF33" s="77">
        <v>0</v>
      </c>
      <c r="AG33" s="261" t="str">
        <v>Q</v>
      </c>
      <c r="AH33" s="261">
        <v>1</v>
      </c>
      <c r="AI33" s="261">
        <v>1</v>
      </c>
      <c r="AJ33" s="262">
        <v>0</v>
      </c>
    </row>
    <row r="34" spans="1:36" hidden="1" outlineLevel="1" x14ac:dyDescent="0.25">
      <c r="A34" s="120">
        <f t="shared" ref="A34" si="32">GETPAYMONTH(B34)</f>
        <v>2</v>
      </c>
      <c r="B34" s="231">
        <v>43677</v>
      </c>
      <c r="C34" s="77" t="s">
        <v>55</v>
      </c>
      <c r="D34" s="238" t="s">
        <v>659</v>
      </c>
      <c r="E34" s="76" t="e">
        <f ca="1">SUMIF(payNonMonth,"="&amp;$X34,$E$362:OFFSET($E$362,ROWS(payNonMonth)-1,0))</f>
        <v>#NAME?</v>
      </c>
      <c r="F34" s="76"/>
      <c r="G34" s="77" t="e">
        <f t="shared" ca="1" si="12"/>
        <v>#NAME?</v>
      </c>
      <c r="H34" s="76" t="e">
        <f t="shared" ref="H34" ca="1" si="33">ROUND(SUM(E34:F34)*AC34,2)</f>
        <v>#NAME?</v>
      </c>
      <c r="I34" s="76" t="e">
        <f t="shared" ref="I34" ca="1" si="34">H34*OFFSET(payMgmtRate,0,$AH34)</f>
        <v>#NAME?</v>
      </c>
      <c r="J34" s="233" t="e">
        <f t="shared" ca="1" si="5"/>
        <v>#NAME?</v>
      </c>
      <c r="K34" s="76" t="e">
        <f t="shared" si="6"/>
        <v>#NAME?</v>
      </c>
      <c r="L34" s="76" t="e">
        <f t="shared" ca="1" si="7"/>
        <v>#NAME?</v>
      </c>
      <c r="M34" s="76" t="e">
        <f t="shared" ref="M34" ca="1" si="35">GETSUPER(J34-SUM(K34:L34))</f>
        <v>#VALUE!</v>
      </c>
      <c r="N34" s="76" t="e">
        <f t="shared" ca="1" si="8"/>
        <v>#NAME?</v>
      </c>
      <c r="O34" s="76" t="e">
        <f t="shared" ref="O34" ca="1" si="36">ROUND((J34-SUM(K34:N34))*InsureRate,2)</f>
        <v>#NAME?</v>
      </c>
      <c r="P34" s="76"/>
      <c r="Q34" s="76" t="e">
        <f t="shared" ref="Q34" ca="1" si="37">J34-SUM(K34:P34)</f>
        <v>#NAME?</v>
      </c>
      <c r="R34" s="76" t="e">
        <f t="shared" ref="R34" ca="1" si="38">GETTAX(Q34,AA34)</f>
        <v>#VALUE!</v>
      </c>
      <c r="S34" s="76" t="e">
        <f t="shared" ref="S34" ca="1" si="39">Q34-R34</f>
        <v>#NAME?</v>
      </c>
      <c r="T34" s="232" t="e">
        <f t="shared" ca="1" si="10"/>
        <v>#NAME?</v>
      </c>
      <c r="V34" s="120" t="e">
        <f t="shared" ref="V34" si="40">IF(EmpID="*","*",C34) &amp;":"&amp; $A34</f>
        <v>#NAME?</v>
      </c>
      <c r="W34" s="120" t="str">
        <f t="shared" si="19"/>
        <v>MAM:43677</v>
      </c>
      <c r="X34" s="120" t="str">
        <f t="shared" si="19"/>
        <v>MAM:43677</v>
      </c>
      <c r="Y34" s="250" t="str">
        <f t="array" ref="Y34:AJ34">VLOOKUP($D34&amp;":"&amp;$C34,tblPayRates,{3,4,5,6,7,8,9,10,11,12,13,14},0)</f>
        <v>MAM</v>
      </c>
      <c r="Z34" s="16" t="str">
        <v>Magma</v>
      </c>
      <c r="AA34" s="261" t="str">
        <v>M</v>
      </c>
      <c r="AB34" s="77" t="str">
        <v>Daily</v>
      </c>
      <c r="AC34" s="77">
        <v>950</v>
      </c>
      <c r="AD34" s="77">
        <v>950</v>
      </c>
      <c r="AE34" s="77">
        <v>900</v>
      </c>
      <c r="AF34" s="77">
        <v>0</v>
      </c>
      <c r="AG34" s="261" t="str">
        <v>N</v>
      </c>
      <c r="AH34" s="261">
        <v>1</v>
      </c>
      <c r="AI34" s="261">
        <v>1</v>
      </c>
      <c r="AJ34" s="262">
        <v>0</v>
      </c>
    </row>
    <row r="35" spans="1:36" hidden="1" outlineLevel="1" x14ac:dyDescent="0.25">
      <c r="A35" s="120">
        <f t="shared" si="11"/>
        <v>2</v>
      </c>
      <c r="B35" s="231">
        <v>43676</v>
      </c>
      <c r="C35" s="77" t="s">
        <v>55</v>
      </c>
      <c r="D35" s="238" t="s">
        <v>504</v>
      </c>
      <c r="E35" s="76" t="e">
        <f ca="1">SUMIF(payNonMonth,"="&amp;$X35,$E$362:OFFSET($E$362,ROWS(payNonMonth)-1,0))</f>
        <v>#NAME?</v>
      </c>
      <c r="F35" s="76"/>
      <c r="G35" s="77" t="e">
        <f t="shared" ca="1" si="12"/>
        <v>#NAME?</v>
      </c>
      <c r="H35" s="76" t="e">
        <f t="shared" ca="1" si="13"/>
        <v>#NAME?</v>
      </c>
      <c r="I35" s="76" t="e">
        <f t="shared" ca="1" si="14"/>
        <v>#NAME?</v>
      </c>
      <c r="J35" s="233" t="e">
        <f t="shared" ca="1" si="5"/>
        <v>#NAME?</v>
      </c>
      <c r="K35" s="76" t="e">
        <f t="shared" si="6"/>
        <v>#NAME?</v>
      </c>
      <c r="L35" s="76" t="e">
        <f t="shared" ca="1" si="7"/>
        <v>#NAME?</v>
      </c>
      <c r="M35" s="76" t="e">
        <f t="shared" ca="1" si="15"/>
        <v>#VALUE!</v>
      </c>
      <c r="N35" s="76" t="e">
        <f t="shared" ca="1" si="8"/>
        <v>#NAME?</v>
      </c>
      <c r="O35" s="76" t="e">
        <f t="shared" ca="1" si="9"/>
        <v>#NAME?</v>
      </c>
      <c r="P35" s="76"/>
      <c r="Q35" s="76" t="e">
        <f t="shared" ca="1" si="16"/>
        <v>#NAME?</v>
      </c>
      <c r="R35" s="76" t="e">
        <f t="shared" ca="1" si="31"/>
        <v>#VALUE!</v>
      </c>
      <c r="S35" s="76" t="e">
        <f t="shared" ca="1" si="17"/>
        <v>#NAME?</v>
      </c>
      <c r="T35" s="232" t="e">
        <f t="shared" ca="1" si="10"/>
        <v>#NAME?</v>
      </c>
      <c r="V35" s="120" t="e">
        <f t="shared" si="18"/>
        <v>#NAME?</v>
      </c>
      <c r="W35" s="120" t="str">
        <f t="shared" si="19"/>
        <v>MAM:43676</v>
      </c>
      <c r="X35" s="120" t="str">
        <f t="shared" si="19"/>
        <v>MAM:43676</v>
      </c>
      <c r="Y35" s="250" t="str">
        <f t="array" ref="Y35:AJ35">VLOOKUP($D35&amp;":"&amp;$C35,tblPayRates,{3,4,5,6,7,8,9,10,11,12,13,14},0)</f>
        <v>MAM</v>
      </c>
      <c r="Z35" s="16" t="str">
        <v>DWS</v>
      </c>
      <c r="AA35" s="261" t="str">
        <v>M</v>
      </c>
      <c r="AB35" s="77" t="str">
        <v>Daily</v>
      </c>
      <c r="AC35" s="77">
        <v>950</v>
      </c>
      <c r="AD35" s="77">
        <v>950</v>
      </c>
      <c r="AE35" s="77">
        <v>900</v>
      </c>
      <c r="AF35" s="77">
        <v>0</v>
      </c>
      <c r="AG35" s="261" t="str">
        <v>N</v>
      </c>
      <c r="AH35" s="261">
        <v>1</v>
      </c>
      <c r="AI35" s="261">
        <v>1</v>
      </c>
      <c r="AJ35" s="262">
        <v>0</v>
      </c>
    </row>
    <row r="36" spans="1:36" hidden="1" outlineLevel="1" x14ac:dyDescent="0.25">
      <c r="A36" s="120">
        <f t="shared" si="11"/>
        <v>2</v>
      </c>
      <c r="B36" s="231">
        <v>43677</v>
      </c>
      <c r="C36" s="77" t="s">
        <v>57</v>
      </c>
      <c r="D36" s="238" t="s">
        <v>668</v>
      </c>
      <c r="E36" s="76" t="e">
        <f ca="1">SUMIF(payNonMonth,"="&amp;$X36,$E$362:OFFSET($E$362,ROWS(payNonMonth)-1,0))</f>
        <v>#NAME?</v>
      </c>
      <c r="F36" s="76"/>
      <c r="G36" s="77" t="e">
        <f t="shared" ca="1" si="12"/>
        <v>#NAME?</v>
      </c>
      <c r="H36" s="76" t="e">
        <f t="shared" ca="1" si="13"/>
        <v>#NAME?</v>
      </c>
      <c r="I36" s="76" t="e">
        <f t="shared" ca="1" si="14"/>
        <v>#NAME?</v>
      </c>
      <c r="J36" s="233" t="e">
        <f t="shared" ca="1" si="5"/>
        <v>#NAME?</v>
      </c>
      <c r="K36" s="76" t="e">
        <f t="shared" si="6"/>
        <v>#NAME?</v>
      </c>
      <c r="L36" s="76" t="e">
        <f t="shared" ca="1" si="7"/>
        <v>#NAME?</v>
      </c>
      <c r="M36" s="76" t="e">
        <f t="shared" ca="1" si="15"/>
        <v>#VALUE!</v>
      </c>
      <c r="N36" s="76" t="e">
        <f t="shared" ca="1" si="8"/>
        <v>#NAME?</v>
      </c>
      <c r="O36" s="76" t="e">
        <f t="shared" ca="1" si="9"/>
        <v>#NAME?</v>
      </c>
      <c r="P36" s="76"/>
      <c r="Q36" s="76" t="e">
        <f t="shared" ca="1" si="16"/>
        <v>#NAME?</v>
      </c>
      <c r="R36" s="76" t="e">
        <f t="shared" ca="1" si="31"/>
        <v>#VALUE!</v>
      </c>
      <c r="S36" s="76" t="e">
        <f t="shared" ca="1" si="17"/>
        <v>#NAME?</v>
      </c>
      <c r="T36" s="232" t="e">
        <f t="shared" ca="1" si="10"/>
        <v>#NAME?</v>
      </c>
      <c r="V36" s="120" t="e">
        <f t="shared" si="18"/>
        <v>#NAME?</v>
      </c>
      <c r="W36" s="120" t="str">
        <f t="shared" si="19"/>
        <v>CRP:43677</v>
      </c>
      <c r="X36" s="120" t="str">
        <f t="shared" si="20"/>
        <v>CRP:2</v>
      </c>
      <c r="Y36" s="250" t="str">
        <f t="array" ref="Y36:AJ36">VLOOKUP($D36&amp;":"&amp;$C36,tblPayRates,{3,4,5,6,7,8,9,10,11,12,13,14},0)</f>
        <v>CRP</v>
      </c>
      <c r="Z36" s="16" t="str">
        <v>MTR</v>
      </c>
      <c r="AA36" s="261" t="str">
        <v>M</v>
      </c>
      <c r="AB36" s="77" t="str">
        <v>Daily</v>
      </c>
      <c r="AC36" s="77">
        <v>500</v>
      </c>
      <c r="AD36" s="77">
        <v>500</v>
      </c>
      <c r="AE36" s="77">
        <v>490</v>
      </c>
      <c r="AF36" s="77">
        <v>0</v>
      </c>
      <c r="AG36" s="261" t="str">
        <v>Q</v>
      </c>
      <c r="AH36" s="261">
        <v>1</v>
      </c>
      <c r="AI36" s="261">
        <v>1</v>
      </c>
      <c r="AJ36" s="262">
        <v>0</v>
      </c>
    </row>
    <row r="37" spans="1:36" hidden="1" outlineLevel="1" x14ac:dyDescent="0.25">
      <c r="A37" s="120">
        <f t="shared" si="11"/>
        <v>2</v>
      </c>
      <c r="B37" s="231">
        <v>43677</v>
      </c>
      <c r="C37" s="77" t="s">
        <v>58</v>
      </c>
      <c r="D37" s="238" t="s">
        <v>668</v>
      </c>
      <c r="E37" s="76" t="e">
        <f ca="1">SUMIF(payNonMonth,"="&amp;$X37,$E$362:OFFSET($E$362,ROWS(payNonMonth)-1,0))</f>
        <v>#NAME?</v>
      </c>
      <c r="F37" s="76"/>
      <c r="G37" s="77" t="e">
        <f t="shared" ca="1" si="12"/>
        <v>#NAME?</v>
      </c>
      <c r="H37" s="76" t="e">
        <f t="shared" ca="1" si="13"/>
        <v>#NAME?</v>
      </c>
      <c r="I37" s="76" t="e">
        <f t="shared" ca="1" si="14"/>
        <v>#NAME?</v>
      </c>
      <c r="J37" s="233" t="e">
        <f t="shared" ca="1" si="5"/>
        <v>#NAME?</v>
      </c>
      <c r="K37" s="76" t="e">
        <f t="shared" si="6"/>
        <v>#NAME?</v>
      </c>
      <c r="L37" s="76" t="e">
        <f t="shared" ca="1" si="7"/>
        <v>#NAME?</v>
      </c>
      <c r="M37" s="76" t="e">
        <f t="shared" ca="1" si="15"/>
        <v>#VALUE!</v>
      </c>
      <c r="N37" s="76" t="e">
        <f t="shared" ca="1" si="8"/>
        <v>#NAME?</v>
      </c>
      <c r="O37" s="76" t="e">
        <f t="shared" ca="1" si="9"/>
        <v>#NAME?</v>
      </c>
      <c r="P37" s="76"/>
      <c r="Q37" s="76" t="e">
        <f t="shared" ca="1" si="16"/>
        <v>#NAME?</v>
      </c>
      <c r="R37" s="76" t="e">
        <f t="shared" ca="1" si="31"/>
        <v>#VALUE!</v>
      </c>
      <c r="S37" s="76" t="e">
        <f t="shared" ca="1" si="17"/>
        <v>#NAME?</v>
      </c>
      <c r="T37" s="232" t="e">
        <f t="shared" ca="1" si="10"/>
        <v>#NAME?</v>
      </c>
      <c r="V37" s="120" t="e">
        <f t="shared" si="18"/>
        <v>#NAME?</v>
      </c>
      <c r="W37" s="120" t="str">
        <f t="shared" si="19"/>
        <v>SM:43677</v>
      </c>
      <c r="X37" s="120" t="str">
        <f t="shared" si="20"/>
        <v>SM:2</v>
      </c>
      <c r="Y37" s="250" t="str">
        <f t="array" ref="Y37:AJ37">VLOOKUP($D37&amp;":"&amp;$C37,tblPayRates,{3,4,5,6,7,8,9,10,11,12,13,14},0)</f>
        <v>SM</v>
      </c>
      <c r="Z37" s="16" t="str">
        <v>MTR</v>
      </c>
      <c r="AA37" s="261" t="str">
        <v>M</v>
      </c>
      <c r="AB37" s="77" t="str">
        <v>Daily</v>
      </c>
      <c r="AC37" s="77">
        <v>500</v>
      </c>
      <c r="AD37" s="77">
        <v>500</v>
      </c>
      <c r="AE37" s="77">
        <v>490</v>
      </c>
      <c r="AF37" s="77">
        <v>0</v>
      </c>
      <c r="AG37" s="261" t="str">
        <v>Q</v>
      </c>
      <c r="AH37" s="261">
        <v>1</v>
      </c>
      <c r="AI37" s="261">
        <v>1</v>
      </c>
      <c r="AJ37" s="262">
        <v>0</v>
      </c>
    </row>
    <row r="38" spans="1:36" hidden="1" outlineLevel="1" x14ac:dyDescent="0.25">
      <c r="A38" s="120">
        <f t="shared" si="11"/>
        <v>2</v>
      </c>
      <c r="B38" s="231">
        <v>43677</v>
      </c>
      <c r="C38" s="77" t="s">
        <v>622</v>
      </c>
      <c r="D38" s="238" t="s">
        <v>499</v>
      </c>
      <c r="E38" s="76" t="e">
        <f ca="1">SUMIF(payNonMonth,"="&amp;$X38,$E$362:OFFSET($E$362,ROWS(payNonMonth)-1,0))</f>
        <v>#NAME?</v>
      </c>
      <c r="F38" s="76"/>
      <c r="G38" s="77" t="e">
        <f t="shared" ca="1" si="12"/>
        <v>#NAME?</v>
      </c>
      <c r="H38" s="76" t="e">
        <f t="shared" ca="1" si="13"/>
        <v>#NAME?</v>
      </c>
      <c r="I38" s="76" t="e">
        <f t="shared" ca="1" si="14"/>
        <v>#NAME?</v>
      </c>
      <c r="J38" s="233" t="e">
        <f t="shared" ca="1" si="5"/>
        <v>#NAME?</v>
      </c>
      <c r="K38" s="76" t="e">
        <f t="shared" si="6"/>
        <v>#NAME?</v>
      </c>
      <c r="L38" s="76" t="e">
        <f t="shared" ca="1" si="7"/>
        <v>#NAME?</v>
      </c>
      <c r="M38" s="76" t="e">
        <f t="shared" ca="1" si="15"/>
        <v>#VALUE!</v>
      </c>
      <c r="N38" s="76" t="e">
        <f t="shared" ca="1" si="8"/>
        <v>#NAME?</v>
      </c>
      <c r="O38" s="76" t="e">
        <f t="shared" ca="1" si="9"/>
        <v>#NAME?</v>
      </c>
      <c r="P38" s="76"/>
      <c r="Q38" s="76" t="e">
        <f t="shared" ca="1" si="16"/>
        <v>#NAME?</v>
      </c>
      <c r="R38" s="76" t="e">
        <f t="shared" ca="1" si="31"/>
        <v>#VALUE!</v>
      </c>
      <c r="S38" s="76" t="e">
        <f t="shared" ca="1" si="17"/>
        <v>#NAME?</v>
      </c>
      <c r="T38" s="232" t="e">
        <f t="shared" ca="1" si="10"/>
        <v>#NAME?</v>
      </c>
      <c r="V38" s="120" t="e">
        <f t="shared" si="18"/>
        <v>#NAME?</v>
      </c>
      <c r="W38" s="120" t="str">
        <f t="shared" si="19"/>
        <v>GEO:43677</v>
      </c>
      <c r="X38" s="120" t="str">
        <f t="shared" si="20"/>
        <v>GEO:2</v>
      </c>
      <c r="Y38" s="250" t="str">
        <f t="array" ref="Y38:AJ38">VLOOKUP($D38&amp;":"&amp;$C38,tblPayRates,{3,4,5,6,7,8,9,10,11,12,13,14},0)</f>
        <v>GEO</v>
      </c>
      <c r="Z38" s="16" t="str">
        <v>Magma</v>
      </c>
      <c r="AA38" s="261" t="str">
        <v>M</v>
      </c>
      <c r="AB38" s="77" t="str">
        <v>Daily</v>
      </c>
      <c r="AC38" s="77">
        <v>700</v>
      </c>
      <c r="AD38" s="77">
        <v>700</v>
      </c>
      <c r="AE38" s="77">
        <v>665</v>
      </c>
      <c r="AF38" s="77">
        <v>0</v>
      </c>
      <c r="AG38" s="261" t="str">
        <v>N</v>
      </c>
      <c r="AH38" s="261">
        <v>2</v>
      </c>
      <c r="AI38" s="261">
        <v>1</v>
      </c>
      <c r="AJ38" s="262">
        <v>0</v>
      </c>
    </row>
    <row r="39" spans="1:36" outlineLevel="1" x14ac:dyDescent="0.25">
      <c r="A39" s="120">
        <f t="shared" si="11"/>
        <v>2</v>
      </c>
      <c r="B39" s="231">
        <v>43677</v>
      </c>
      <c r="C39" s="77" t="s">
        <v>657</v>
      </c>
      <c r="D39" s="238" t="s">
        <v>674</v>
      </c>
      <c r="E39" s="76" t="e">
        <f ca="1">SUMIF(payNonMonth,"="&amp;$X39,$E$362:OFFSET($E$362,ROWS(payNonMonth)-1,0))</f>
        <v>#NAME?</v>
      </c>
      <c r="F39" s="76"/>
      <c r="G39" s="77" t="e">
        <f t="shared" ca="1" si="12"/>
        <v>#NAME?</v>
      </c>
      <c r="H39" s="76" t="e">
        <f t="shared" ca="1" si="13"/>
        <v>#NAME?</v>
      </c>
      <c r="I39" s="76" t="e">
        <f t="shared" ca="1" si="14"/>
        <v>#NAME?</v>
      </c>
      <c r="J39" s="233" t="e">
        <f t="shared" ca="1" si="5"/>
        <v>#NAME?</v>
      </c>
      <c r="K39" s="76" t="e">
        <f t="shared" si="6"/>
        <v>#NAME?</v>
      </c>
      <c r="L39" s="76" t="e">
        <f t="shared" ca="1" si="7"/>
        <v>#NAME?</v>
      </c>
      <c r="M39" s="76" t="e">
        <f t="shared" ca="1" si="15"/>
        <v>#VALUE!</v>
      </c>
      <c r="N39" s="76" t="e">
        <f t="shared" ca="1" si="8"/>
        <v>#NAME?</v>
      </c>
      <c r="O39" s="76"/>
      <c r="P39" s="76"/>
      <c r="Q39" s="76" t="e">
        <f t="shared" ca="1" si="16"/>
        <v>#NAME?</v>
      </c>
      <c r="R39" s="76" t="e">
        <f t="shared" ca="1" si="31"/>
        <v>#VALUE!</v>
      </c>
      <c r="S39" s="76" t="e">
        <f t="shared" ca="1" si="17"/>
        <v>#NAME?</v>
      </c>
      <c r="T39" s="232" t="e">
        <f t="shared" ca="1" si="10"/>
        <v>#NAME?</v>
      </c>
      <c r="V39" s="120" t="e">
        <f t="shared" si="18"/>
        <v>#NAME?</v>
      </c>
      <c r="W39" s="120" t="str">
        <f t="shared" si="19"/>
        <v>VAK:43677</v>
      </c>
      <c r="X39" s="120" t="str">
        <f t="shared" si="20"/>
        <v>VAK:2</v>
      </c>
      <c r="Y39" s="250" t="str">
        <f t="array" ref="Y39:AJ39">VLOOKUP($D39&amp;":"&amp;$C39,tblPayRates,{3,4,5,6,7,8,9,10,11,12,13,14},0)</f>
        <v>VAK</v>
      </c>
      <c r="Z39" s="16" t="str">
        <v>Paxus</v>
      </c>
      <c r="AA39" s="261" t="str">
        <v>M</v>
      </c>
      <c r="AB39" s="77" t="str">
        <v>Daily</v>
      </c>
      <c r="AC39" s="77">
        <v>623</v>
      </c>
      <c r="AD39" s="77">
        <v>623</v>
      </c>
      <c r="AE39" s="77">
        <v>524.21</v>
      </c>
      <c r="AF39" s="77">
        <v>0</v>
      </c>
      <c r="AG39" s="261" t="str">
        <v>Q</v>
      </c>
      <c r="AH39" s="261">
        <v>1</v>
      </c>
      <c r="AI39" s="261">
        <v>1</v>
      </c>
      <c r="AJ39" s="262">
        <v>0</v>
      </c>
    </row>
    <row r="40" spans="1:36" hidden="1" outlineLevel="1" x14ac:dyDescent="0.25">
      <c r="A40" s="120">
        <f t="shared" si="11"/>
        <v>2</v>
      </c>
      <c r="B40" s="231">
        <v>43677</v>
      </c>
      <c r="C40" s="77" t="s">
        <v>658</v>
      </c>
      <c r="D40" s="238" t="s">
        <v>673</v>
      </c>
      <c r="E40" s="76" t="e">
        <f ca="1">SUMIF(payNonMonth,"="&amp;$X40,$E$362:OFFSET($E$362,ROWS(payNonMonth)-1,0))</f>
        <v>#NAME?</v>
      </c>
      <c r="F40" s="76"/>
      <c r="G40" s="77" t="e">
        <f t="shared" ca="1" si="12"/>
        <v>#NAME?</v>
      </c>
      <c r="H40" s="76" t="e">
        <f t="shared" ca="1" si="13"/>
        <v>#NAME?</v>
      </c>
      <c r="I40" s="76" t="e">
        <f t="shared" ca="1" si="14"/>
        <v>#NAME?</v>
      </c>
      <c r="J40" s="233" t="e">
        <f t="shared" ca="1" si="5"/>
        <v>#NAME?</v>
      </c>
      <c r="K40" s="76" t="e">
        <f t="shared" si="6"/>
        <v>#NAME?</v>
      </c>
      <c r="L40" s="76" t="e">
        <f t="shared" ca="1" si="7"/>
        <v>#NAME?</v>
      </c>
      <c r="M40" s="76" t="e">
        <f t="shared" ca="1" si="15"/>
        <v>#VALUE!</v>
      </c>
      <c r="N40" s="76" t="e">
        <f t="shared" ca="1" si="8"/>
        <v>#NAME?</v>
      </c>
      <c r="O40" s="76"/>
      <c r="P40" s="76"/>
      <c r="Q40" s="76" t="e">
        <f t="shared" ca="1" si="16"/>
        <v>#NAME?</v>
      </c>
      <c r="R40" s="76" t="e">
        <f t="shared" ca="1" si="31"/>
        <v>#VALUE!</v>
      </c>
      <c r="S40" s="76" t="e">
        <f t="shared" ca="1" si="17"/>
        <v>#NAME?</v>
      </c>
      <c r="T40" s="232" t="e">
        <f t="shared" ca="1" si="10"/>
        <v>#NAME?</v>
      </c>
      <c r="V40" s="120" t="e">
        <f t="shared" si="18"/>
        <v>#NAME?</v>
      </c>
      <c r="W40" s="120" t="str">
        <f t="shared" si="19"/>
        <v>ASW:43677</v>
      </c>
      <c r="X40" s="120" t="str">
        <f t="shared" si="20"/>
        <v>ASW:2</v>
      </c>
      <c r="Y40" s="250" t="str">
        <f t="array" ref="Y40:AJ40">VLOOKUP($D40&amp;":"&amp;$C40,tblPayRates,{3,4,5,6,7,8,9,10,11,12,13,14},0)</f>
        <v>ASW</v>
      </c>
      <c r="Z40" s="16" t="str">
        <v>Paxus</v>
      </c>
      <c r="AA40" s="261" t="str">
        <v>M</v>
      </c>
      <c r="AB40" s="77" t="str">
        <v>Daily</v>
      </c>
      <c r="AC40" s="77">
        <v>267</v>
      </c>
      <c r="AD40" s="77">
        <v>267</v>
      </c>
      <c r="AE40" s="77">
        <v>321.29000000000002</v>
      </c>
      <c r="AF40" s="77">
        <v>0</v>
      </c>
      <c r="AG40" s="261" t="str">
        <v>Q</v>
      </c>
      <c r="AH40" s="261">
        <v>1</v>
      </c>
      <c r="AI40" s="261">
        <v>1</v>
      </c>
      <c r="AJ40" s="262">
        <v>0</v>
      </c>
    </row>
    <row r="41" spans="1:36" hidden="1" outlineLevel="1" x14ac:dyDescent="0.25">
      <c r="A41" s="120">
        <f>GETPAYMONTH(B41)</f>
        <v>2</v>
      </c>
      <c r="B41" s="231">
        <v>43681</v>
      </c>
      <c r="C41" s="77" t="s">
        <v>669</v>
      </c>
      <c r="D41" s="238" t="s">
        <v>668</v>
      </c>
      <c r="E41" s="76" t="e">
        <f ca="1">SUMIF(payNonMonth,"="&amp;$X41,$E$362:OFFSET($E$362,ROWS(payNonMonth)-1,0))</f>
        <v>#NAME?</v>
      </c>
      <c r="F41" s="76"/>
      <c r="G41" s="77" t="e">
        <f ca="1">IF(AND($E41=0,$F41=0),0,1)</f>
        <v>#NAME?</v>
      </c>
      <c r="H41" s="76" t="e">
        <f ca="1">ROUND(SUM(E41:F41)*AC41,2)</f>
        <v>#NAME?</v>
      </c>
      <c r="I41" s="76" t="e">
        <f ca="1">H41*OFFSET(payMgmtRate,0,$AH41)</f>
        <v>#NAME?</v>
      </c>
      <c r="J41" s="233" t="e">
        <f t="shared" ca="1" si="5"/>
        <v>#NAME?</v>
      </c>
      <c r="K41" s="76" t="e">
        <f t="shared" si="6"/>
        <v>#NAME?</v>
      </c>
      <c r="L41" s="76" t="e">
        <f t="shared" ca="1" si="7"/>
        <v>#NAME?</v>
      </c>
      <c r="M41" s="76" t="e">
        <f ca="1">GETSUPER(J41-SUM(K41:L41))</f>
        <v>#VALUE!</v>
      </c>
      <c r="N41" s="76" t="e">
        <f t="shared" ca="1" si="8"/>
        <v>#NAME?</v>
      </c>
      <c r="O41" s="76" t="e">
        <f ca="1">ROUND((J41-SUM(K41:N41))*InsureRate,2)</f>
        <v>#NAME?</v>
      </c>
      <c r="P41" s="76"/>
      <c r="Q41" s="76" t="e">
        <f ca="1">J41-SUM(K41:P41)</f>
        <v>#NAME?</v>
      </c>
      <c r="R41" s="76" t="e">
        <f ca="1">GETTAX(Q41,AA41)</f>
        <v>#VALUE!</v>
      </c>
      <c r="S41" s="76" t="e">
        <f ca="1">Q41-R41</f>
        <v>#NAME?</v>
      </c>
      <c r="T41" s="232" t="e">
        <f t="shared" ca="1" si="10"/>
        <v>#NAME?</v>
      </c>
      <c r="V41" s="120" t="e">
        <f>IF(EmpID="*","*",C41) &amp;":"&amp; $A41</f>
        <v>#NAME?</v>
      </c>
      <c r="W41" s="120" t="str">
        <f>$C41 &amp;":"&amp; $B41</f>
        <v>DP:43681</v>
      </c>
      <c r="X41" s="120" t="str">
        <f>C41 &amp;":"&amp; $B41</f>
        <v>DP:43681</v>
      </c>
      <c r="Y41" s="250" t="str">
        <f t="array" ref="Y41:AJ41">VLOOKUP($D41&amp;":"&amp;$C41,tblPayRates,{3,4,5,6,7,8,9,10,11,12,13,14},0)</f>
        <v>DP</v>
      </c>
      <c r="Z41" s="16" t="str">
        <v>MTR</v>
      </c>
      <c r="AA41" s="261" t="str">
        <v>F</v>
      </c>
      <c r="AB41" s="77" t="str">
        <v>Daily</v>
      </c>
      <c r="AC41" s="77">
        <v>450</v>
      </c>
      <c r="AD41" s="77">
        <v>450</v>
      </c>
      <c r="AE41" s="77">
        <v>427.5</v>
      </c>
      <c r="AF41" s="77">
        <v>0</v>
      </c>
      <c r="AG41" s="261" t="str">
        <v>Q</v>
      </c>
      <c r="AH41" s="261">
        <v>1</v>
      </c>
      <c r="AI41" s="261">
        <v>1</v>
      </c>
      <c r="AJ41" s="262">
        <v>0</v>
      </c>
    </row>
    <row r="42" spans="1:36" hidden="1" outlineLevel="1" x14ac:dyDescent="0.25">
      <c r="A42" s="120">
        <f>GETPAYMONTH(B42)</f>
        <v>2</v>
      </c>
      <c r="B42" s="231">
        <v>43681</v>
      </c>
      <c r="C42" s="77" t="s">
        <v>678</v>
      </c>
      <c r="D42" s="238" t="s">
        <v>668</v>
      </c>
      <c r="E42" s="76" t="e">
        <f ca="1">SUMIF(payNonMonth,"="&amp;$X42,$E$362:OFFSET($E$362,ROWS(payNonMonth)-1,0))</f>
        <v>#NAME?</v>
      </c>
      <c r="F42" s="76"/>
      <c r="G42" s="77" t="e">
        <f ca="1">IF(AND($E42=0,$F42=0),0,1)</f>
        <v>#NAME?</v>
      </c>
      <c r="H42" s="76" t="e">
        <f ca="1">ROUND(SUM(E42:F42)*AC42,2)</f>
        <v>#NAME?</v>
      </c>
      <c r="I42" s="76" t="e">
        <f ca="1">H42*OFFSET(payMgmtRate,0,$AH42)</f>
        <v>#NAME?</v>
      </c>
      <c r="J42" s="233" t="e">
        <f t="shared" ca="1" si="5"/>
        <v>#NAME?</v>
      </c>
      <c r="K42" s="76" t="e">
        <f t="shared" si="6"/>
        <v>#NAME?</v>
      </c>
      <c r="L42" s="76" t="e">
        <f t="shared" ca="1" si="7"/>
        <v>#NAME?</v>
      </c>
      <c r="M42" s="76" t="e">
        <f ca="1">GETSUPER(J42-SUM(K42:L42))</f>
        <v>#VALUE!</v>
      </c>
      <c r="N42" s="76" t="e">
        <f t="shared" ca="1" si="8"/>
        <v>#NAME?</v>
      </c>
      <c r="O42" s="76" t="e">
        <f t="shared" ca="1" si="9"/>
        <v>#NAME?</v>
      </c>
      <c r="P42" s="76"/>
      <c r="Q42" s="76" t="e">
        <f ca="1">J42-SUM(K42:P42)</f>
        <v>#NAME?</v>
      </c>
      <c r="R42" s="76" t="e">
        <f ca="1">GETTAX(Q42,AA42)</f>
        <v>#VALUE!</v>
      </c>
      <c r="S42" s="76" t="e">
        <f ca="1">Q42-R42</f>
        <v>#NAME?</v>
      </c>
      <c r="T42" s="232" t="e">
        <f t="shared" ca="1" si="10"/>
        <v>#NAME?</v>
      </c>
      <c r="V42" s="120" t="e">
        <f>IF(EmpID="*","*",C42) &amp;":"&amp; $A42</f>
        <v>#NAME?</v>
      </c>
      <c r="W42" s="120" t="str">
        <f>$C42 &amp;":"&amp; $B42</f>
        <v>ANK:43681</v>
      </c>
      <c r="X42" s="120" t="str">
        <f>$C42 &amp;":"&amp; $B42</f>
        <v>ANK:43681</v>
      </c>
      <c r="Y42" s="250" t="str">
        <f t="array" ref="Y42:AJ42">VLOOKUP($D42&amp;":"&amp;$C42,tblPayRates,{3,4,5,6,7,8,9,10,11,12,13,14},0)</f>
        <v>ANK</v>
      </c>
      <c r="Z42" s="16" t="str">
        <v>MTR</v>
      </c>
      <c r="AA42" s="261" t="str">
        <v>F</v>
      </c>
      <c r="AB42" s="77" t="str">
        <v>Daily</v>
      </c>
      <c r="AC42" s="77">
        <v>450</v>
      </c>
      <c r="AD42" s="77">
        <v>450</v>
      </c>
      <c r="AE42" s="77">
        <v>427.5</v>
      </c>
      <c r="AF42" s="77">
        <v>0</v>
      </c>
      <c r="AG42" s="261" t="str">
        <v>Q</v>
      </c>
      <c r="AH42" s="261">
        <v>1</v>
      </c>
      <c r="AI42" s="261">
        <v>1</v>
      </c>
      <c r="AJ42" s="262">
        <v>0</v>
      </c>
    </row>
    <row r="43" spans="1:36" hidden="1" outlineLevel="1" x14ac:dyDescent="0.25">
      <c r="A43" s="120">
        <f>GETPAYMONTH(B43)</f>
        <v>2</v>
      </c>
      <c r="B43" s="231">
        <v>43695</v>
      </c>
      <c r="C43" s="77" t="s">
        <v>669</v>
      </c>
      <c r="D43" s="238" t="s">
        <v>668</v>
      </c>
      <c r="E43" s="76" t="e">
        <f ca="1">SUMIF(payNonMonth,"="&amp;$X43,$E$362:OFFSET($E$362,ROWS(payNonMonth)-1,0))</f>
        <v>#NAME?</v>
      </c>
      <c r="F43" s="76"/>
      <c r="G43" s="77" t="e">
        <f ca="1">IF(AND($E43=0,$F43=0),0,1)</f>
        <v>#NAME?</v>
      </c>
      <c r="H43" s="76" t="e">
        <f ca="1">ROUND(SUM(E43:F43)*AC43,2)</f>
        <v>#NAME?</v>
      </c>
      <c r="I43" s="76" t="e">
        <f ca="1">H43*OFFSET(payMgmtRate,0,$AH43)</f>
        <v>#NAME?</v>
      </c>
      <c r="J43" s="233" t="e">
        <f t="shared" ca="1" si="5"/>
        <v>#NAME?</v>
      </c>
      <c r="K43" s="76" t="e">
        <f t="shared" si="6"/>
        <v>#NAME?</v>
      </c>
      <c r="L43" s="76" t="e">
        <f t="shared" ca="1" si="7"/>
        <v>#NAME?</v>
      </c>
      <c r="M43" s="76" t="e">
        <f ca="1">GETSUPER(J43-SUM(K43:L43))</f>
        <v>#VALUE!</v>
      </c>
      <c r="N43" s="76" t="e">
        <f t="shared" ca="1" si="8"/>
        <v>#NAME?</v>
      </c>
      <c r="O43" s="76" t="e">
        <f t="shared" ca="1" si="9"/>
        <v>#NAME?</v>
      </c>
      <c r="P43" s="76"/>
      <c r="Q43" s="76" t="e">
        <f ca="1">J43-SUM(K43:P43)</f>
        <v>#NAME?</v>
      </c>
      <c r="R43" s="76" t="e">
        <f ca="1">GETTAX(Q43,AA43)</f>
        <v>#VALUE!</v>
      </c>
      <c r="S43" s="76" t="e">
        <f ca="1">Q43-R43</f>
        <v>#NAME?</v>
      </c>
      <c r="T43" s="232" t="e">
        <f t="shared" ca="1" si="10"/>
        <v>#NAME?</v>
      </c>
      <c r="V43" s="120" t="e">
        <f>IF(EmpID="*","*",C43) &amp;":"&amp; $A43</f>
        <v>#NAME?</v>
      </c>
      <c r="W43" s="120" t="str">
        <f>$C43 &amp;":"&amp; $B43</f>
        <v>DP:43695</v>
      </c>
      <c r="X43" s="120" t="str">
        <f>C43 &amp;":"&amp; $B43</f>
        <v>DP:43695</v>
      </c>
      <c r="Y43" s="250" t="str">
        <f t="array" ref="Y43:AJ43">VLOOKUP($D43&amp;":"&amp;$C43,tblPayRates,{3,4,5,6,7,8,9,10,11,12,13,14},0)</f>
        <v>DP</v>
      </c>
      <c r="Z43" s="16" t="str">
        <v>MTR</v>
      </c>
      <c r="AA43" s="261" t="str">
        <v>F</v>
      </c>
      <c r="AB43" s="77" t="str">
        <v>Daily</v>
      </c>
      <c r="AC43" s="77">
        <v>450</v>
      </c>
      <c r="AD43" s="77">
        <v>450</v>
      </c>
      <c r="AE43" s="77">
        <v>427.5</v>
      </c>
      <c r="AF43" s="77">
        <v>0</v>
      </c>
      <c r="AG43" s="261" t="str">
        <v>Q</v>
      </c>
      <c r="AH43" s="261">
        <v>1</v>
      </c>
      <c r="AI43" s="261">
        <v>1</v>
      </c>
      <c r="AJ43" s="262">
        <v>0</v>
      </c>
    </row>
    <row r="44" spans="1:36" hidden="1" outlineLevel="1" x14ac:dyDescent="0.25">
      <c r="A44" s="120">
        <f>GETPAYMONTH(B44)</f>
        <v>2</v>
      </c>
      <c r="B44" s="231">
        <v>43695</v>
      </c>
      <c r="C44" s="77" t="s">
        <v>678</v>
      </c>
      <c r="D44" s="238" t="s">
        <v>668</v>
      </c>
      <c r="E44" s="76" t="e">
        <f ca="1">SUMIF(payNonMonth,"="&amp;$X44,$E$362:OFFSET($E$362,ROWS(payNonMonth)-1,0))</f>
        <v>#NAME?</v>
      </c>
      <c r="F44" s="76"/>
      <c r="G44" s="77" t="e">
        <f ca="1">IF(AND($E44=0,$F44=0),0,1)</f>
        <v>#NAME?</v>
      </c>
      <c r="H44" s="76" t="e">
        <f ca="1">ROUND(SUM(E44:F44)*AC44,2)</f>
        <v>#NAME?</v>
      </c>
      <c r="I44" s="76" t="e">
        <f ca="1">H44*OFFSET(payMgmtRate,0,$AH44)</f>
        <v>#NAME?</v>
      </c>
      <c r="J44" s="233" t="e">
        <f t="shared" ca="1" si="5"/>
        <v>#NAME?</v>
      </c>
      <c r="K44" s="76" t="e">
        <f t="shared" si="6"/>
        <v>#NAME?</v>
      </c>
      <c r="L44" s="76" t="e">
        <f t="shared" ca="1" si="7"/>
        <v>#NAME?</v>
      </c>
      <c r="M44" s="76" t="e">
        <f ca="1">GETSUPER(J44-SUM(K44:L44))</f>
        <v>#VALUE!</v>
      </c>
      <c r="N44" s="76" t="e">
        <f t="shared" ca="1" si="8"/>
        <v>#NAME?</v>
      </c>
      <c r="O44" s="76" t="e">
        <f t="shared" ca="1" si="9"/>
        <v>#NAME?</v>
      </c>
      <c r="P44" s="76"/>
      <c r="Q44" s="76" t="e">
        <f ca="1">J44-SUM(K44:P44)</f>
        <v>#NAME?</v>
      </c>
      <c r="R44" s="76" t="e">
        <f ca="1">GETTAX(Q44,AA44)</f>
        <v>#VALUE!</v>
      </c>
      <c r="S44" s="76" t="e">
        <f ca="1">Q44-R44</f>
        <v>#NAME?</v>
      </c>
      <c r="T44" s="232" t="e">
        <f t="shared" ca="1" si="10"/>
        <v>#NAME?</v>
      </c>
      <c r="V44" s="120" t="e">
        <f>IF(EmpID="*","*",C44) &amp;":"&amp; $A44</f>
        <v>#NAME?</v>
      </c>
      <c r="W44" s="120" t="str">
        <f>$C44 &amp;":"&amp; $B44</f>
        <v>ANK:43695</v>
      </c>
      <c r="X44" s="120" t="str">
        <f>$C44 &amp;":"&amp; $B44</f>
        <v>ANK:43695</v>
      </c>
      <c r="Y44" s="250" t="str">
        <f t="array" ref="Y44:AJ44">VLOOKUP($D44&amp;":"&amp;$C44,tblPayRates,{3,4,5,6,7,8,9,10,11,12,13,14},0)</f>
        <v>ANK</v>
      </c>
      <c r="Z44" s="16" t="str">
        <v>MTR</v>
      </c>
      <c r="AA44" s="261" t="str">
        <v>F</v>
      </c>
      <c r="AB44" s="77" t="str">
        <v>Daily</v>
      </c>
      <c r="AC44" s="77">
        <v>450</v>
      </c>
      <c r="AD44" s="77">
        <v>450</v>
      </c>
      <c r="AE44" s="77">
        <v>427.5</v>
      </c>
      <c r="AF44" s="77">
        <v>0</v>
      </c>
      <c r="AG44" s="261" t="str">
        <v>Q</v>
      </c>
      <c r="AH44" s="261">
        <v>1</v>
      </c>
      <c r="AI44" s="261">
        <v>1</v>
      </c>
      <c r="AJ44" s="262">
        <v>0</v>
      </c>
    </row>
    <row r="45" spans="1:36" hidden="1" outlineLevel="1" x14ac:dyDescent="0.25">
      <c r="A45" s="120">
        <f t="shared" si="11"/>
        <v>3</v>
      </c>
      <c r="B45" s="231">
        <v>43709</v>
      </c>
      <c r="C45" s="77" t="s">
        <v>669</v>
      </c>
      <c r="D45" s="238" t="s">
        <v>668</v>
      </c>
      <c r="E45" s="76" t="e">
        <f ca="1">SUMIF(payNonMonth,"="&amp;$X45,$E$362:OFFSET($E$362,ROWS(payNonMonth)-1,0))</f>
        <v>#NAME?</v>
      </c>
      <c r="F45" s="76"/>
      <c r="G45" s="77" t="e">
        <f t="shared" ca="1" si="12"/>
        <v>#NAME?</v>
      </c>
      <c r="H45" s="76" t="e">
        <f t="shared" ca="1" si="13"/>
        <v>#NAME?</v>
      </c>
      <c r="I45" s="76" t="e">
        <f t="shared" ca="1" si="14"/>
        <v>#NAME?</v>
      </c>
      <c r="J45" s="233" t="e">
        <f t="shared" ca="1" si="5"/>
        <v>#NAME?</v>
      </c>
      <c r="K45" s="76" t="e">
        <f t="shared" si="6"/>
        <v>#NAME?</v>
      </c>
      <c r="L45" s="76" t="e">
        <f t="shared" ca="1" si="7"/>
        <v>#NAME?</v>
      </c>
      <c r="M45" s="76" t="e">
        <f t="shared" ca="1" si="15"/>
        <v>#VALUE!</v>
      </c>
      <c r="N45" s="76" t="e">
        <f t="shared" ca="1" si="8"/>
        <v>#NAME?</v>
      </c>
      <c r="O45" s="76" t="e">
        <f t="shared" ca="1" si="9"/>
        <v>#NAME?</v>
      </c>
      <c r="P45" s="76"/>
      <c r="Q45" s="76" t="e">
        <f t="shared" ca="1" si="16"/>
        <v>#NAME?</v>
      </c>
      <c r="R45" s="76" t="e">
        <f t="shared" ca="1" si="31"/>
        <v>#VALUE!</v>
      </c>
      <c r="S45" s="76" t="e">
        <f t="shared" ca="1" si="17"/>
        <v>#NAME?</v>
      </c>
      <c r="T45" s="232" t="e">
        <f t="shared" ca="1" si="10"/>
        <v>#NAME?</v>
      </c>
      <c r="V45" s="120" t="e">
        <f t="shared" si="18"/>
        <v>#NAME?</v>
      </c>
      <c r="W45" s="120" t="str">
        <f t="shared" si="19"/>
        <v>DP:43709</v>
      </c>
      <c r="X45" s="120" t="str">
        <f>C45 &amp;":"&amp; $B45</f>
        <v>DP:43709</v>
      </c>
      <c r="Y45" s="250" t="str">
        <f t="array" ref="Y45:AJ45">VLOOKUP($D45&amp;":"&amp;$C45,tblPayRates,{3,4,5,6,7,8,9,10,11,12,13,14},0)</f>
        <v>DP</v>
      </c>
      <c r="Z45" s="16" t="str">
        <v>MTR</v>
      </c>
      <c r="AA45" s="261" t="str">
        <v>F</v>
      </c>
      <c r="AB45" s="77" t="str">
        <v>Daily</v>
      </c>
      <c r="AC45" s="77">
        <v>450</v>
      </c>
      <c r="AD45" s="77">
        <v>450</v>
      </c>
      <c r="AE45" s="77">
        <v>427.5</v>
      </c>
      <c r="AF45" s="77">
        <v>0</v>
      </c>
      <c r="AG45" s="261" t="str">
        <v>Q</v>
      </c>
      <c r="AH45" s="261">
        <v>1</v>
      </c>
      <c r="AI45" s="261">
        <v>1</v>
      </c>
      <c r="AJ45" s="262">
        <v>0</v>
      </c>
    </row>
    <row r="46" spans="1:36" hidden="1" outlineLevel="1" x14ac:dyDescent="0.25">
      <c r="A46" s="120">
        <f t="shared" si="11"/>
        <v>3</v>
      </c>
      <c r="B46" s="231">
        <v>43709</v>
      </c>
      <c r="C46" s="77" t="s">
        <v>678</v>
      </c>
      <c r="D46" s="238" t="s">
        <v>668</v>
      </c>
      <c r="E46" s="76" t="e">
        <f ca="1">SUMIF(payNonMonth,"="&amp;$X46,$E$362:OFFSET($E$362,ROWS(payNonMonth)-1,0))</f>
        <v>#NAME?</v>
      </c>
      <c r="F46" s="76"/>
      <c r="G46" s="77" t="e">
        <f t="shared" ca="1" si="12"/>
        <v>#NAME?</v>
      </c>
      <c r="H46" s="76" t="e">
        <f t="shared" ca="1" si="13"/>
        <v>#NAME?</v>
      </c>
      <c r="I46" s="76" t="e">
        <f t="shared" ca="1" si="14"/>
        <v>#NAME?</v>
      </c>
      <c r="J46" s="233" t="e">
        <f t="shared" ca="1" si="5"/>
        <v>#NAME?</v>
      </c>
      <c r="K46" s="76" t="e">
        <f t="shared" si="6"/>
        <v>#NAME?</v>
      </c>
      <c r="L46" s="76" t="e">
        <f t="shared" ca="1" si="7"/>
        <v>#NAME?</v>
      </c>
      <c r="M46" s="76" t="e">
        <f t="shared" ca="1" si="15"/>
        <v>#VALUE!</v>
      </c>
      <c r="N46" s="76" t="e">
        <f t="shared" ca="1" si="8"/>
        <v>#NAME?</v>
      </c>
      <c r="O46" s="76" t="e">
        <f t="shared" ca="1" si="9"/>
        <v>#NAME?</v>
      </c>
      <c r="P46" s="76"/>
      <c r="Q46" s="76" t="e">
        <f t="shared" ca="1" si="16"/>
        <v>#NAME?</v>
      </c>
      <c r="R46" s="76" t="e">
        <f t="shared" ca="1" si="31"/>
        <v>#VALUE!</v>
      </c>
      <c r="S46" s="76" t="e">
        <f t="shared" ca="1" si="17"/>
        <v>#NAME?</v>
      </c>
      <c r="T46" s="232" t="e">
        <f t="shared" ca="1" si="10"/>
        <v>#NAME?</v>
      </c>
      <c r="V46" s="120" t="e">
        <f t="shared" si="18"/>
        <v>#NAME?</v>
      </c>
      <c r="W46" s="120" t="str">
        <f t="shared" si="19"/>
        <v>ANK:43709</v>
      </c>
      <c r="X46" s="120" t="str">
        <f t="shared" si="19"/>
        <v>ANK:43709</v>
      </c>
      <c r="Y46" s="250" t="str">
        <f t="array" ref="Y46:AJ46">VLOOKUP($D46&amp;":"&amp;$C46,tblPayRates,{3,4,5,6,7,8,9,10,11,12,13,14},0)</f>
        <v>ANK</v>
      </c>
      <c r="Z46" s="16" t="str">
        <v>MTR</v>
      </c>
      <c r="AA46" s="261" t="str">
        <v>F</v>
      </c>
      <c r="AB46" s="77" t="str">
        <v>Daily</v>
      </c>
      <c r="AC46" s="77">
        <v>450</v>
      </c>
      <c r="AD46" s="77">
        <v>450</v>
      </c>
      <c r="AE46" s="77">
        <v>427.5</v>
      </c>
      <c r="AF46" s="77">
        <v>0</v>
      </c>
      <c r="AG46" s="261" t="str">
        <v>Q</v>
      </c>
      <c r="AH46" s="261">
        <v>1</v>
      </c>
      <c r="AI46" s="261">
        <v>1</v>
      </c>
      <c r="AJ46" s="262">
        <v>0</v>
      </c>
    </row>
    <row r="47" spans="1:36" hidden="1" outlineLevel="1" x14ac:dyDescent="0.25">
      <c r="A47" s="120">
        <f t="shared" si="11"/>
        <v>0</v>
      </c>
      <c r="B47" s="231"/>
      <c r="C47" s="77"/>
      <c r="D47" s="238"/>
      <c r="E47" s="76" t="e">
        <f ca="1">SUMIF(payNonMonth,"="&amp;$X47,$E$362:OFFSET($E$362,ROWS(payNonMonth)-1,0))</f>
        <v>#NAME?</v>
      </c>
      <c r="F47" s="76"/>
      <c r="G47" s="77" t="e">
        <f t="shared" ca="1" si="12"/>
        <v>#NAME?</v>
      </c>
      <c r="H47" s="76" t="e">
        <f t="shared" ca="1" si="13"/>
        <v>#NAME?</v>
      </c>
      <c r="I47" s="76" t="e">
        <f t="shared" ca="1" si="14"/>
        <v>#NAME?</v>
      </c>
      <c r="J47" s="233" t="e">
        <f t="shared" ca="1" si="5"/>
        <v>#NAME?</v>
      </c>
      <c r="K47" s="76" t="e">
        <f t="shared" si="6"/>
        <v>#NAME?</v>
      </c>
      <c r="L47" s="76" t="e">
        <f t="shared" ca="1" si="7"/>
        <v>#NAME?</v>
      </c>
      <c r="M47" s="76" t="e">
        <f t="shared" ca="1" si="15"/>
        <v>#VALUE!</v>
      </c>
      <c r="N47" s="76" t="e">
        <f t="shared" ca="1" si="8"/>
        <v>#NAME?</v>
      </c>
      <c r="O47" s="76" t="e">
        <f t="shared" ca="1" si="9"/>
        <v>#NAME?</v>
      </c>
      <c r="P47" s="76"/>
      <c r="Q47" s="76" t="e">
        <f t="shared" ca="1" si="16"/>
        <v>#NAME?</v>
      </c>
      <c r="R47" s="76" t="e">
        <f t="shared" ca="1" si="31"/>
        <v>#VALUE!</v>
      </c>
      <c r="S47" s="76" t="e">
        <f t="shared" ca="1" si="17"/>
        <v>#NAME?</v>
      </c>
      <c r="T47" s="232" t="e">
        <f t="shared" ca="1" si="10"/>
        <v>#NAME?</v>
      </c>
      <c r="V47" s="120" t="e">
        <f t="shared" si="18"/>
        <v>#NAME?</v>
      </c>
      <c r="W47" s="120" t="str">
        <f t="shared" si="19"/>
        <v>:</v>
      </c>
      <c r="X47" s="120" t="str">
        <f>C47 &amp;":"&amp; A47</f>
        <v>:0</v>
      </c>
      <c r="Y47" s="250">
        <f t="array" aca="1" ref="Y47:AJ47" ca="1">VLOOKUP($D47&amp;":"&amp;$C47,tblPayRates,{3,4,5,6,7,8,9,10,11,12,13,14},0)</f>
        <v>0</v>
      </c>
      <c r="Z47" s="16" t="str">
        <f ca="1"/>
        <v>Nobody</v>
      </c>
      <c r="AA47" s="261" t="str">
        <f ca="1"/>
        <v>M</v>
      </c>
      <c r="AB47" s="77" t="str">
        <f ca="1"/>
        <v>Daily</v>
      </c>
      <c r="AC47" s="77">
        <f ca="1"/>
        <v>0</v>
      </c>
      <c r="AD47" s="77">
        <f ca="1"/>
        <v>0</v>
      </c>
      <c r="AE47" s="77">
        <f ca="1"/>
        <v>0</v>
      </c>
      <c r="AF47" s="77">
        <f ca="1"/>
        <v>0</v>
      </c>
      <c r="AG47" s="261" t="str">
        <f ca="1"/>
        <v>N</v>
      </c>
      <c r="AH47" s="261">
        <f ca="1"/>
        <v>1</v>
      </c>
      <c r="AI47" s="261">
        <f ca="1"/>
        <v>1</v>
      </c>
      <c r="AJ47" s="262">
        <f ca="1"/>
        <v>0</v>
      </c>
    </row>
    <row r="48" spans="1:36" hidden="1" outlineLevel="1" x14ac:dyDescent="0.25">
      <c r="A48" s="120">
        <f t="shared" si="11"/>
        <v>0</v>
      </c>
      <c r="B48" s="231"/>
      <c r="C48" s="77"/>
      <c r="D48" s="238"/>
      <c r="E48" s="76" t="e">
        <f ca="1">SUMIF(payNonMonth,"="&amp;$X48,$E$362:OFFSET($E$362,ROWS(payNonMonth)-1,0))</f>
        <v>#NAME?</v>
      </c>
      <c r="F48" s="76"/>
      <c r="G48" s="77" t="e">
        <f t="shared" ca="1" si="12"/>
        <v>#NAME?</v>
      </c>
      <c r="H48" s="76" t="e">
        <f t="shared" ca="1" si="13"/>
        <v>#NAME?</v>
      </c>
      <c r="I48" s="76" t="e">
        <f t="shared" ca="1" si="14"/>
        <v>#NAME?</v>
      </c>
      <c r="J48" s="233" t="e">
        <f t="shared" ca="1" si="5"/>
        <v>#NAME?</v>
      </c>
      <c r="K48" s="76" t="e">
        <f t="shared" si="6"/>
        <v>#NAME?</v>
      </c>
      <c r="L48" s="76" t="e">
        <f t="shared" ca="1" si="7"/>
        <v>#NAME?</v>
      </c>
      <c r="M48" s="76" t="e">
        <f t="shared" ca="1" si="15"/>
        <v>#VALUE!</v>
      </c>
      <c r="N48" s="76" t="e">
        <f t="shared" ca="1" si="8"/>
        <v>#NAME?</v>
      </c>
      <c r="O48" s="76" t="e">
        <f t="shared" ca="1" si="9"/>
        <v>#NAME?</v>
      </c>
      <c r="P48" s="76"/>
      <c r="Q48" s="76" t="e">
        <f t="shared" ca="1" si="16"/>
        <v>#NAME?</v>
      </c>
      <c r="R48" s="76" t="e">
        <f t="shared" ca="1" si="31"/>
        <v>#VALUE!</v>
      </c>
      <c r="S48" s="76" t="e">
        <f t="shared" ca="1" si="17"/>
        <v>#NAME?</v>
      </c>
      <c r="T48" s="232" t="e">
        <f t="shared" ca="1" si="10"/>
        <v>#NAME?</v>
      </c>
      <c r="V48" s="120" t="e">
        <f t="shared" si="18"/>
        <v>#NAME?</v>
      </c>
      <c r="W48" s="120" t="str">
        <f t="shared" si="19"/>
        <v>:</v>
      </c>
      <c r="X48" s="120" t="str">
        <f t="shared" ref="X48:X90" si="41">C48 &amp;":"&amp; A48</f>
        <v>:0</v>
      </c>
      <c r="Y48" s="250">
        <f t="array" aca="1" ref="Y48:AJ48" ca="1">VLOOKUP($D48&amp;":"&amp;$C48,tblPayRates,{3,4,5,6,7,8,9,10,11,12,13,14},0)</f>
        <v>0</v>
      </c>
      <c r="Z48" s="16" t="str">
        <f ca="1"/>
        <v>Nobody</v>
      </c>
      <c r="AA48" s="261" t="str">
        <f ca="1"/>
        <v>M</v>
      </c>
      <c r="AB48" s="77" t="str">
        <f ca="1"/>
        <v>Daily</v>
      </c>
      <c r="AC48" s="77">
        <f ca="1"/>
        <v>0</v>
      </c>
      <c r="AD48" s="77">
        <f ca="1"/>
        <v>0</v>
      </c>
      <c r="AE48" s="77">
        <f ca="1"/>
        <v>0</v>
      </c>
      <c r="AF48" s="77">
        <f ca="1"/>
        <v>0</v>
      </c>
      <c r="AG48" s="261" t="str">
        <f ca="1"/>
        <v>N</v>
      </c>
      <c r="AH48" s="261">
        <f ca="1"/>
        <v>1</v>
      </c>
      <c r="AI48" s="261">
        <f ca="1"/>
        <v>1</v>
      </c>
      <c r="AJ48" s="262">
        <f ca="1"/>
        <v>0</v>
      </c>
    </row>
    <row r="49" spans="1:36" hidden="1" outlineLevel="1" x14ac:dyDescent="0.25">
      <c r="A49" s="120">
        <f t="shared" si="11"/>
        <v>0</v>
      </c>
      <c r="B49" s="231"/>
      <c r="C49" s="77"/>
      <c r="D49" s="238"/>
      <c r="E49" s="76" t="e">
        <f ca="1">SUMIF(payNonMonth,"="&amp;$X49,$E$362:OFFSET($E$362,ROWS(payNonMonth)-1,0))</f>
        <v>#NAME?</v>
      </c>
      <c r="F49" s="336"/>
      <c r="G49" s="77" t="e">
        <f t="shared" ca="1" si="12"/>
        <v>#NAME?</v>
      </c>
      <c r="H49" s="76" t="e">
        <f t="shared" ca="1" si="13"/>
        <v>#NAME?</v>
      </c>
      <c r="I49" s="76" t="e">
        <f t="shared" ca="1" si="14"/>
        <v>#NAME?</v>
      </c>
      <c r="J49" s="233" t="e">
        <f t="shared" ca="1" si="5"/>
        <v>#NAME?</v>
      </c>
      <c r="K49" s="76" t="e">
        <f t="shared" si="6"/>
        <v>#NAME?</v>
      </c>
      <c r="L49" s="76" t="e">
        <f t="shared" ca="1" si="7"/>
        <v>#NAME?</v>
      </c>
      <c r="M49" s="76" t="e">
        <f t="shared" ca="1" si="15"/>
        <v>#VALUE!</v>
      </c>
      <c r="N49" s="76" t="e">
        <f t="shared" ca="1" si="8"/>
        <v>#NAME?</v>
      </c>
      <c r="O49" s="76" t="e">
        <f t="shared" ca="1" si="9"/>
        <v>#NAME?</v>
      </c>
      <c r="P49" s="76"/>
      <c r="Q49" s="76" t="e">
        <f t="shared" ca="1" si="16"/>
        <v>#NAME?</v>
      </c>
      <c r="R49" s="76" t="e">
        <f t="shared" ca="1" si="31"/>
        <v>#VALUE!</v>
      </c>
      <c r="S49" s="76" t="e">
        <f t="shared" ca="1" si="17"/>
        <v>#NAME?</v>
      </c>
      <c r="T49" s="232" t="e">
        <f t="shared" ca="1" si="10"/>
        <v>#NAME?</v>
      </c>
      <c r="V49" s="120" t="e">
        <f>IF(EmpID="*","*",C49) &amp;":"&amp; $A49</f>
        <v>#NAME?</v>
      </c>
      <c r="W49" s="120" t="str">
        <f t="shared" si="19"/>
        <v>:</v>
      </c>
      <c r="X49" s="120" t="str">
        <f t="shared" ref="X49:X54" si="42">C49 &amp;":"&amp; B49</f>
        <v>:</v>
      </c>
      <c r="Y49" s="250">
        <f t="array" aca="1" ref="Y49:AJ49" ca="1">VLOOKUP($D49&amp;":"&amp;$C49,tblPayRates,{3,4,5,6,7,8,9,10,11,12,13,14},0)</f>
        <v>0</v>
      </c>
      <c r="Z49" s="16" t="str">
        <f ca="1"/>
        <v>Nobody</v>
      </c>
      <c r="AA49" s="261" t="str">
        <f ca="1"/>
        <v>M</v>
      </c>
      <c r="AB49" s="77" t="str">
        <f ca="1"/>
        <v>Daily</v>
      </c>
      <c r="AC49" s="77">
        <f ca="1"/>
        <v>0</v>
      </c>
      <c r="AD49" s="77">
        <f ca="1"/>
        <v>0</v>
      </c>
      <c r="AE49" s="77">
        <f ca="1"/>
        <v>0</v>
      </c>
      <c r="AF49" s="77">
        <f ca="1"/>
        <v>0</v>
      </c>
      <c r="AG49" s="261" t="str">
        <f ca="1"/>
        <v>N</v>
      </c>
      <c r="AH49" s="261">
        <f ca="1"/>
        <v>1</v>
      </c>
      <c r="AI49" s="261">
        <f ca="1"/>
        <v>1</v>
      </c>
      <c r="AJ49" s="262">
        <f ca="1"/>
        <v>0</v>
      </c>
    </row>
    <row r="50" spans="1:36" hidden="1" outlineLevel="1" x14ac:dyDescent="0.25">
      <c r="A50" s="120">
        <f t="shared" si="11"/>
        <v>0</v>
      </c>
      <c r="B50" s="231"/>
      <c r="C50" s="77"/>
      <c r="D50" s="238"/>
      <c r="E50" s="76" t="e">
        <f ca="1">SUMIF(payNonMonth,"="&amp;$X50,$E$362:OFFSET($E$362,ROWS(payNonMonth)-1,0))</f>
        <v>#NAME?</v>
      </c>
      <c r="F50" s="76"/>
      <c r="G50" s="77" t="e">
        <f t="shared" ca="1" si="12"/>
        <v>#NAME?</v>
      </c>
      <c r="H50" s="76" t="e">
        <f t="shared" ca="1" si="13"/>
        <v>#NAME?</v>
      </c>
      <c r="I50" s="76" t="e">
        <f t="shared" ca="1" si="14"/>
        <v>#NAME?</v>
      </c>
      <c r="J50" s="233" t="e">
        <f t="shared" ca="1" si="5"/>
        <v>#NAME?</v>
      </c>
      <c r="K50" s="76" t="e">
        <f t="shared" si="6"/>
        <v>#NAME?</v>
      </c>
      <c r="L50" s="76" t="e">
        <f t="shared" ca="1" si="7"/>
        <v>#NAME?</v>
      </c>
      <c r="M50" s="76" t="e">
        <f t="shared" ca="1" si="15"/>
        <v>#VALUE!</v>
      </c>
      <c r="N50" s="76" t="e">
        <f t="shared" ca="1" si="8"/>
        <v>#NAME?</v>
      </c>
      <c r="O50" s="76" t="e">
        <f t="shared" ca="1" si="9"/>
        <v>#NAME?</v>
      </c>
      <c r="P50" s="76"/>
      <c r="Q50" s="76" t="e">
        <f t="shared" ca="1" si="16"/>
        <v>#NAME?</v>
      </c>
      <c r="R50" s="76" t="e">
        <f t="shared" ca="1" si="31"/>
        <v>#VALUE!</v>
      </c>
      <c r="S50" s="76" t="e">
        <f t="shared" ca="1" si="17"/>
        <v>#NAME?</v>
      </c>
      <c r="T50" s="232" t="e">
        <f t="shared" ca="1" si="10"/>
        <v>#NAME?</v>
      </c>
      <c r="V50" s="120" t="e">
        <f t="shared" si="18"/>
        <v>#NAME?</v>
      </c>
      <c r="W50" s="120" t="str">
        <f t="shared" si="19"/>
        <v>:</v>
      </c>
      <c r="X50" s="120" t="str">
        <f t="shared" si="42"/>
        <v>:</v>
      </c>
      <c r="Y50" s="250">
        <f t="array" aca="1" ref="Y50:AJ50" ca="1">VLOOKUP($D50&amp;":"&amp;$C50,tblPayRates,{3,4,5,6,7,8,9,10,11,12,13,14},0)</f>
        <v>0</v>
      </c>
      <c r="Z50" s="16" t="str">
        <f ca="1"/>
        <v>Nobody</v>
      </c>
      <c r="AA50" s="261" t="str">
        <f ca="1"/>
        <v>M</v>
      </c>
      <c r="AB50" s="77" t="str">
        <f ca="1"/>
        <v>Daily</v>
      </c>
      <c r="AC50" s="77">
        <f ca="1"/>
        <v>0</v>
      </c>
      <c r="AD50" s="77">
        <f ca="1"/>
        <v>0</v>
      </c>
      <c r="AE50" s="77">
        <f ca="1"/>
        <v>0</v>
      </c>
      <c r="AF50" s="77">
        <f ca="1"/>
        <v>0</v>
      </c>
      <c r="AG50" s="261" t="str">
        <f ca="1"/>
        <v>N</v>
      </c>
      <c r="AH50" s="261">
        <f ca="1"/>
        <v>1</v>
      </c>
      <c r="AI50" s="261">
        <f ca="1"/>
        <v>1</v>
      </c>
      <c r="AJ50" s="262">
        <f ca="1"/>
        <v>0</v>
      </c>
    </row>
    <row r="51" spans="1:36" hidden="1" outlineLevel="1" x14ac:dyDescent="0.25">
      <c r="A51" s="120">
        <f t="shared" si="11"/>
        <v>0</v>
      </c>
      <c r="B51" s="231"/>
      <c r="C51" s="77"/>
      <c r="D51" s="238"/>
      <c r="E51" s="76" t="e">
        <f ca="1">SUMIF(payNonMonth,"="&amp;$X51,$E$362:OFFSET($E$362,ROWS(payNonMonth)-1,0))</f>
        <v>#NAME?</v>
      </c>
      <c r="F51" s="336"/>
      <c r="G51" s="77" t="e">
        <f t="shared" ca="1" si="12"/>
        <v>#NAME?</v>
      </c>
      <c r="H51" s="76" t="e">
        <f t="shared" ca="1" si="13"/>
        <v>#NAME?</v>
      </c>
      <c r="I51" s="76" t="e">
        <f t="shared" ca="1" si="14"/>
        <v>#NAME?</v>
      </c>
      <c r="J51" s="233" t="e">
        <f t="shared" ca="1" si="5"/>
        <v>#NAME?</v>
      </c>
      <c r="K51" s="76" t="e">
        <f t="shared" si="6"/>
        <v>#NAME?</v>
      </c>
      <c r="L51" s="76" t="e">
        <f t="shared" ca="1" si="7"/>
        <v>#NAME?</v>
      </c>
      <c r="M51" s="76" t="e">
        <f t="shared" ca="1" si="15"/>
        <v>#VALUE!</v>
      </c>
      <c r="N51" s="76" t="e">
        <f t="shared" ca="1" si="8"/>
        <v>#NAME?</v>
      </c>
      <c r="O51" s="76" t="e">
        <f t="shared" ca="1" si="9"/>
        <v>#NAME?</v>
      </c>
      <c r="P51" s="76"/>
      <c r="Q51" s="76" t="e">
        <f t="shared" ca="1" si="16"/>
        <v>#NAME?</v>
      </c>
      <c r="R51" s="76" t="e">
        <f t="shared" ca="1" si="31"/>
        <v>#VALUE!</v>
      </c>
      <c r="S51" s="76" t="e">
        <f t="shared" ca="1" si="17"/>
        <v>#NAME?</v>
      </c>
      <c r="T51" s="232" t="e">
        <f t="shared" ca="1" si="10"/>
        <v>#NAME?</v>
      </c>
      <c r="V51" s="120" t="e">
        <f>IF(EmpID="*","*",C51) &amp;":"&amp; $A51</f>
        <v>#NAME?</v>
      </c>
      <c r="W51" s="120" t="str">
        <f t="shared" si="19"/>
        <v>:</v>
      </c>
      <c r="X51" s="120" t="str">
        <f t="shared" si="42"/>
        <v>:</v>
      </c>
      <c r="Y51" s="250">
        <f t="array" aca="1" ref="Y51:AJ51" ca="1">VLOOKUP($D51&amp;":"&amp;$C51,tblPayRates,{3,4,5,6,7,8,9,10,11,12,13,14},0)</f>
        <v>0</v>
      </c>
      <c r="Z51" s="16" t="str">
        <f ca="1"/>
        <v>Nobody</v>
      </c>
      <c r="AA51" s="261" t="str">
        <f ca="1"/>
        <v>M</v>
      </c>
      <c r="AB51" s="77" t="str">
        <f ca="1"/>
        <v>Daily</v>
      </c>
      <c r="AC51" s="77">
        <f ca="1"/>
        <v>0</v>
      </c>
      <c r="AD51" s="77">
        <f ca="1"/>
        <v>0</v>
      </c>
      <c r="AE51" s="77">
        <f ca="1"/>
        <v>0</v>
      </c>
      <c r="AF51" s="77">
        <f ca="1"/>
        <v>0</v>
      </c>
      <c r="AG51" s="261" t="str">
        <f ca="1"/>
        <v>N</v>
      </c>
      <c r="AH51" s="261">
        <f ca="1"/>
        <v>1</v>
      </c>
      <c r="AI51" s="261">
        <f ca="1"/>
        <v>1</v>
      </c>
      <c r="AJ51" s="262">
        <f ca="1"/>
        <v>0</v>
      </c>
    </row>
    <row r="52" spans="1:36" hidden="1" outlineLevel="1" x14ac:dyDescent="0.25">
      <c r="A52" s="120">
        <f t="shared" si="11"/>
        <v>0</v>
      </c>
      <c r="B52" s="231"/>
      <c r="C52" s="77"/>
      <c r="D52" s="238"/>
      <c r="E52" s="76" t="e">
        <f ca="1">SUMIF(payNonMonth,"="&amp;$X52,$E$362:OFFSET($E$362,ROWS(payNonMonth)-1,0))</f>
        <v>#NAME?</v>
      </c>
      <c r="F52" s="76"/>
      <c r="G52" s="77" t="e">
        <f t="shared" ca="1" si="12"/>
        <v>#NAME?</v>
      </c>
      <c r="H52" s="76" t="e">
        <f t="shared" ca="1" si="13"/>
        <v>#NAME?</v>
      </c>
      <c r="I52" s="76" t="e">
        <f t="shared" ca="1" si="14"/>
        <v>#NAME?</v>
      </c>
      <c r="J52" s="233" t="e">
        <f t="shared" ca="1" si="5"/>
        <v>#NAME?</v>
      </c>
      <c r="K52" s="76" t="e">
        <f t="shared" si="6"/>
        <v>#NAME?</v>
      </c>
      <c r="L52" s="76" t="e">
        <f t="shared" ca="1" si="7"/>
        <v>#NAME?</v>
      </c>
      <c r="M52" s="76" t="e">
        <f t="shared" ca="1" si="15"/>
        <v>#VALUE!</v>
      </c>
      <c r="N52" s="76" t="e">
        <f t="shared" ca="1" si="8"/>
        <v>#NAME?</v>
      </c>
      <c r="O52" s="76" t="e">
        <f t="shared" ca="1" si="9"/>
        <v>#NAME?</v>
      </c>
      <c r="P52" s="76"/>
      <c r="Q52" s="76" t="e">
        <f t="shared" ca="1" si="16"/>
        <v>#NAME?</v>
      </c>
      <c r="R52" s="76" t="e">
        <f t="shared" ca="1" si="31"/>
        <v>#VALUE!</v>
      </c>
      <c r="S52" s="76" t="e">
        <f t="shared" ca="1" si="17"/>
        <v>#NAME?</v>
      </c>
      <c r="T52" s="232" t="e">
        <f t="shared" ca="1" si="10"/>
        <v>#NAME?</v>
      </c>
      <c r="V52" s="120" t="e">
        <f t="shared" si="18"/>
        <v>#NAME?</v>
      </c>
      <c r="W52" s="120" t="str">
        <f t="shared" si="19"/>
        <v>:</v>
      </c>
      <c r="X52" s="120" t="str">
        <f t="shared" si="42"/>
        <v>:</v>
      </c>
      <c r="Y52" s="250">
        <f t="array" aca="1" ref="Y52:AJ52" ca="1">VLOOKUP($D52&amp;":"&amp;$C52,tblPayRates,{3,4,5,6,7,8,9,10,11,12,13,14},0)</f>
        <v>0</v>
      </c>
      <c r="Z52" s="16" t="str">
        <f ca="1"/>
        <v>Nobody</v>
      </c>
      <c r="AA52" s="261" t="str">
        <f ca="1"/>
        <v>M</v>
      </c>
      <c r="AB52" s="77" t="str">
        <f ca="1"/>
        <v>Daily</v>
      </c>
      <c r="AC52" s="77">
        <f ca="1"/>
        <v>0</v>
      </c>
      <c r="AD52" s="77">
        <f ca="1"/>
        <v>0</v>
      </c>
      <c r="AE52" s="77">
        <f ca="1"/>
        <v>0</v>
      </c>
      <c r="AF52" s="77">
        <f ca="1"/>
        <v>0</v>
      </c>
      <c r="AG52" s="261" t="str">
        <f ca="1"/>
        <v>N</v>
      </c>
      <c r="AH52" s="261">
        <f ca="1"/>
        <v>1</v>
      </c>
      <c r="AI52" s="261">
        <f ca="1"/>
        <v>1</v>
      </c>
      <c r="AJ52" s="262">
        <f ca="1"/>
        <v>0</v>
      </c>
    </row>
    <row r="53" spans="1:36" hidden="1" outlineLevel="1" x14ac:dyDescent="0.25">
      <c r="A53" s="120">
        <f t="shared" si="11"/>
        <v>0</v>
      </c>
      <c r="B53" s="231"/>
      <c r="C53" s="77"/>
      <c r="D53" s="238"/>
      <c r="E53" s="76" t="e">
        <f ca="1">SUMIF(payNonMonth,"="&amp;$X53,$E$362:OFFSET($E$362,ROWS(payNonMonth)-1,0))</f>
        <v>#NAME?</v>
      </c>
      <c r="F53" s="76"/>
      <c r="G53" s="77" t="e">
        <f t="shared" ca="1" si="12"/>
        <v>#NAME?</v>
      </c>
      <c r="H53" s="76" t="e">
        <f t="shared" ca="1" si="13"/>
        <v>#NAME?</v>
      </c>
      <c r="I53" s="76" t="e">
        <f t="shared" ca="1" si="14"/>
        <v>#NAME?</v>
      </c>
      <c r="J53" s="233" t="e">
        <f t="shared" ca="1" si="5"/>
        <v>#NAME?</v>
      </c>
      <c r="K53" s="76" t="e">
        <f t="shared" si="6"/>
        <v>#NAME?</v>
      </c>
      <c r="L53" s="76" t="e">
        <f t="shared" ca="1" si="7"/>
        <v>#NAME?</v>
      </c>
      <c r="M53" s="76" t="e">
        <f t="shared" ca="1" si="15"/>
        <v>#VALUE!</v>
      </c>
      <c r="N53" s="76" t="e">
        <f t="shared" ca="1" si="8"/>
        <v>#NAME?</v>
      </c>
      <c r="O53" s="76" t="e">
        <f t="shared" ca="1" si="9"/>
        <v>#NAME?</v>
      </c>
      <c r="P53" s="76"/>
      <c r="Q53" s="76" t="e">
        <f t="shared" ca="1" si="16"/>
        <v>#NAME?</v>
      </c>
      <c r="R53" s="76" t="e">
        <f t="shared" ca="1" si="31"/>
        <v>#VALUE!</v>
      </c>
      <c r="S53" s="76" t="e">
        <f t="shared" ca="1" si="17"/>
        <v>#NAME?</v>
      </c>
      <c r="T53" s="232" t="e">
        <f t="shared" ca="1" si="10"/>
        <v>#NAME?</v>
      </c>
      <c r="V53" s="120" t="e">
        <f t="shared" si="18"/>
        <v>#NAME?</v>
      </c>
      <c r="W53" s="120" t="str">
        <f t="shared" si="19"/>
        <v>:</v>
      </c>
      <c r="X53" s="120" t="str">
        <f t="shared" si="42"/>
        <v>:</v>
      </c>
      <c r="Y53" s="250">
        <f t="array" aca="1" ref="Y53:AJ53" ca="1">VLOOKUP($D53&amp;":"&amp;$C53,tblPayRates,{3,4,5,6,7,8,9,10,11,12,13,14},0)</f>
        <v>0</v>
      </c>
      <c r="Z53" s="16" t="str">
        <f ca="1"/>
        <v>Nobody</v>
      </c>
      <c r="AA53" s="261" t="str">
        <f ca="1"/>
        <v>M</v>
      </c>
      <c r="AB53" s="77" t="str">
        <f ca="1"/>
        <v>Daily</v>
      </c>
      <c r="AC53" s="77">
        <f ca="1"/>
        <v>0</v>
      </c>
      <c r="AD53" s="77">
        <f ca="1"/>
        <v>0</v>
      </c>
      <c r="AE53" s="77">
        <f ca="1"/>
        <v>0</v>
      </c>
      <c r="AF53" s="77">
        <f ca="1"/>
        <v>0</v>
      </c>
      <c r="AG53" s="261" t="str">
        <f ca="1"/>
        <v>N</v>
      </c>
      <c r="AH53" s="261">
        <f ca="1"/>
        <v>1</v>
      </c>
      <c r="AI53" s="261">
        <f ca="1"/>
        <v>1</v>
      </c>
      <c r="AJ53" s="262">
        <f ca="1"/>
        <v>0</v>
      </c>
    </row>
    <row r="54" spans="1:36" hidden="1" outlineLevel="1" x14ac:dyDescent="0.25">
      <c r="A54" s="120">
        <f t="shared" si="11"/>
        <v>0</v>
      </c>
      <c r="B54" s="231"/>
      <c r="C54" s="77"/>
      <c r="D54" s="238"/>
      <c r="E54" s="76" t="e">
        <f ca="1">SUMIF(payNonMonth,"="&amp;$X54,$E$362:OFFSET($E$362,ROWS(payNonMonth)-1,0))</f>
        <v>#NAME?</v>
      </c>
      <c r="F54" s="76"/>
      <c r="G54" s="77" t="e">
        <f t="shared" ca="1" si="12"/>
        <v>#NAME?</v>
      </c>
      <c r="H54" s="76" t="e">
        <f t="shared" ca="1" si="13"/>
        <v>#NAME?</v>
      </c>
      <c r="I54" s="76" t="e">
        <f t="shared" ca="1" si="14"/>
        <v>#NAME?</v>
      </c>
      <c r="J54" s="233" t="e">
        <f t="shared" ca="1" si="5"/>
        <v>#NAME?</v>
      </c>
      <c r="K54" s="76" t="e">
        <f t="shared" si="6"/>
        <v>#NAME?</v>
      </c>
      <c r="L54" s="76" t="e">
        <f t="shared" ca="1" si="7"/>
        <v>#NAME?</v>
      </c>
      <c r="M54" s="76" t="e">
        <f t="shared" ca="1" si="15"/>
        <v>#VALUE!</v>
      </c>
      <c r="N54" s="76" t="e">
        <f t="shared" ca="1" si="8"/>
        <v>#NAME?</v>
      </c>
      <c r="O54" s="76" t="e">
        <f t="shared" ca="1" si="9"/>
        <v>#NAME?</v>
      </c>
      <c r="P54" s="76"/>
      <c r="Q54" s="76" t="e">
        <f t="shared" ca="1" si="16"/>
        <v>#NAME?</v>
      </c>
      <c r="R54" s="76" t="e">
        <f t="shared" ca="1" si="31"/>
        <v>#VALUE!</v>
      </c>
      <c r="S54" s="76" t="e">
        <f t="shared" ca="1" si="17"/>
        <v>#NAME?</v>
      </c>
      <c r="T54" s="232" t="e">
        <f t="shared" ca="1" si="10"/>
        <v>#NAME?</v>
      </c>
      <c r="V54" s="120" t="e">
        <f t="shared" si="18"/>
        <v>#NAME?</v>
      </c>
      <c r="W54" s="120" t="str">
        <f t="shared" si="19"/>
        <v>:</v>
      </c>
      <c r="X54" s="120" t="str">
        <f t="shared" si="42"/>
        <v>:</v>
      </c>
      <c r="Y54" s="250">
        <f t="array" aca="1" ref="Y54:AJ54" ca="1">VLOOKUP($D54&amp;":"&amp;$C54,tblPayRates,{3,4,5,6,7,8,9,10,11,12,13,14},0)</f>
        <v>0</v>
      </c>
      <c r="Z54" s="16" t="str">
        <f ca="1"/>
        <v>Nobody</v>
      </c>
      <c r="AA54" s="261" t="str">
        <f ca="1"/>
        <v>M</v>
      </c>
      <c r="AB54" s="77" t="str">
        <f ca="1"/>
        <v>Daily</v>
      </c>
      <c r="AC54" s="77">
        <f ca="1"/>
        <v>0</v>
      </c>
      <c r="AD54" s="77">
        <f ca="1"/>
        <v>0</v>
      </c>
      <c r="AE54" s="77">
        <f ca="1"/>
        <v>0</v>
      </c>
      <c r="AF54" s="77">
        <f ca="1"/>
        <v>0</v>
      </c>
      <c r="AG54" s="261" t="str">
        <f ca="1"/>
        <v>N</v>
      </c>
      <c r="AH54" s="261">
        <f ca="1"/>
        <v>1</v>
      </c>
      <c r="AI54" s="261">
        <f ca="1"/>
        <v>1</v>
      </c>
      <c r="AJ54" s="262">
        <f ca="1"/>
        <v>0</v>
      </c>
    </row>
    <row r="55" spans="1:36" hidden="1" outlineLevel="1" x14ac:dyDescent="0.25">
      <c r="A55" s="120">
        <f>GETPAYMONTH(B55)</f>
        <v>0</v>
      </c>
      <c r="B55" s="231"/>
      <c r="C55" s="77"/>
      <c r="D55" s="238"/>
      <c r="E55" s="76" t="e">
        <f ca="1">SUMIF(payNonMonth,"="&amp;$X55,$E$362:OFFSET($E$362,ROWS(payNonMonth)-1,0))</f>
        <v>#NAME?</v>
      </c>
      <c r="F55" s="76"/>
      <c r="G55" s="77" t="e">
        <f ca="1">IF(AND($E55=0,$F55=0),0,1)</f>
        <v>#NAME?</v>
      </c>
      <c r="H55" s="76" t="e">
        <f ca="1">ROUND(SUM(E55:F55)*AC55,2)</f>
        <v>#NAME?</v>
      </c>
      <c r="I55" s="76" t="e">
        <f ca="1">H55*OFFSET(payMgmtRate,0,$AH55)</f>
        <v>#NAME?</v>
      </c>
      <c r="J55" s="233" t="e">
        <f t="shared" ref="J55:J86" ca="1" si="43">ROUND(IF(AI55,$E55,1)*AE55+$F55*AF55+SUMIF(payAllow,$W55,$J$269:$J$359),2)</f>
        <v>#NAME?</v>
      </c>
      <c r="K55" s="76" t="e">
        <f t="shared" ref="K55:K86" si="44">SUMIF(payAllow,$W55,K$269:K$359)+SUMIF(payAllow,$W55,O$269:O$359)</f>
        <v>#NAME?</v>
      </c>
      <c r="L55" s="76" t="e">
        <f t="shared" ca="1" si="7"/>
        <v>#NAME?</v>
      </c>
      <c r="M55" s="76" t="e">
        <f ca="1">GETSUPER(J55-SUM(K55:L55))</f>
        <v>#VALUE!</v>
      </c>
      <c r="N55" s="76" t="e">
        <f t="shared" ref="N55:N86" ca="1" si="45">SUMIF(payAllow,$W55,N$269:N$359)*G55</f>
        <v>#NAME?</v>
      </c>
      <c r="O55" s="76" t="e">
        <f ca="1">ROUND((J55-SUM(K55:N55))*InsureRate,2)</f>
        <v>#NAME?</v>
      </c>
      <c r="P55" s="76"/>
      <c r="Q55" s="76" t="e">
        <f ca="1">J55-SUM(K55:P55)</f>
        <v>#NAME?</v>
      </c>
      <c r="R55" s="76" t="e">
        <f ca="1">GETTAX(Q55,AA55)</f>
        <v>#VALUE!</v>
      </c>
      <c r="S55" s="76" t="e">
        <f ca="1">Q55-R55</f>
        <v>#NAME?</v>
      </c>
      <c r="T55" s="232" t="e">
        <f t="shared" ref="T55:T86" ca="1" si="46">SUMIF(payAllow,W55,T$269:T$359)*G55</f>
        <v>#NAME?</v>
      </c>
      <c r="V55" s="120" t="e">
        <f>IF(EmpID="*","*",C55) &amp;":"&amp; $A55</f>
        <v>#NAME?</v>
      </c>
      <c r="W55" s="120" t="str">
        <f>$C55 &amp;":"&amp; $B55</f>
        <v>:</v>
      </c>
      <c r="X55" s="120" t="str">
        <f>C55 &amp;":"&amp; A55</f>
        <v>:0</v>
      </c>
      <c r="Y55" s="250">
        <f t="array" aca="1" ref="Y55:AJ55" ca="1">VLOOKUP($D55&amp;":"&amp;$C55,tblPayRates,{3,4,5,6,7,8,9,10,11,12,13,14},0)</f>
        <v>0</v>
      </c>
      <c r="Z55" s="16" t="str">
        <f ca="1"/>
        <v>Nobody</v>
      </c>
      <c r="AA55" s="261" t="str">
        <f ca="1"/>
        <v>M</v>
      </c>
      <c r="AB55" s="77" t="str">
        <f ca="1"/>
        <v>Daily</v>
      </c>
      <c r="AC55" s="77">
        <f ca="1"/>
        <v>0</v>
      </c>
      <c r="AD55" s="77">
        <f ca="1"/>
        <v>0</v>
      </c>
      <c r="AE55" s="77">
        <f ca="1"/>
        <v>0</v>
      </c>
      <c r="AF55" s="77">
        <f ca="1"/>
        <v>0</v>
      </c>
      <c r="AG55" s="261" t="str">
        <f ca="1"/>
        <v>N</v>
      </c>
      <c r="AH55" s="261">
        <f ca="1"/>
        <v>1</v>
      </c>
      <c r="AI55" s="261">
        <f ca="1"/>
        <v>1</v>
      </c>
      <c r="AJ55" s="262">
        <f ca="1"/>
        <v>0</v>
      </c>
    </row>
    <row r="56" spans="1:36" hidden="1" outlineLevel="1" x14ac:dyDescent="0.25">
      <c r="A56" s="120">
        <f t="shared" si="11"/>
        <v>0</v>
      </c>
      <c r="B56" s="231"/>
      <c r="C56" s="77"/>
      <c r="D56" s="238"/>
      <c r="E56" s="76" t="e">
        <f ca="1">SUMIF(payNonMonth,"="&amp;$X56,$E$362:OFFSET($E$362,ROWS(payNonMonth)-1,0))</f>
        <v>#NAME?</v>
      </c>
      <c r="F56" s="76"/>
      <c r="G56" s="77" t="e">
        <f t="shared" ca="1" si="12"/>
        <v>#NAME?</v>
      </c>
      <c r="H56" s="76" t="e">
        <f t="shared" ca="1" si="13"/>
        <v>#NAME?</v>
      </c>
      <c r="I56" s="76" t="e">
        <f t="shared" ca="1" si="14"/>
        <v>#NAME?</v>
      </c>
      <c r="J56" s="233" t="e">
        <f t="shared" ca="1" si="43"/>
        <v>#NAME?</v>
      </c>
      <c r="K56" s="76" t="e">
        <f t="shared" si="44"/>
        <v>#NAME?</v>
      </c>
      <c r="L56" s="76" t="e">
        <f t="shared" ca="1" si="7"/>
        <v>#NAME?</v>
      </c>
      <c r="M56" s="76" t="e">
        <f t="shared" ca="1" si="15"/>
        <v>#VALUE!</v>
      </c>
      <c r="N56" s="76" t="e">
        <f t="shared" ca="1" si="45"/>
        <v>#NAME?</v>
      </c>
      <c r="O56" s="76" t="e">
        <f t="shared" ca="1" si="9"/>
        <v>#NAME?</v>
      </c>
      <c r="P56" s="76"/>
      <c r="Q56" s="76" t="e">
        <f t="shared" ca="1" si="16"/>
        <v>#NAME?</v>
      </c>
      <c r="R56" s="76" t="e">
        <f t="shared" ca="1" si="31"/>
        <v>#VALUE!</v>
      </c>
      <c r="S56" s="76" t="e">
        <f t="shared" ca="1" si="17"/>
        <v>#NAME?</v>
      </c>
      <c r="T56" s="232" t="e">
        <f t="shared" ca="1" si="46"/>
        <v>#NAME?</v>
      </c>
      <c r="V56" s="120" t="e">
        <f t="shared" si="18"/>
        <v>#NAME?</v>
      </c>
      <c r="W56" s="120" t="str">
        <f t="shared" si="19"/>
        <v>:</v>
      </c>
      <c r="X56" s="120" t="str">
        <f t="shared" si="41"/>
        <v>:0</v>
      </c>
      <c r="Y56" s="250">
        <f t="array" aca="1" ref="Y56:AJ56" ca="1">VLOOKUP($D56&amp;":"&amp;$C56,tblPayRates,{3,4,5,6,7,8,9,10,11,12,13,14},0)</f>
        <v>0</v>
      </c>
      <c r="Z56" s="16" t="str">
        <f ca="1"/>
        <v>Nobody</v>
      </c>
      <c r="AA56" s="261" t="str">
        <f ca="1"/>
        <v>M</v>
      </c>
      <c r="AB56" s="77" t="str">
        <f ca="1"/>
        <v>Daily</v>
      </c>
      <c r="AC56" s="77">
        <f ca="1"/>
        <v>0</v>
      </c>
      <c r="AD56" s="77">
        <f ca="1"/>
        <v>0</v>
      </c>
      <c r="AE56" s="77">
        <f ca="1"/>
        <v>0</v>
      </c>
      <c r="AF56" s="77">
        <f ca="1"/>
        <v>0</v>
      </c>
      <c r="AG56" s="261" t="str">
        <f ca="1"/>
        <v>N</v>
      </c>
      <c r="AH56" s="261">
        <f ca="1"/>
        <v>1</v>
      </c>
      <c r="AI56" s="261">
        <f ca="1"/>
        <v>1</v>
      </c>
      <c r="AJ56" s="262">
        <f ca="1"/>
        <v>0</v>
      </c>
    </row>
    <row r="57" spans="1:36" hidden="1" outlineLevel="1" x14ac:dyDescent="0.25">
      <c r="A57" s="120">
        <f t="shared" si="11"/>
        <v>0</v>
      </c>
      <c r="B57" s="231"/>
      <c r="C57" s="77"/>
      <c r="D57" s="238"/>
      <c r="E57" s="76" t="e">
        <f ca="1">SUMIF(payNonMonth,"="&amp;$X57,$E$362:OFFSET($E$362,ROWS(payNonMonth)-1,0))</f>
        <v>#NAME?</v>
      </c>
      <c r="F57" s="76"/>
      <c r="G57" s="77" t="e">
        <f t="shared" ca="1" si="12"/>
        <v>#NAME?</v>
      </c>
      <c r="H57" s="76" t="e">
        <f t="shared" ca="1" si="13"/>
        <v>#NAME?</v>
      </c>
      <c r="I57" s="76" t="e">
        <f t="shared" ca="1" si="14"/>
        <v>#NAME?</v>
      </c>
      <c r="J57" s="233" t="e">
        <f t="shared" ca="1" si="43"/>
        <v>#NAME?</v>
      </c>
      <c r="K57" s="76" t="e">
        <f t="shared" si="44"/>
        <v>#NAME?</v>
      </c>
      <c r="L57" s="76" t="e">
        <f t="shared" ref="L57:L93" ca="1" si="47">SUMIF(payAllow,$W57,L$269:L$359)*$G57</f>
        <v>#NAME?</v>
      </c>
      <c r="M57" s="76" t="e">
        <f t="shared" ca="1" si="15"/>
        <v>#VALUE!</v>
      </c>
      <c r="N57" s="76" t="e">
        <f t="shared" ca="1" si="45"/>
        <v>#NAME?</v>
      </c>
      <c r="O57" s="76" t="e">
        <f t="shared" ca="1" si="9"/>
        <v>#NAME?</v>
      </c>
      <c r="P57" s="76"/>
      <c r="Q57" s="76" t="e">
        <f t="shared" ca="1" si="16"/>
        <v>#NAME?</v>
      </c>
      <c r="R57" s="76" t="e">
        <f t="shared" ca="1" si="31"/>
        <v>#VALUE!</v>
      </c>
      <c r="S57" s="76" t="e">
        <f t="shared" ca="1" si="17"/>
        <v>#NAME?</v>
      </c>
      <c r="T57" s="232" t="e">
        <f t="shared" ca="1" si="46"/>
        <v>#NAME?</v>
      </c>
      <c r="V57" s="120" t="e">
        <f t="shared" si="18"/>
        <v>#NAME?</v>
      </c>
      <c r="W57" s="120" t="str">
        <f t="shared" si="19"/>
        <v>:</v>
      </c>
      <c r="X57" s="120" t="str">
        <f t="shared" si="41"/>
        <v>:0</v>
      </c>
      <c r="Y57" s="250">
        <f t="array" aca="1" ref="Y57:AJ57" ca="1">VLOOKUP($D57&amp;":"&amp;$C57,tblPayRates,{3,4,5,6,7,8,9,10,11,12,13,14},0)</f>
        <v>0</v>
      </c>
      <c r="Z57" s="16" t="str">
        <f ca="1"/>
        <v>Nobody</v>
      </c>
      <c r="AA57" s="261" t="str">
        <f ca="1"/>
        <v>M</v>
      </c>
      <c r="AB57" s="77" t="str">
        <f ca="1"/>
        <v>Daily</v>
      </c>
      <c r="AC57" s="77">
        <f ca="1"/>
        <v>0</v>
      </c>
      <c r="AD57" s="77">
        <f ca="1"/>
        <v>0</v>
      </c>
      <c r="AE57" s="77">
        <f ca="1"/>
        <v>0</v>
      </c>
      <c r="AF57" s="77">
        <f ca="1"/>
        <v>0</v>
      </c>
      <c r="AG57" s="261" t="str">
        <f ca="1"/>
        <v>N</v>
      </c>
      <c r="AH57" s="261">
        <f ca="1"/>
        <v>1</v>
      </c>
      <c r="AI57" s="261">
        <f ca="1"/>
        <v>1</v>
      </c>
      <c r="AJ57" s="262">
        <f ca="1"/>
        <v>0</v>
      </c>
    </row>
    <row r="58" spans="1:36" hidden="1" outlineLevel="1" x14ac:dyDescent="0.25">
      <c r="A58" s="120">
        <f t="shared" si="11"/>
        <v>0</v>
      </c>
      <c r="B58" s="231"/>
      <c r="C58" s="77"/>
      <c r="D58" s="238"/>
      <c r="E58" s="76" t="e">
        <f ca="1">SUMIF(payNonMonth,"="&amp;$X58,$E$362:OFFSET($E$362,ROWS(payNonMonth)-1,0))</f>
        <v>#NAME?</v>
      </c>
      <c r="F58" s="76"/>
      <c r="G58" s="77" t="e">
        <f t="shared" ca="1" si="12"/>
        <v>#NAME?</v>
      </c>
      <c r="H58" s="76" t="e">
        <f t="shared" ca="1" si="13"/>
        <v>#NAME?</v>
      </c>
      <c r="I58" s="76" t="e">
        <f t="shared" ca="1" si="14"/>
        <v>#NAME?</v>
      </c>
      <c r="J58" s="233" t="e">
        <f t="shared" ca="1" si="43"/>
        <v>#NAME?</v>
      </c>
      <c r="K58" s="76" t="e">
        <f t="shared" si="44"/>
        <v>#NAME?</v>
      </c>
      <c r="L58" s="76" t="e">
        <f t="shared" ca="1" si="47"/>
        <v>#NAME?</v>
      </c>
      <c r="M58" s="76" t="e">
        <f t="shared" ca="1" si="15"/>
        <v>#VALUE!</v>
      </c>
      <c r="N58" s="76" t="e">
        <f t="shared" ca="1" si="45"/>
        <v>#NAME?</v>
      </c>
      <c r="O58" s="76" t="e">
        <f t="shared" ca="1" si="9"/>
        <v>#NAME?</v>
      </c>
      <c r="P58" s="76"/>
      <c r="Q58" s="76" t="e">
        <f t="shared" ca="1" si="16"/>
        <v>#NAME?</v>
      </c>
      <c r="R58" s="76" t="e">
        <f t="shared" ca="1" si="31"/>
        <v>#VALUE!</v>
      </c>
      <c r="S58" s="76" t="e">
        <f t="shared" ca="1" si="17"/>
        <v>#NAME?</v>
      </c>
      <c r="T58" s="232" t="e">
        <f t="shared" ca="1" si="46"/>
        <v>#NAME?</v>
      </c>
      <c r="V58" s="120" t="e">
        <f t="shared" si="18"/>
        <v>#NAME?</v>
      </c>
      <c r="W58" s="120" t="str">
        <f t="shared" si="19"/>
        <v>:</v>
      </c>
      <c r="X58" s="120" t="str">
        <f t="shared" si="41"/>
        <v>:0</v>
      </c>
      <c r="Y58" s="250">
        <f t="array" aca="1" ref="Y58:AJ58" ca="1">VLOOKUP($D58&amp;":"&amp;$C58,tblPayRates,{3,4,5,6,7,8,9,10,11,12,13,14},0)</f>
        <v>0</v>
      </c>
      <c r="Z58" s="16" t="str">
        <f ca="1"/>
        <v>Nobody</v>
      </c>
      <c r="AA58" s="261" t="str">
        <f ca="1"/>
        <v>M</v>
      </c>
      <c r="AB58" s="77" t="str">
        <f ca="1"/>
        <v>Daily</v>
      </c>
      <c r="AC58" s="77">
        <f ca="1"/>
        <v>0</v>
      </c>
      <c r="AD58" s="77">
        <f ca="1"/>
        <v>0</v>
      </c>
      <c r="AE58" s="77">
        <f ca="1"/>
        <v>0</v>
      </c>
      <c r="AF58" s="77">
        <f ca="1"/>
        <v>0</v>
      </c>
      <c r="AG58" s="261" t="str">
        <f ca="1"/>
        <v>N</v>
      </c>
      <c r="AH58" s="261">
        <f ca="1"/>
        <v>1</v>
      </c>
      <c r="AI58" s="261">
        <f ca="1"/>
        <v>1</v>
      </c>
      <c r="AJ58" s="262">
        <f ca="1"/>
        <v>0</v>
      </c>
    </row>
    <row r="59" spans="1:36" hidden="1" outlineLevel="1" x14ac:dyDescent="0.25">
      <c r="A59" s="120">
        <f t="shared" ref="A59:A92" si="48">GETPAYMONTH(B59)</f>
        <v>0</v>
      </c>
      <c r="B59" s="231"/>
      <c r="C59" s="77"/>
      <c r="D59" s="238"/>
      <c r="E59" s="76" t="e">
        <f ca="1">SUMIF(payNonMonth,"="&amp;$X59,$E$362:OFFSET($E$362,ROWS(payNonMonth)-1,0))</f>
        <v>#NAME?</v>
      </c>
      <c r="F59" s="76"/>
      <c r="G59" s="77" t="e">
        <f t="shared" ref="G59:G92" ca="1" si="49">IF(AND($E59=0,$F59=0),0,1)</f>
        <v>#NAME?</v>
      </c>
      <c r="H59" s="76" t="e">
        <f t="shared" ref="H59:H92" ca="1" si="50">ROUND(SUM(E59:F59)*AC59,2)</f>
        <v>#NAME?</v>
      </c>
      <c r="I59" s="76" t="e">
        <f t="shared" ref="I59:I92" ca="1" si="51">H59*OFFSET(payMgmtRate,0,$AH59)</f>
        <v>#NAME?</v>
      </c>
      <c r="J59" s="233" t="e">
        <f t="shared" ca="1" si="43"/>
        <v>#NAME?</v>
      </c>
      <c r="K59" s="76" t="e">
        <f t="shared" si="44"/>
        <v>#NAME?</v>
      </c>
      <c r="L59" s="76" t="e">
        <f t="shared" ca="1" si="47"/>
        <v>#NAME?</v>
      </c>
      <c r="M59" s="76" t="e">
        <f t="shared" ref="M59:M92" ca="1" si="52">GETSUPER(J59-SUM(K59:L59))</f>
        <v>#VALUE!</v>
      </c>
      <c r="N59" s="76" t="e">
        <f t="shared" ca="1" si="45"/>
        <v>#NAME?</v>
      </c>
      <c r="O59" s="76"/>
      <c r="P59" s="76"/>
      <c r="Q59" s="76" t="e">
        <f t="shared" ref="Q59:Q92" ca="1" si="53">J59-SUM(K59:P59)</f>
        <v>#NAME?</v>
      </c>
      <c r="R59" s="76" t="e">
        <f t="shared" ca="1" si="31"/>
        <v>#VALUE!</v>
      </c>
      <c r="S59" s="76" t="e">
        <f t="shared" ref="S59:S92" ca="1" si="54">Q59-R59</f>
        <v>#NAME?</v>
      </c>
      <c r="T59" s="232" t="e">
        <f t="shared" ca="1" si="46"/>
        <v>#NAME?</v>
      </c>
      <c r="V59" s="120" t="e">
        <f t="shared" ref="V59:V92" si="55">IF(EmpID="*","*",C59) &amp;":"&amp; $A59</f>
        <v>#NAME?</v>
      </c>
      <c r="W59" s="120" t="str">
        <f t="shared" ref="W59:W92" si="56">$C59 &amp;":"&amp; $B59</f>
        <v>:</v>
      </c>
      <c r="X59" s="120" t="str">
        <f t="shared" si="41"/>
        <v>:0</v>
      </c>
      <c r="Y59" s="250">
        <f t="array" aca="1" ref="Y59:AJ59" ca="1">VLOOKUP($D59&amp;":"&amp;$C59,tblPayRates,{3,4,5,6,7,8,9,10,11,12,13,14},0)</f>
        <v>0</v>
      </c>
      <c r="Z59" s="16" t="str">
        <f ca="1"/>
        <v>Nobody</v>
      </c>
      <c r="AA59" s="261" t="str">
        <f ca="1"/>
        <v>M</v>
      </c>
      <c r="AB59" s="77" t="str">
        <f ca="1"/>
        <v>Daily</v>
      </c>
      <c r="AC59" s="77">
        <f ca="1"/>
        <v>0</v>
      </c>
      <c r="AD59" s="77">
        <f ca="1"/>
        <v>0</v>
      </c>
      <c r="AE59" s="77">
        <f ca="1"/>
        <v>0</v>
      </c>
      <c r="AF59" s="77">
        <f ca="1"/>
        <v>0</v>
      </c>
      <c r="AG59" s="261" t="str">
        <f ca="1"/>
        <v>N</v>
      </c>
      <c r="AH59" s="261">
        <f ca="1"/>
        <v>1</v>
      </c>
      <c r="AI59" s="261">
        <f ca="1"/>
        <v>1</v>
      </c>
      <c r="AJ59" s="262">
        <f ca="1"/>
        <v>0</v>
      </c>
    </row>
    <row r="60" spans="1:36" hidden="1" outlineLevel="1" x14ac:dyDescent="0.25">
      <c r="A60" s="120">
        <f t="shared" si="48"/>
        <v>0</v>
      </c>
      <c r="B60" s="231"/>
      <c r="C60" s="77"/>
      <c r="D60" s="238"/>
      <c r="E60" s="76" t="e">
        <f ca="1">SUMIF(payNonMonth,"="&amp;$X60,$E$362:OFFSET($E$362,ROWS(payNonMonth)-1,0))</f>
        <v>#NAME?</v>
      </c>
      <c r="F60" s="76"/>
      <c r="G60" s="77" t="e">
        <f t="shared" ca="1" si="49"/>
        <v>#NAME?</v>
      </c>
      <c r="H60" s="76" t="e">
        <f t="shared" ca="1" si="50"/>
        <v>#NAME?</v>
      </c>
      <c r="I60" s="76" t="e">
        <f t="shared" ca="1" si="51"/>
        <v>#NAME?</v>
      </c>
      <c r="J60" s="233" t="e">
        <f t="shared" ca="1" si="43"/>
        <v>#NAME?</v>
      </c>
      <c r="K60" s="76" t="e">
        <f t="shared" si="44"/>
        <v>#NAME?</v>
      </c>
      <c r="L60" s="76" t="e">
        <f t="shared" ca="1" si="47"/>
        <v>#NAME?</v>
      </c>
      <c r="M60" s="76" t="e">
        <f t="shared" ca="1" si="52"/>
        <v>#VALUE!</v>
      </c>
      <c r="N60" s="76" t="e">
        <f t="shared" ca="1" si="45"/>
        <v>#NAME?</v>
      </c>
      <c r="O60" s="76"/>
      <c r="P60" s="76"/>
      <c r="Q60" s="76" t="e">
        <f t="shared" ca="1" si="53"/>
        <v>#NAME?</v>
      </c>
      <c r="R60" s="76" t="e">
        <f t="shared" ca="1" si="31"/>
        <v>#VALUE!</v>
      </c>
      <c r="S60" s="76" t="e">
        <f t="shared" ca="1" si="54"/>
        <v>#NAME?</v>
      </c>
      <c r="T60" s="232" t="e">
        <f t="shared" ca="1" si="46"/>
        <v>#NAME?</v>
      </c>
      <c r="V60" s="120" t="e">
        <f t="shared" si="55"/>
        <v>#NAME?</v>
      </c>
      <c r="W60" s="120" t="str">
        <f t="shared" si="56"/>
        <v>:</v>
      </c>
      <c r="X60" s="120" t="str">
        <f t="shared" si="41"/>
        <v>:0</v>
      </c>
      <c r="Y60" s="250">
        <f t="array" aca="1" ref="Y60:AJ60" ca="1">VLOOKUP($D60&amp;":"&amp;$C60,tblPayRates,{3,4,5,6,7,8,9,10,11,12,13,14},0)</f>
        <v>0</v>
      </c>
      <c r="Z60" s="16" t="str">
        <f ca="1"/>
        <v>Nobody</v>
      </c>
      <c r="AA60" s="261" t="str">
        <f ca="1"/>
        <v>M</v>
      </c>
      <c r="AB60" s="77" t="str">
        <f ca="1"/>
        <v>Daily</v>
      </c>
      <c r="AC60" s="77">
        <f ca="1"/>
        <v>0</v>
      </c>
      <c r="AD60" s="77">
        <f ca="1"/>
        <v>0</v>
      </c>
      <c r="AE60" s="77">
        <f ca="1"/>
        <v>0</v>
      </c>
      <c r="AF60" s="77">
        <f ca="1"/>
        <v>0</v>
      </c>
      <c r="AG60" s="261" t="str">
        <f ca="1"/>
        <v>N</v>
      </c>
      <c r="AH60" s="261">
        <f ca="1"/>
        <v>1</v>
      </c>
      <c r="AI60" s="261">
        <f ca="1"/>
        <v>1</v>
      </c>
      <c r="AJ60" s="262">
        <f ca="1"/>
        <v>0</v>
      </c>
    </row>
    <row r="61" spans="1:36" hidden="1" outlineLevel="1" x14ac:dyDescent="0.25">
      <c r="A61" s="120">
        <f t="shared" si="48"/>
        <v>0</v>
      </c>
      <c r="B61" s="231"/>
      <c r="C61" s="77"/>
      <c r="D61" s="238"/>
      <c r="E61" s="76" t="e">
        <f ca="1">SUMIF(payNonMonth,"="&amp;$X61,$E$362:OFFSET($E$362,ROWS(payNonMonth)-1,0))</f>
        <v>#NAME?</v>
      </c>
      <c r="F61" s="76"/>
      <c r="G61" s="77" t="e">
        <f t="shared" ca="1" si="49"/>
        <v>#NAME?</v>
      </c>
      <c r="H61" s="76" t="e">
        <f t="shared" ca="1" si="50"/>
        <v>#NAME?</v>
      </c>
      <c r="I61" s="76" t="e">
        <f t="shared" ca="1" si="51"/>
        <v>#NAME?</v>
      </c>
      <c r="J61" s="233" t="e">
        <f t="shared" ca="1" si="43"/>
        <v>#NAME?</v>
      </c>
      <c r="K61" s="76" t="e">
        <f t="shared" si="44"/>
        <v>#NAME?</v>
      </c>
      <c r="L61" s="76" t="e">
        <f t="shared" ca="1" si="47"/>
        <v>#NAME?</v>
      </c>
      <c r="M61" s="76" t="e">
        <f t="shared" ca="1" si="52"/>
        <v>#VALUE!</v>
      </c>
      <c r="N61" s="76" t="e">
        <f t="shared" ca="1" si="45"/>
        <v>#NAME?</v>
      </c>
      <c r="O61" s="76" t="e">
        <f t="shared" ref="O61:O93" ca="1" si="57">ROUND((J61-SUM(K61:N61))*InsureRate,2)</f>
        <v>#NAME?</v>
      </c>
      <c r="P61" s="76"/>
      <c r="Q61" s="76" t="e">
        <f t="shared" ca="1" si="53"/>
        <v>#NAME?</v>
      </c>
      <c r="R61" s="76" t="e">
        <f t="shared" ca="1" si="31"/>
        <v>#VALUE!</v>
      </c>
      <c r="S61" s="76" t="e">
        <f t="shared" ca="1" si="54"/>
        <v>#NAME?</v>
      </c>
      <c r="T61" s="232" t="e">
        <f t="shared" ca="1" si="46"/>
        <v>#NAME?</v>
      </c>
      <c r="V61" s="120" t="e">
        <f t="shared" si="55"/>
        <v>#NAME?</v>
      </c>
      <c r="W61" s="120" t="str">
        <f t="shared" si="56"/>
        <v>:</v>
      </c>
      <c r="X61" s="120" t="str">
        <f t="shared" ref="X61:X64" si="58">C61 &amp;":"&amp; B61</f>
        <v>:</v>
      </c>
      <c r="Y61" s="250">
        <f t="array" aca="1" ref="Y61:AJ61" ca="1">VLOOKUP($D61&amp;":"&amp;$C61,tblPayRates,{3,4,5,6,7,8,9,10,11,12,13,14},0)</f>
        <v>0</v>
      </c>
      <c r="Z61" s="16" t="str">
        <f ca="1"/>
        <v>Nobody</v>
      </c>
      <c r="AA61" s="261" t="str">
        <f ca="1"/>
        <v>M</v>
      </c>
      <c r="AB61" s="77" t="str">
        <f ca="1"/>
        <v>Daily</v>
      </c>
      <c r="AC61" s="77">
        <f ca="1"/>
        <v>0</v>
      </c>
      <c r="AD61" s="77">
        <f ca="1"/>
        <v>0</v>
      </c>
      <c r="AE61" s="77">
        <f ca="1"/>
        <v>0</v>
      </c>
      <c r="AF61" s="77">
        <f ca="1"/>
        <v>0</v>
      </c>
      <c r="AG61" s="261" t="str">
        <f ca="1"/>
        <v>N</v>
      </c>
      <c r="AH61" s="261">
        <f ca="1"/>
        <v>1</v>
      </c>
      <c r="AI61" s="261">
        <f ca="1"/>
        <v>1</v>
      </c>
      <c r="AJ61" s="262">
        <f ca="1"/>
        <v>0</v>
      </c>
    </row>
    <row r="62" spans="1:36" hidden="1" outlineLevel="1" x14ac:dyDescent="0.25">
      <c r="A62" s="120">
        <f t="shared" si="48"/>
        <v>0</v>
      </c>
      <c r="B62" s="231"/>
      <c r="C62" s="77"/>
      <c r="D62" s="238"/>
      <c r="E62" s="76" t="e">
        <f ca="1">SUMIF(payNonMonth,"="&amp;$X62,$E$362:OFFSET($E$362,ROWS(payNonMonth)-1,0))</f>
        <v>#NAME?</v>
      </c>
      <c r="F62" s="76"/>
      <c r="G62" s="77" t="e">
        <f t="shared" ca="1" si="49"/>
        <v>#NAME?</v>
      </c>
      <c r="H62" s="76" t="e">
        <f t="shared" ca="1" si="50"/>
        <v>#NAME?</v>
      </c>
      <c r="I62" s="76" t="e">
        <f t="shared" ca="1" si="51"/>
        <v>#NAME?</v>
      </c>
      <c r="J62" s="233" t="e">
        <f t="shared" ca="1" si="43"/>
        <v>#NAME?</v>
      </c>
      <c r="K62" s="76" t="e">
        <f t="shared" si="44"/>
        <v>#NAME?</v>
      </c>
      <c r="L62" s="76" t="e">
        <f t="shared" ca="1" si="47"/>
        <v>#NAME?</v>
      </c>
      <c r="M62" s="76" t="e">
        <f t="shared" ca="1" si="52"/>
        <v>#VALUE!</v>
      </c>
      <c r="N62" s="76" t="e">
        <f t="shared" ca="1" si="45"/>
        <v>#NAME?</v>
      </c>
      <c r="O62" s="76" t="e">
        <f t="shared" ca="1" si="57"/>
        <v>#NAME?</v>
      </c>
      <c r="P62" s="76"/>
      <c r="Q62" s="76" t="e">
        <f t="shared" ca="1" si="53"/>
        <v>#NAME?</v>
      </c>
      <c r="R62" s="76" t="e">
        <f t="shared" ca="1" si="31"/>
        <v>#VALUE!</v>
      </c>
      <c r="S62" s="76" t="e">
        <f t="shared" ca="1" si="54"/>
        <v>#NAME?</v>
      </c>
      <c r="T62" s="232" t="e">
        <f t="shared" ca="1" si="46"/>
        <v>#NAME?</v>
      </c>
      <c r="V62" s="120" t="e">
        <f t="shared" si="55"/>
        <v>#NAME?</v>
      </c>
      <c r="W62" s="120" t="str">
        <f t="shared" si="56"/>
        <v>:</v>
      </c>
      <c r="X62" s="120" t="str">
        <f t="shared" si="58"/>
        <v>:</v>
      </c>
      <c r="Y62" s="250">
        <f t="array" aca="1" ref="Y62:AJ62" ca="1">VLOOKUP($D62&amp;":"&amp;$C62,tblPayRates,{3,4,5,6,7,8,9,10,11,12,13,14},0)</f>
        <v>0</v>
      </c>
      <c r="Z62" s="16" t="str">
        <f ca="1"/>
        <v>Nobody</v>
      </c>
      <c r="AA62" s="261" t="str">
        <f ca="1"/>
        <v>M</v>
      </c>
      <c r="AB62" s="77" t="str">
        <f ca="1"/>
        <v>Daily</v>
      </c>
      <c r="AC62" s="77">
        <f ca="1"/>
        <v>0</v>
      </c>
      <c r="AD62" s="77">
        <f ca="1"/>
        <v>0</v>
      </c>
      <c r="AE62" s="77">
        <f ca="1"/>
        <v>0</v>
      </c>
      <c r="AF62" s="77">
        <f ca="1"/>
        <v>0</v>
      </c>
      <c r="AG62" s="261" t="str">
        <f ca="1"/>
        <v>N</v>
      </c>
      <c r="AH62" s="261">
        <f ca="1"/>
        <v>1</v>
      </c>
      <c r="AI62" s="261">
        <f ca="1"/>
        <v>1</v>
      </c>
      <c r="AJ62" s="262">
        <f ca="1"/>
        <v>0</v>
      </c>
    </row>
    <row r="63" spans="1:36" hidden="1" outlineLevel="1" x14ac:dyDescent="0.25">
      <c r="A63" s="120">
        <f t="shared" si="48"/>
        <v>0</v>
      </c>
      <c r="B63" s="231"/>
      <c r="C63" s="77"/>
      <c r="D63" s="238"/>
      <c r="E63" s="76" t="e">
        <f ca="1">SUMIF(payNonMonth,"="&amp;$X63,$E$362:OFFSET($E$362,ROWS(payNonMonth)-1,0))</f>
        <v>#NAME?</v>
      </c>
      <c r="F63" s="76"/>
      <c r="G63" s="77" t="e">
        <f t="shared" ca="1" si="49"/>
        <v>#NAME?</v>
      </c>
      <c r="H63" s="76" t="e">
        <f t="shared" ca="1" si="50"/>
        <v>#NAME?</v>
      </c>
      <c r="I63" s="76" t="e">
        <f t="shared" ca="1" si="51"/>
        <v>#NAME?</v>
      </c>
      <c r="J63" s="233" t="e">
        <f t="shared" ca="1" si="43"/>
        <v>#NAME?</v>
      </c>
      <c r="K63" s="76" t="e">
        <f t="shared" si="44"/>
        <v>#NAME?</v>
      </c>
      <c r="L63" s="76" t="e">
        <f t="shared" ca="1" si="47"/>
        <v>#NAME?</v>
      </c>
      <c r="M63" s="76" t="e">
        <f t="shared" ca="1" si="52"/>
        <v>#VALUE!</v>
      </c>
      <c r="N63" s="76" t="e">
        <f t="shared" ca="1" si="45"/>
        <v>#NAME?</v>
      </c>
      <c r="O63" s="76" t="e">
        <f t="shared" ca="1" si="57"/>
        <v>#NAME?</v>
      </c>
      <c r="P63" s="76"/>
      <c r="Q63" s="76" t="e">
        <f t="shared" ca="1" si="53"/>
        <v>#NAME?</v>
      </c>
      <c r="R63" s="76" t="e">
        <f t="shared" ca="1" si="31"/>
        <v>#VALUE!</v>
      </c>
      <c r="S63" s="76" t="e">
        <f t="shared" ca="1" si="54"/>
        <v>#NAME?</v>
      </c>
      <c r="T63" s="232" t="e">
        <f t="shared" ca="1" si="46"/>
        <v>#NAME?</v>
      </c>
      <c r="V63" s="120" t="e">
        <f t="shared" si="55"/>
        <v>#NAME?</v>
      </c>
      <c r="W63" s="120" t="str">
        <f t="shared" si="56"/>
        <v>:</v>
      </c>
      <c r="X63" s="120" t="str">
        <f t="shared" si="58"/>
        <v>:</v>
      </c>
      <c r="Y63" s="250">
        <f t="array" aca="1" ref="Y63:AJ63" ca="1">VLOOKUP($D63&amp;":"&amp;$C63,tblPayRates,{3,4,5,6,7,8,9,10,11,12,13,14},0)</f>
        <v>0</v>
      </c>
      <c r="Z63" s="16" t="str">
        <f ca="1"/>
        <v>Nobody</v>
      </c>
      <c r="AA63" s="261" t="str">
        <f ca="1"/>
        <v>M</v>
      </c>
      <c r="AB63" s="77" t="str">
        <f ca="1"/>
        <v>Daily</v>
      </c>
      <c r="AC63" s="77">
        <f ca="1"/>
        <v>0</v>
      </c>
      <c r="AD63" s="77">
        <f ca="1"/>
        <v>0</v>
      </c>
      <c r="AE63" s="77">
        <f ca="1"/>
        <v>0</v>
      </c>
      <c r="AF63" s="77">
        <f ca="1"/>
        <v>0</v>
      </c>
      <c r="AG63" s="261" t="str">
        <f ca="1"/>
        <v>N</v>
      </c>
      <c r="AH63" s="261">
        <f ca="1"/>
        <v>1</v>
      </c>
      <c r="AI63" s="261">
        <f ca="1"/>
        <v>1</v>
      </c>
      <c r="AJ63" s="262">
        <f ca="1"/>
        <v>0</v>
      </c>
    </row>
    <row r="64" spans="1:36" hidden="1" outlineLevel="1" x14ac:dyDescent="0.25">
      <c r="A64" s="120">
        <f t="shared" si="48"/>
        <v>0</v>
      </c>
      <c r="B64" s="231"/>
      <c r="C64" s="77"/>
      <c r="D64" s="238"/>
      <c r="E64" s="76" t="e">
        <f ca="1">SUMIF(payNonMonth,"="&amp;$X64,$E$362:OFFSET($E$362,ROWS(payNonMonth)-1,0))</f>
        <v>#NAME?</v>
      </c>
      <c r="F64" s="76"/>
      <c r="G64" s="77" t="e">
        <f t="shared" ca="1" si="49"/>
        <v>#NAME?</v>
      </c>
      <c r="H64" s="76" t="e">
        <f t="shared" ca="1" si="50"/>
        <v>#NAME?</v>
      </c>
      <c r="I64" s="76" t="e">
        <f t="shared" ca="1" si="51"/>
        <v>#NAME?</v>
      </c>
      <c r="J64" s="233" t="e">
        <f t="shared" ca="1" si="43"/>
        <v>#NAME?</v>
      </c>
      <c r="K64" s="76" t="e">
        <f t="shared" si="44"/>
        <v>#NAME?</v>
      </c>
      <c r="L64" s="76" t="e">
        <f t="shared" ca="1" si="47"/>
        <v>#NAME?</v>
      </c>
      <c r="M64" s="76" t="e">
        <f t="shared" ca="1" si="52"/>
        <v>#VALUE!</v>
      </c>
      <c r="N64" s="76" t="e">
        <f t="shared" ca="1" si="45"/>
        <v>#NAME?</v>
      </c>
      <c r="O64" s="76" t="e">
        <f t="shared" ca="1" si="57"/>
        <v>#NAME?</v>
      </c>
      <c r="P64" s="76"/>
      <c r="Q64" s="76" t="e">
        <f t="shared" ca="1" si="53"/>
        <v>#NAME?</v>
      </c>
      <c r="R64" s="76" t="e">
        <f t="shared" ca="1" si="31"/>
        <v>#VALUE!</v>
      </c>
      <c r="S64" s="76" t="e">
        <f t="shared" ca="1" si="54"/>
        <v>#NAME?</v>
      </c>
      <c r="T64" s="232" t="e">
        <f t="shared" ca="1" si="46"/>
        <v>#NAME?</v>
      </c>
      <c r="V64" s="120" t="e">
        <f t="shared" si="55"/>
        <v>#NAME?</v>
      </c>
      <c r="W64" s="120" t="str">
        <f t="shared" si="56"/>
        <v>:</v>
      </c>
      <c r="X64" s="120" t="str">
        <f t="shared" si="58"/>
        <v>:</v>
      </c>
      <c r="Y64" s="250">
        <f t="array" aca="1" ref="Y64:AJ64" ca="1">VLOOKUP($D64&amp;":"&amp;$C64,tblPayRates,{3,4,5,6,7,8,9,10,11,12,13,14},0)</f>
        <v>0</v>
      </c>
      <c r="Z64" s="16" t="str">
        <f ca="1"/>
        <v>Nobody</v>
      </c>
      <c r="AA64" s="261" t="str">
        <f ca="1"/>
        <v>M</v>
      </c>
      <c r="AB64" s="77" t="str">
        <f ca="1"/>
        <v>Daily</v>
      </c>
      <c r="AC64" s="77">
        <f ca="1"/>
        <v>0</v>
      </c>
      <c r="AD64" s="77">
        <f ca="1"/>
        <v>0</v>
      </c>
      <c r="AE64" s="77">
        <f ca="1"/>
        <v>0</v>
      </c>
      <c r="AF64" s="77">
        <f ca="1"/>
        <v>0</v>
      </c>
      <c r="AG64" s="261" t="str">
        <f ca="1"/>
        <v>N</v>
      </c>
      <c r="AH64" s="261">
        <f ca="1"/>
        <v>1</v>
      </c>
      <c r="AI64" s="261">
        <f ca="1"/>
        <v>1</v>
      </c>
      <c r="AJ64" s="262">
        <f ca="1"/>
        <v>0</v>
      </c>
    </row>
    <row r="65" spans="1:36" hidden="1" outlineLevel="1" x14ac:dyDescent="0.25">
      <c r="A65" s="120">
        <f t="shared" si="48"/>
        <v>0</v>
      </c>
      <c r="B65" s="231"/>
      <c r="C65" s="77"/>
      <c r="D65" s="238"/>
      <c r="E65" s="76" t="e">
        <f ca="1">SUMIF(payNonMonth,"="&amp;$X65,$E$362:OFFSET($E$362,ROWS(payNonMonth)-1,0))</f>
        <v>#NAME?</v>
      </c>
      <c r="F65" s="76"/>
      <c r="G65" s="77" t="e">
        <f t="shared" ca="1" si="49"/>
        <v>#NAME?</v>
      </c>
      <c r="H65" s="76" t="e">
        <f t="shared" ca="1" si="50"/>
        <v>#NAME?</v>
      </c>
      <c r="I65" s="76" t="e">
        <f t="shared" ca="1" si="51"/>
        <v>#NAME?</v>
      </c>
      <c r="J65" s="233" t="e">
        <f t="shared" ca="1" si="43"/>
        <v>#NAME?</v>
      </c>
      <c r="K65" s="76" t="e">
        <f t="shared" si="44"/>
        <v>#NAME?</v>
      </c>
      <c r="L65" s="76" t="e">
        <f t="shared" ca="1" si="47"/>
        <v>#NAME?</v>
      </c>
      <c r="M65" s="76" t="e">
        <f t="shared" ca="1" si="52"/>
        <v>#VALUE!</v>
      </c>
      <c r="N65" s="76" t="e">
        <f t="shared" ca="1" si="45"/>
        <v>#NAME?</v>
      </c>
      <c r="O65" s="76" t="e">
        <f t="shared" ca="1" si="57"/>
        <v>#NAME?</v>
      </c>
      <c r="P65" s="76"/>
      <c r="Q65" s="76" t="e">
        <f t="shared" ca="1" si="53"/>
        <v>#NAME?</v>
      </c>
      <c r="R65" s="76" t="e">
        <f t="shared" ca="1" si="31"/>
        <v>#VALUE!</v>
      </c>
      <c r="S65" s="76" t="e">
        <f t="shared" ca="1" si="54"/>
        <v>#NAME?</v>
      </c>
      <c r="T65" s="232" t="e">
        <f t="shared" ca="1" si="46"/>
        <v>#NAME?</v>
      </c>
      <c r="V65" s="120" t="e">
        <f t="shared" si="55"/>
        <v>#NAME?</v>
      </c>
      <c r="W65" s="120" t="str">
        <f t="shared" si="56"/>
        <v>:</v>
      </c>
      <c r="X65" s="120" t="str">
        <f t="shared" si="41"/>
        <v>:0</v>
      </c>
      <c r="Y65" s="250">
        <f t="array" aca="1" ref="Y65:AJ65" ca="1">VLOOKUP($D65&amp;":"&amp;$C65,tblPayRates,{3,4,5,6,7,8,9,10,11,12,13,14},0)</f>
        <v>0</v>
      </c>
      <c r="Z65" s="16" t="str">
        <f ca="1"/>
        <v>Nobody</v>
      </c>
      <c r="AA65" s="261" t="str">
        <f ca="1"/>
        <v>M</v>
      </c>
      <c r="AB65" s="77" t="str">
        <f ca="1"/>
        <v>Daily</v>
      </c>
      <c r="AC65" s="77">
        <f ca="1"/>
        <v>0</v>
      </c>
      <c r="AD65" s="77">
        <f ca="1"/>
        <v>0</v>
      </c>
      <c r="AE65" s="77">
        <f ca="1"/>
        <v>0</v>
      </c>
      <c r="AF65" s="77">
        <f ca="1"/>
        <v>0</v>
      </c>
      <c r="AG65" s="261" t="str">
        <f ca="1"/>
        <v>N</v>
      </c>
      <c r="AH65" s="261">
        <f ca="1"/>
        <v>1</v>
      </c>
      <c r="AI65" s="261">
        <f ca="1"/>
        <v>1</v>
      </c>
      <c r="AJ65" s="262">
        <f ca="1"/>
        <v>0</v>
      </c>
    </row>
    <row r="66" spans="1:36" hidden="1" outlineLevel="1" x14ac:dyDescent="0.25">
      <c r="A66" s="120">
        <f t="shared" si="48"/>
        <v>0</v>
      </c>
      <c r="B66" s="231"/>
      <c r="C66" s="77"/>
      <c r="D66" s="238"/>
      <c r="E66" s="76" t="e">
        <f ca="1">SUMIF(payNonMonth,"="&amp;$X66,$E$362:OFFSET($E$362,ROWS(payNonMonth)-1,0))</f>
        <v>#NAME?</v>
      </c>
      <c r="F66" s="76"/>
      <c r="G66" s="77" t="e">
        <f t="shared" ca="1" si="49"/>
        <v>#NAME?</v>
      </c>
      <c r="H66" s="76" t="e">
        <f t="shared" ca="1" si="50"/>
        <v>#NAME?</v>
      </c>
      <c r="I66" s="76" t="e">
        <f t="shared" ca="1" si="51"/>
        <v>#NAME?</v>
      </c>
      <c r="J66" s="233" t="e">
        <f t="shared" ca="1" si="43"/>
        <v>#NAME?</v>
      </c>
      <c r="K66" s="76" t="e">
        <f t="shared" si="44"/>
        <v>#NAME?</v>
      </c>
      <c r="L66" s="76" t="e">
        <f t="shared" ca="1" si="47"/>
        <v>#NAME?</v>
      </c>
      <c r="M66" s="76" t="e">
        <f t="shared" ca="1" si="52"/>
        <v>#VALUE!</v>
      </c>
      <c r="N66" s="76" t="e">
        <f t="shared" ca="1" si="45"/>
        <v>#NAME?</v>
      </c>
      <c r="O66" s="76" t="e">
        <f t="shared" ca="1" si="57"/>
        <v>#NAME?</v>
      </c>
      <c r="P66" s="76"/>
      <c r="Q66" s="76" t="e">
        <f t="shared" ca="1" si="53"/>
        <v>#NAME?</v>
      </c>
      <c r="R66" s="76" t="e">
        <f t="shared" ca="1" si="31"/>
        <v>#VALUE!</v>
      </c>
      <c r="S66" s="76" t="e">
        <f t="shared" ca="1" si="54"/>
        <v>#NAME?</v>
      </c>
      <c r="T66" s="232" t="e">
        <f t="shared" ca="1" si="46"/>
        <v>#NAME?</v>
      </c>
      <c r="V66" s="120" t="e">
        <f t="shared" si="55"/>
        <v>#NAME?</v>
      </c>
      <c r="W66" s="120" t="str">
        <f t="shared" si="56"/>
        <v>:</v>
      </c>
      <c r="X66" s="120" t="str">
        <f t="shared" si="41"/>
        <v>:0</v>
      </c>
      <c r="Y66" s="250">
        <f t="array" aca="1" ref="Y66:AJ66" ca="1">VLOOKUP($D66&amp;":"&amp;$C66,tblPayRates,{3,4,5,6,7,8,9,10,11,12,13,14},0)</f>
        <v>0</v>
      </c>
      <c r="Z66" s="16" t="str">
        <f ca="1"/>
        <v>Nobody</v>
      </c>
      <c r="AA66" s="261" t="str">
        <f ca="1"/>
        <v>M</v>
      </c>
      <c r="AB66" s="77" t="str">
        <f ca="1"/>
        <v>Daily</v>
      </c>
      <c r="AC66" s="77">
        <f ca="1"/>
        <v>0</v>
      </c>
      <c r="AD66" s="77">
        <f ca="1"/>
        <v>0</v>
      </c>
      <c r="AE66" s="77">
        <f ca="1"/>
        <v>0</v>
      </c>
      <c r="AF66" s="77">
        <f ca="1"/>
        <v>0</v>
      </c>
      <c r="AG66" s="261" t="str">
        <f ca="1"/>
        <v>N</v>
      </c>
      <c r="AH66" s="261">
        <f ca="1"/>
        <v>1</v>
      </c>
      <c r="AI66" s="261">
        <f ca="1"/>
        <v>1</v>
      </c>
      <c r="AJ66" s="262">
        <f ca="1"/>
        <v>0</v>
      </c>
    </row>
    <row r="67" spans="1:36" hidden="1" outlineLevel="1" x14ac:dyDescent="0.25">
      <c r="A67" s="120">
        <f t="shared" si="48"/>
        <v>0</v>
      </c>
      <c r="B67" s="231"/>
      <c r="C67" s="77"/>
      <c r="D67" s="238"/>
      <c r="E67" s="76" t="e">
        <f ca="1">SUMIF(payNonMonth,"="&amp;$X67,$E$362:OFFSET($E$362,ROWS(payNonMonth)-1,0))</f>
        <v>#NAME?</v>
      </c>
      <c r="F67" s="76"/>
      <c r="G67" s="77" t="e">
        <f t="shared" ca="1" si="49"/>
        <v>#NAME?</v>
      </c>
      <c r="H67" s="76" t="e">
        <f t="shared" ca="1" si="50"/>
        <v>#NAME?</v>
      </c>
      <c r="I67" s="76" t="e">
        <f t="shared" ca="1" si="51"/>
        <v>#NAME?</v>
      </c>
      <c r="J67" s="233" t="e">
        <f t="shared" ca="1" si="43"/>
        <v>#NAME?</v>
      </c>
      <c r="K67" s="76" t="e">
        <f t="shared" si="44"/>
        <v>#NAME?</v>
      </c>
      <c r="L67" s="76" t="e">
        <f t="shared" ca="1" si="47"/>
        <v>#NAME?</v>
      </c>
      <c r="M67" s="76" t="e">
        <f t="shared" ca="1" si="52"/>
        <v>#VALUE!</v>
      </c>
      <c r="N67" s="76" t="e">
        <f t="shared" ca="1" si="45"/>
        <v>#NAME?</v>
      </c>
      <c r="O67" s="76" t="e">
        <f t="shared" ca="1" si="57"/>
        <v>#NAME?</v>
      </c>
      <c r="P67" s="76"/>
      <c r="Q67" s="76" t="e">
        <f t="shared" ca="1" si="53"/>
        <v>#NAME?</v>
      </c>
      <c r="R67" s="76" t="e">
        <f t="shared" ca="1" si="31"/>
        <v>#VALUE!</v>
      </c>
      <c r="S67" s="76" t="e">
        <f t="shared" ca="1" si="54"/>
        <v>#NAME?</v>
      </c>
      <c r="T67" s="232" t="e">
        <f t="shared" ca="1" si="46"/>
        <v>#NAME?</v>
      </c>
      <c r="V67" s="120" t="e">
        <f t="shared" si="55"/>
        <v>#NAME?</v>
      </c>
      <c r="W67" s="120" t="str">
        <f t="shared" si="56"/>
        <v>:</v>
      </c>
      <c r="X67" s="120" t="str">
        <f t="shared" si="41"/>
        <v>:0</v>
      </c>
      <c r="Y67" s="250">
        <f t="array" aca="1" ref="Y67:AJ67" ca="1">VLOOKUP($D67&amp;":"&amp;$C67,tblPayRates,{3,4,5,6,7,8,9,10,11,12,13,14},0)</f>
        <v>0</v>
      </c>
      <c r="Z67" s="16" t="str">
        <f ca="1"/>
        <v>Nobody</v>
      </c>
      <c r="AA67" s="261" t="str">
        <f ca="1"/>
        <v>M</v>
      </c>
      <c r="AB67" s="77" t="str">
        <f ca="1"/>
        <v>Daily</v>
      </c>
      <c r="AC67" s="77">
        <f ca="1"/>
        <v>0</v>
      </c>
      <c r="AD67" s="77">
        <f ca="1"/>
        <v>0</v>
      </c>
      <c r="AE67" s="77">
        <f ca="1"/>
        <v>0</v>
      </c>
      <c r="AF67" s="77">
        <f ca="1"/>
        <v>0</v>
      </c>
      <c r="AG67" s="261" t="str">
        <f ca="1"/>
        <v>N</v>
      </c>
      <c r="AH67" s="261">
        <f ca="1"/>
        <v>1</v>
      </c>
      <c r="AI67" s="261">
        <f ca="1"/>
        <v>1</v>
      </c>
      <c r="AJ67" s="262">
        <f ca="1"/>
        <v>0</v>
      </c>
    </row>
    <row r="68" spans="1:36" hidden="1" outlineLevel="1" x14ac:dyDescent="0.25">
      <c r="A68" s="120">
        <f t="shared" si="48"/>
        <v>0</v>
      </c>
      <c r="B68" s="231"/>
      <c r="C68" s="77"/>
      <c r="D68" s="238"/>
      <c r="E68" s="76" t="e">
        <f ca="1">SUMIF(payNonMonth,"="&amp;$X68,$E$362:OFFSET($E$362,ROWS(payNonMonth)-1,0))</f>
        <v>#NAME?</v>
      </c>
      <c r="F68" s="76"/>
      <c r="G68" s="77" t="e">
        <f t="shared" ca="1" si="49"/>
        <v>#NAME?</v>
      </c>
      <c r="H68" s="76" t="e">
        <f t="shared" ca="1" si="50"/>
        <v>#NAME?</v>
      </c>
      <c r="I68" s="76" t="e">
        <f t="shared" ca="1" si="51"/>
        <v>#NAME?</v>
      </c>
      <c r="J68" s="233" t="e">
        <f t="shared" ca="1" si="43"/>
        <v>#NAME?</v>
      </c>
      <c r="K68" s="76" t="e">
        <f t="shared" si="44"/>
        <v>#NAME?</v>
      </c>
      <c r="L68" s="76" t="e">
        <f t="shared" ca="1" si="47"/>
        <v>#NAME?</v>
      </c>
      <c r="M68" s="76" t="e">
        <f t="shared" ca="1" si="52"/>
        <v>#VALUE!</v>
      </c>
      <c r="N68" s="76" t="e">
        <f t="shared" ca="1" si="45"/>
        <v>#NAME?</v>
      </c>
      <c r="O68" s="76"/>
      <c r="P68" s="76"/>
      <c r="Q68" s="76" t="e">
        <f t="shared" ca="1" si="53"/>
        <v>#NAME?</v>
      </c>
      <c r="R68" s="76" t="e">
        <f t="shared" ca="1" si="31"/>
        <v>#VALUE!</v>
      </c>
      <c r="S68" s="76" t="e">
        <f t="shared" ca="1" si="54"/>
        <v>#NAME?</v>
      </c>
      <c r="T68" s="232" t="e">
        <f t="shared" ca="1" si="46"/>
        <v>#NAME?</v>
      </c>
      <c r="V68" s="120" t="e">
        <f t="shared" si="55"/>
        <v>#NAME?</v>
      </c>
      <c r="W68" s="120" t="str">
        <f t="shared" si="56"/>
        <v>:</v>
      </c>
      <c r="X68" s="120" t="str">
        <f t="shared" si="41"/>
        <v>:0</v>
      </c>
      <c r="Y68" s="250">
        <f t="array" aca="1" ref="Y68:AJ68" ca="1">VLOOKUP($D68&amp;":"&amp;$C68,tblPayRates,{3,4,5,6,7,8,9,10,11,12,13,14},0)</f>
        <v>0</v>
      </c>
      <c r="Z68" s="16" t="str">
        <f ca="1"/>
        <v>Nobody</v>
      </c>
      <c r="AA68" s="261" t="str">
        <f ca="1"/>
        <v>M</v>
      </c>
      <c r="AB68" s="77" t="str">
        <f ca="1"/>
        <v>Daily</v>
      </c>
      <c r="AC68" s="77">
        <f ca="1"/>
        <v>0</v>
      </c>
      <c r="AD68" s="77">
        <f ca="1"/>
        <v>0</v>
      </c>
      <c r="AE68" s="77">
        <f ca="1"/>
        <v>0</v>
      </c>
      <c r="AF68" s="77">
        <f ca="1"/>
        <v>0</v>
      </c>
      <c r="AG68" s="261" t="str">
        <f ca="1"/>
        <v>N</v>
      </c>
      <c r="AH68" s="261">
        <f ca="1"/>
        <v>1</v>
      </c>
      <c r="AI68" s="261">
        <f ca="1"/>
        <v>1</v>
      </c>
      <c r="AJ68" s="262">
        <f ca="1"/>
        <v>0</v>
      </c>
    </row>
    <row r="69" spans="1:36" hidden="1" outlineLevel="1" x14ac:dyDescent="0.25">
      <c r="A69" s="120">
        <f t="shared" si="48"/>
        <v>0</v>
      </c>
      <c r="B69" s="231"/>
      <c r="C69" s="77"/>
      <c r="D69" s="238"/>
      <c r="E69" s="76" t="e">
        <f ca="1">SUMIF(payNonMonth,"="&amp;$X69,$E$362:OFFSET($E$362,ROWS(payNonMonth)-1,0))</f>
        <v>#NAME?</v>
      </c>
      <c r="F69" s="76"/>
      <c r="G69" s="77" t="e">
        <f t="shared" ca="1" si="49"/>
        <v>#NAME?</v>
      </c>
      <c r="H69" s="76" t="e">
        <f t="shared" ca="1" si="50"/>
        <v>#NAME?</v>
      </c>
      <c r="I69" s="76" t="e">
        <f t="shared" ca="1" si="51"/>
        <v>#NAME?</v>
      </c>
      <c r="J69" s="233" t="e">
        <f t="shared" ca="1" si="43"/>
        <v>#NAME?</v>
      </c>
      <c r="K69" s="76" t="e">
        <f t="shared" si="44"/>
        <v>#NAME?</v>
      </c>
      <c r="L69" s="76" t="e">
        <f t="shared" ca="1" si="47"/>
        <v>#NAME?</v>
      </c>
      <c r="M69" s="76" t="e">
        <f t="shared" ca="1" si="52"/>
        <v>#VALUE!</v>
      </c>
      <c r="N69" s="76" t="e">
        <f t="shared" ca="1" si="45"/>
        <v>#NAME?</v>
      </c>
      <c r="O69" s="76"/>
      <c r="P69" s="76"/>
      <c r="Q69" s="76" t="e">
        <f t="shared" ca="1" si="53"/>
        <v>#NAME?</v>
      </c>
      <c r="R69" s="76" t="e">
        <f t="shared" ca="1" si="31"/>
        <v>#VALUE!</v>
      </c>
      <c r="S69" s="76" t="e">
        <f t="shared" ca="1" si="54"/>
        <v>#NAME?</v>
      </c>
      <c r="T69" s="232" t="e">
        <f t="shared" ca="1" si="46"/>
        <v>#NAME?</v>
      </c>
      <c r="V69" s="120" t="e">
        <f t="shared" si="55"/>
        <v>#NAME?</v>
      </c>
      <c r="W69" s="120" t="str">
        <f t="shared" si="56"/>
        <v>:</v>
      </c>
      <c r="X69" s="120" t="str">
        <f t="shared" si="41"/>
        <v>:0</v>
      </c>
      <c r="Y69" s="250">
        <f t="array" aca="1" ref="Y69:AJ69" ca="1">VLOOKUP($D69&amp;":"&amp;$C69,tblPayRates,{3,4,5,6,7,8,9,10,11,12,13,14},0)</f>
        <v>0</v>
      </c>
      <c r="Z69" s="16" t="str">
        <f ca="1"/>
        <v>Nobody</v>
      </c>
      <c r="AA69" s="261" t="str">
        <f ca="1"/>
        <v>M</v>
      </c>
      <c r="AB69" s="77" t="str">
        <f ca="1"/>
        <v>Daily</v>
      </c>
      <c r="AC69" s="77">
        <f ca="1"/>
        <v>0</v>
      </c>
      <c r="AD69" s="77">
        <f ca="1"/>
        <v>0</v>
      </c>
      <c r="AE69" s="77">
        <f ca="1"/>
        <v>0</v>
      </c>
      <c r="AF69" s="77">
        <f ca="1"/>
        <v>0</v>
      </c>
      <c r="AG69" s="261" t="str">
        <f ca="1"/>
        <v>N</v>
      </c>
      <c r="AH69" s="261">
        <f ca="1"/>
        <v>1</v>
      </c>
      <c r="AI69" s="261">
        <f ca="1"/>
        <v>1</v>
      </c>
      <c r="AJ69" s="262">
        <f ca="1"/>
        <v>0</v>
      </c>
    </row>
    <row r="70" spans="1:36" hidden="1" outlineLevel="1" x14ac:dyDescent="0.25">
      <c r="A70" s="120">
        <f t="shared" si="48"/>
        <v>0</v>
      </c>
      <c r="B70" s="231"/>
      <c r="C70" s="77"/>
      <c r="D70" s="238"/>
      <c r="E70" s="76" t="e">
        <f ca="1">SUMIF(payNonMonth,"="&amp;$X70,$E$362:OFFSET($E$362,ROWS(payNonMonth)-1,0))</f>
        <v>#NAME?</v>
      </c>
      <c r="F70" s="76"/>
      <c r="G70" s="77" t="e">
        <f ca="1">IF(AND($E70=0,$F70=0),0,1)</f>
        <v>#NAME?</v>
      </c>
      <c r="H70" s="76" t="e">
        <f ca="1">ROUND(SUM(E70:F70)*AC70,2)</f>
        <v>#NAME?</v>
      </c>
      <c r="I70" s="76" t="e">
        <f ca="1">H70*OFFSET(payMgmtRate,0,$AH70)</f>
        <v>#NAME?</v>
      </c>
      <c r="J70" s="233" t="e">
        <f t="shared" ca="1" si="43"/>
        <v>#NAME?</v>
      </c>
      <c r="K70" s="76" t="e">
        <f t="shared" si="44"/>
        <v>#NAME?</v>
      </c>
      <c r="L70" s="76" t="e">
        <f t="shared" ca="1" si="47"/>
        <v>#NAME?</v>
      </c>
      <c r="M70" s="76" t="e">
        <f ca="1">GETSUPER(J70-SUM(K70:L70))</f>
        <v>#VALUE!</v>
      </c>
      <c r="N70" s="76" t="e">
        <f t="shared" ca="1" si="45"/>
        <v>#NAME?</v>
      </c>
      <c r="O70" s="76" t="e">
        <f ca="1">ROUND((J70-SUM(K70:N70))*InsureRate,2)</f>
        <v>#NAME?</v>
      </c>
      <c r="P70" s="76"/>
      <c r="Q70" s="76" t="e">
        <f ca="1">J70-SUM(K70:P70)</f>
        <v>#NAME?</v>
      </c>
      <c r="R70" s="76" t="e">
        <f ca="1">GETTAX(Q70,AA70)</f>
        <v>#VALUE!</v>
      </c>
      <c r="S70" s="76" t="e">
        <f ca="1">Q70-R70</f>
        <v>#NAME?</v>
      </c>
      <c r="T70" s="232" t="e">
        <f t="shared" ca="1" si="46"/>
        <v>#NAME?</v>
      </c>
      <c r="V70" s="120" t="e">
        <f>IF(EmpID="*","*",C70) &amp;":"&amp; $A70</f>
        <v>#NAME?</v>
      </c>
      <c r="W70" s="120" t="str">
        <f>$C70 &amp;":"&amp; $B70</f>
        <v>:</v>
      </c>
      <c r="X70" s="120" t="str">
        <f t="shared" ref="X70:X75" si="59">C70 &amp;":"&amp; B70</f>
        <v>:</v>
      </c>
      <c r="Y70" s="250">
        <f t="array" aca="1" ref="Y70:AJ70" ca="1">VLOOKUP($D70&amp;":"&amp;$C70,tblPayRates,{3,4,5,6,7,8,9,10,11,12,13,14},0)</f>
        <v>0</v>
      </c>
      <c r="Z70" s="16" t="str">
        <f ca="1"/>
        <v>Nobody</v>
      </c>
      <c r="AA70" s="261" t="str">
        <f ca="1"/>
        <v>M</v>
      </c>
      <c r="AB70" s="77" t="str">
        <f ca="1"/>
        <v>Daily</v>
      </c>
      <c r="AC70" s="77">
        <f ca="1"/>
        <v>0</v>
      </c>
      <c r="AD70" s="77">
        <f ca="1"/>
        <v>0</v>
      </c>
      <c r="AE70" s="77">
        <f ca="1"/>
        <v>0</v>
      </c>
      <c r="AF70" s="77">
        <f ca="1"/>
        <v>0</v>
      </c>
      <c r="AG70" s="261" t="str">
        <f ca="1"/>
        <v>N</v>
      </c>
      <c r="AH70" s="261">
        <f ca="1"/>
        <v>1</v>
      </c>
      <c r="AI70" s="261">
        <f ca="1"/>
        <v>1</v>
      </c>
      <c r="AJ70" s="262">
        <f ca="1"/>
        <v>0</v>
      </c>
    </row>
    <row r="71" spans="1:36" hidden="1" outlineLevel="1" x14ac:dyDescent="0.25">
      <c r="A71" s="120">
        <f t="shared" si="48"/>
        <v>0</v>
      </c>
      <c r="B71" s="231"/>
      <c r="C71" s="77"/>
      <c r="D71" s="238"/>
      <c r="E71" s="76" t="e">
        <f ca="1">SUMIF(payNonMonth,"="&amp;$X71,$E$362:OFFSET($E$362,ROWS(payNonMonth)-1,0))</f>
        <v>#NAME?</v>
      </c>
      <c r="F71" s="76"/>
      <c r="G71" s="77" t="e">
        <f ca="1">IF(AND($E71=0,$F71=0),0,1)</f>
        <v>#NAME?</v>
      </c>
      <c r="H71" s="76" t="e">
        <f ca="1">ROUND(SUM(E71:F71)*AC71,2)</f>
        <v>#NAME?</v>
      </c>
      <c r="I71" s="76" t="e">
        <f ca="1">H71*OFFSET(payMgmtRate,0,$AH71)</f>
        <v>#NAME?</v>
      </c>
      <c r="J71" s="233" t="e">
        <f t="shared" ca="1" si="43"/>
        <v>#NAME?</v>
      </c>
      <c r="K71" s="76" t="e">
        <f t="shared" si="44"/>
        <v>#NAME?</v>
      </c>
      <c r="L71" s="76" t="e">
        <f t="shared" ca="1" si="47"/>
        <v>#NAME?</v>
      </c>
      <c r="M71" s="76" t="e">
        <f ca="1">GETSUPER(J71-SUM(K71:L71))</f>
        <v>#VALUE!</v>
      </c>
      <c r="N71" s="76" t="e">
        <f t="shared" ca="1" si="45"/>
        <v>#NAME?</v>
      </c>
      <c r="O71" s="76" t="e">
        <f ca="1">ROUND((J71-SUM(K71:N71))*InsureRate,2)</f>
        <v>#NAME?</v>
      </c>
      <c r="P71" s="76"/>
      <c r="Q71" s="76" t="e">
        <f ca="1">J71-SUM(K71:P71)</f>
        <v>#NAME?</v>
      </c>
      <c r="R71" s="76" t="e">
        <f ca="1">GETTAX(Q71,AA71)</f>
        <v>#VALUE!</v>
      </c>
      <c r="S71" s="76" t="e">
        <f ca="1">Q71-R71</f>
        <v>#NAME?</v>
      </c>
      <c r="T71" s="232" t="e">
        <f t="shared" ca="1" si="46"/>
        <v>#NAME?</v>
      </c>
      <c r="V71" s="120" t="e">
        <f>IF(EmpID="*","*",C71) &amp;":"&amp; $A71</f>
        <v>#NAME?</v>
      </c>
      <c r="W71" s="120" t="str">
        <f>$C71 &amp;":"&amp; $B71</f>
        <v>:</v>
      </c>
      <c r="X71" s="120" t="str">
        <f t="shared" si="59"/>
        <v>:</v>
      </c>
      <c r="Y71" s="250">
        <f t="array" aca="1" ref="Y71:AJ71" ca="1">VLOOKUP($D71&amp;":"&amp;$C71,tblPayRates,{3,4,5,6,7,8,9,10,11,12,13,14},0)</f>
        <v>0</v>
      </c>
      <c r="Z71" s="16" t="str">
        <f ca="1"/>
        <v>Nobody</v>
      </c>
      <c r="AA71" s="261" t="str">
        <f ca="1"/>
        <v>M</v>
      </c>
      <c r="AB71" s="77" t="str">
        <f ca="1"/>
        <v>Daily</v>
      </c>
      <c r="AC71" s="77">
        <f ca="1"/>
        <v>0</v>
      </c>
      <c r="AD71" s="77">
        <f ca="1"/>
        <v>0</v>
      </c>
      <c r="AE71" s="77">
        <f ca="1"/>
        <v>0</v>
      </c>
      <c r="AF71" s="77">
        <f ca="1"/>
        <v>0</v>
      </c>
      <c r="AG71" s="261" t="str">
        <f ca="1"/>
        <v>N</v>
      </c>
      <c r="AH71" s="261">
        <f ca="1"/>
        <v>1</v>
      </c>
      <c r="AI71" s="261">
        <f ca="1"/>
        <v>1</v>
      </c>
      <c r="AJ71" s="262">
        <f ca="1"/>
        <v>0</v>
      </c>
    </row>
    <row r="72" spans="1:36" hidden="1" outlineLevel="1" x14ac:dyDescent="0.25">
      <c r="A72" s="120">
        <f t="shared" si="48"/>
        <v>0</v>
      </c>
      <c r="B72" s="231"/>
      <c r="C72" s="77"/>
      <c r="D72" s="238"/>
      <c r="E72" s="76" t="e">
        <f ca="1">SUMIF(payNonMonth,"="&amp;$X72,$E$362:OFFSET($E$362,ROWS(payNonMonth)-1,0))</f>
        <v>#NAME?</v>
      </c>
      <c r="F72" s="76"/>
      <c r="G72" s="77" t="e">
        <f t="shared" ca="1" si="49"/>
        <v>#NAME?</v>
      </c>
      <c r="H72" s="76" t="e">
        <f t="shared" ca="1" si="50"/>
        <v>#NAME?</v>
      </c>
      <c r="I72" s="76" t="e">
        <f t="shared" ca="1" si="51"/>
        <v>#NAME?</v>
      </c>
      <c r="J72" s="233" t="e">
        <f t="shared" ca="1" si="43"/>
        <v>#NAME?</v>
      </c>
      <c r="K72" s="76" t="e">
        <f t="shared" si="44"/>
        <v>#NAME?</v>
      </c>
      <c r="L72" s="76" t="e">
        <f t="shared" ca="1" si="47"/>
        <v>#NAME?</v>
      </c>
      <c r="M72" s="76" t="e">
        <f t="shared" ca="1" si="52"/>
        <v>#VALUE!</v>
      </c>
      <c r="N72" s="76" t="e">
        <f t="shared" ca="1" si="45"/>
        <v>#NAME?</v>
      </c>
      <c r="O72" s="76" t="e">
        <f t="shared" ca="1" si="57"/>
        <v>#NAME?</v>
      </c>
      <c r="P72" s="76"/>
      <c r="Q72" s="76" t="e">
        <f t="shared" ca="1" si="53"/>
        <v>#NAME?</v>
      </c>
      <c r="R72" s="76"/>
      <c r="S72" s="76" t="e">
        <f ca="1">Q72-R72</f>
        <v>#NAME?</v>
      </c>
      <c r="T72" s="232" t="e">
        <f t="shared" ca="1" si="46"/>
        <v>#NAME?</v>
      </c>
      <c r="V72" s="120" t="e">
        <f t="shared" si="55"/>
        <v>#NAME?</v>
      </c>
      <c r="W72" s="120" t="str">
        <f t="shared" si="56"/>
        <v>:</v>
      </c>
      <c r="X72" s="120" t="str">
        <f t="shared" si="59"/>
        <v>:</v>
      </c>
      <c r="Y72" s="250">
        <f t="array" aca="1" ref="Y72:AJ72" ca="1">VLOOKUP($D72&amp;":"&amp;$C72,tblPayRates,{3,4,5,6,7,8,9,10,11,12,13,14},0)</f>
        <v>0</v>
      </c>
      <c r="Z72" s="16" t="str">
        <f ca="1"/>
        <v>Nobody</v>
      </c>
      <c r="AA72" s="261" t="str">
        <f ca="1"/>
        <v>M</v>
      </c>
      <c r="AB72" s="77" t="str">
        <f ca="1"/>
        <v>Daily</v>
      </c>
      <c r="AC72" s="77">
        <f ca="1"/>
        <v>0</v>
      </c>
      <c r="AD72" s="77">
        <f ca="1"/>
        <v>0</v>
      </c>
      <c r="AE72" s="77">
        <f ca="1"/>
        <v>0</v>
      </c>
      <c r="AF72" s="77">
        <f ca="1"/>
        <v>0</v>
      </c>
      <c r="AG72" s="261" t="str">
        <f ca="1"/>
        <v>N</v>
      </c>
      <c r="AH72" s="261">
        <f ca="1"/>
        <v>1</v>
      </c>
      <c r="AI72" s="261">
        <f ca="1"/>
        <v>1</v>
      </c>
      <c r="AJ72" s="262">
        <f ca="1"/>
        <v>0</v>
      </c>
    </row>
    <row r="73" spans="1:36" hidden="1" outlineLevel="1" x14ac:dyDescent="0.25">
      <c r="A73" s="120">
        <f t="shared" si="48"/>
        <v>0</v>
      </c>
      <c r="B73" s="231"/>
      <c r="C73" s="77"/>
      <c r="D73" s="238"/>
      <c r="E73" s="76" t="e">
        <f ca="1">SUMIF(payNonMonth,"="&amp;$X73,$E$362:OFFSET($E$362,ROWS(payNonMonth)-1,0))</f>
        <v>#NAME?</v>
      </c>
      <c r="F73" s="76"/>
      <c r="G73" s="77" t="e">
        <f t="shared" ca="1" si="49"/>
        <v>#NAME?</v>
      </c>
      <c r="H73" s="76" t="e">
        <f t="shared" ref="H73" ca="1" si="60">ROUND(SUM(E73:F73)*AC73,2)</f>
        <v>#NAME?</v>
      </c>
      <c r="I73" s="76" t="e">
        <f t="shared" ref="I73" ca="1" si="61">H73*OFFSET(payMgmtRate,0,$AH73)</f>
        <v>#NAME?</v>
      </c>
      <c r="J73" s="233" t="e">
        <f t="shared" ca="1" si="43"/>
        <v>#NAME?</v>
      </c>
      <c r="K73" s="76" t="e">
        <f t="shared" si="44"/>
        <v>#NAME?</v>
      </c>
      <c r="L73" s="76" t="e">
        <f t="shared" ca="1" si="47"/>
        <v>#NAME?</v>
      </c>
      <c r="M73" s="76" t="e">
        <f t="shared" ref="M73" ca="1" si="62">GETSUPER(J73-SUM(K73:L73))</f>
        <v>#VALUE!</v>
      </c>
      <c r="N73" s="76" t="e">
        <f t="shared" ca="1" si="45"/>
        <v>#NAME?</v>
      </c>
      <c r="O73" s="76" t="e">
        <f t="shared" ref="O73" ca="1" si="63">ROUND((J73-SUM(K73:N73))*InsureRate,2)</f>
        <v>#NAME?</v>
      </c>
      <c r="P73" s="76"/>
      <c r="Q73" s="76" t="e">
        <f t="shared" ref="Q73" ca="1" si="64">J73-SUM(K73:P73)</f>
        <v>#NAME?</v>
      </c>
      <c r="R73" s="76" t="e">
        <f ca="1">GETTAX(SUM(Q72:Q73),AA73)</f>
        <v>#VALUE!</v>
      </c>
      <c r="S73" s="76" t="e">
        <f t="shared" ref="S73" ca="1" si="65">Q73-R73</f>
        <v>#NAME?</v>
      </c>
      <c r="T73" s="232" t="e">
        <f t="shared" ca="1" si="46"/>
        <v>#NAME?</v>
      </c>
      <c r="V73" s="120" t="e">
        <f t="shared" ref="V73" si="66">IF(EmpID="*","*",C73) &amp;":"&amp; $A73</f>
        <v>#NAME?</v>
      </c>
      <c r="W73" s="120" t="str">
        <f t="shared" si="56"/>
        <v>:</v>
      </c>
      <c r="X73" s="120" t="str">
        <f t="shared" si="59"/>
        <v>:</v>
      </c>
      <c r="Y73" s="250">
        <f t="array" aca="1" ref="Y73:AJ73" ca="1">VLOOKUP($D73&amp;":"&amp;$C73,tblPayRates,{3,4,5,6,7,8,9,10,11,12,13,14},0)</f>
        <v>0</v>
      </c>
      <c r="Z73" s="16" t="str">
        <f ca="1"/>
        <v>Nobody</v>
      </c>
      <c r="AA73" s="261" t="str">
        <f ca="1"/>
        <v>M</v>
      </c>
      <c r="AB73" s="77" t="str">
        <f ca="1"/>
        <v>Daily</v>
      </c>
      <c r="AC73" s="77">
        <f ca="1"/>
        <v>0</v>
      </c>
      <c r="AD73" s="77">
        <f ca="1"/>
        <v>0</v>
      </c>
      <c r="AE73" s="77">
        <f ca="1"/>
        <v>0</v>
      </c>
      <c r="AF73" s="77">
        <f ca="1"/>
        <v>0</v>
      </c>
      <c r="AG73" s="261" t="str">
        <f ca="1"/>
        <v>N</v>
      </c>
      <c r="AH73" s="261">
        <f ca="1"/>
        <v>1</v>
      </c>
      <c r="AI73" s="261">
        <f ca="1"/>
        <v>1</v>
      </c>
      <c r="AJ73" s="262">
        <f ca="1"/>
        <v>0</v>
      </c>
    </row>
    <row r="74" spans="1:36" hidden="1" outlineLevel="1" x14ac:dyDescent="0.25">
      <c r="A74" s="120">
        <f t="shared" si="48"/>
        <v>0</v>
      </c>
      <c r="B74" s="231"/>
      <c r="C74" s="77"/>
      <c r="D74" s="238"/>
      <c r="E74" s="76" t="e">
        <f ca="1">SUMIF(payNonMonth,"="&amp;$X74,$E$362:OFFSET($E$362,ROWS(payNonMonth)-1,0))</f>
        <v>#NAME?</v>
      </c>
      <c r="F74" s="76"/>
      <c r="G74" s="77" t="e">
        <f t="shared" ca="1" si="49"/>
        <v>#NAME?</v>
      </c>
      <c r="H74" s="76" t="e">
        <f t="shared" ca="1" si="50"/>
        <v>#NAME?</v>
      </c>
      <c r="I74" s="76" t="e">
        <f t="shared" ca="1" si="51"/>
        <v>#NAME?</v>
      </c>
      <c r="J74" s="233" t="e">
        <f t="shared" ca="1" si="43"/>
        <v>#NAME?</v>
      </c>
      <c r="K74" s="76" t="e">
        <f t="shared" si="44"/>
        <v>#NAME?</v>
      </c>
      <c r="L74" s="76" t="e">
        <f t="shared" ca="1" si="47"/>
        <v>#NAME?</v>
      </c>
      <c r="M74" s="76" t="e">
        <f t="shared" ca="1" si="52"/>
        <v>#VALUE!</v>
      </c>
      <c r="N74" s="76" t="e">
        <f t="shared" ca="1" si="45"/>
        <v>#NAME?</v>
      </c>
      <c r="O74" s="76" t="e">
        <f t="shared" ca="1" si="57"/>
        <v>#NAME?</v>
      </c>
      <c r="P74" s="76"/>
      <c r="Q74" s="76" t="e">
        <f t="shared" ca="1" si="53"/>
        <v>#NAME?</v>
      </c>
      <c r="R74" s="76"/>
      <c r="S74" s="76" t="e">
        <f ca="1">Q74-R74</f>
        <v>#NAME?</v>
      </c>
      <c r="T74" s="232" t="e">
        <f t="shared" ca="1" si="46"/>
        <v>#NAME?</v>
      </c>
      <c r="V74" s="120" t="e">
        <f t="shared" si="55"/>
        <v>#NAME?</v>
      </c>
      <c r="W74" s="120" t="str">
        <f t="shared" si="56"/>
        <v>:</v>
      </c>
      <c r="X74" s="120" t="str">
        <f t="shared" si="59"/>
        <v>:</v>
      </c>
      <c r="Y74" s="250">
        <f t="array" aca="1" ref="Y74:AJ74" ca="1">VLOOKUP($D74&amp;":"&amp;$C74,tblPayRates,{3,4,5,6,7,8,9,10,11,12,13,14},0)</f>
        <v>0</v>
      </c>
      <c r="Z74" s="16" t="str">
        <f ca="1"/>
        <v>Nobody</v>
      </c>
      <c r="AA74" s="261" t="str">
        <f ca="1"/>
        <v>M</v>
      </c>
      <c r="AB74" s="77" t="str">
        <f ca="1"/>
        <v>Daily</v>
      </c>
      <c r="AC74" s="77">
        <f ca="1"/>
        <v>0</v>
      </c>
      <c r="AD74" s="77">
        <f ca="1"/>
        <v>0</v>
      </c>
      <c r="AE74" s="77">
        <f ca="1"/>
        <v>0</v>
      </c>
      <c r="AF74" s="77">
        <f ca="1"/>
        <v>0</v>
      </c>
      <c r="AG74" s="261" t="str">
        <f ca="1"/>
        <v>N</v>
      </c>
      <c r="AH74" s="261">
        <f ca="1"/>
        <v>1</v>
      </c>
      <c r="AI74" s="261">
        <f ca="1"/>
        <v>1</v>
      </c>
      <c r="AJ74" s="262">
        <f ca="1"/>
        <v>0</v>
      </c>
    </row>
    <row r="75" spans="1:36" hidden="1" outlineLevel="1" x14ac:dyDescent="0.25">
      <c r="A75" s="120">
        <f t="shared" si="48"/>
        <v>0</v>
      </c>
      <c r="B75" s="231"/>
      <c r="C75" s="77"/>
      <c r="D75" s="238"/>
      <c r="E75" s="76" t="e">
        <f ca="1">SUMIF(payNonMonth,"="&amp;$X75,$E$362:OFFSET($E$362,ROWS(payNonMonth)-1,0))</f>
        <v>#NAME?</v>
      </c>
      <c r="F75" s="76"/>
      <c r="G75" s="77" t="e">
        <f t="shared" ca="1" si="49"/>
        <v>#NAME?</v>
      </c>
      <c r="H75" s="76" t="e">
        <f t="shared" ref="H75" ca="1" si="67">ROUND(SUM(E75:F75)*AC75,2)</f>
        <v>#NAME?</v>
      </c>
      <c r="I75" s="76" t="e">
        <f t="shared" ref="I75" ca="1" si="68">H75*OFFSET(payMgmtRate,0,$AH75)</f>
        <v>#NAME?</v>
      </c>
      <c r="J75" s="233" t="e">
        <f t="shared" ca="1" si="43"/>
        <v>#NAME?</v>
      </c>
      <c r="K75" s="76" t="e">
        <f t="shared" si="44"/>
        <v>#NAME?</v>
      </c>
      <c r="L75" s="76" t="e">
        <f t="shared" ca="1" si="47"/>
        <v>#NAME?</v>
      </c>
      <c r="M75" s="76" t="e">
        <f t="shared" ref="M75" ca="1" si="69">GETSUPER(J75-SUM(K75:L75))</f>
        <v>#VALUE!</v>
      </c>
      <c r="N75" s="76" t="e">
        <f t="shared" ca="1" si="45"/>
        <v>#NAME?</v>
      </c>
      <c r="O75" s="76" t="e">
        <f t="shared" ref="O75" ca="1" si="70">ROUND((J75-SUM(K75:N75))*InsureRate,2)</f>
        <v>#NAME?</v>
      </c>
      <c r="P75" s="76"/>
      <c r="Q75" s="76" t="e">
        <f t="shared" ref="Q75" ca="1" si="71">J75-SUM(K75:P75)</f>
        <v>#NAME?</v>
      </c>
      <c r="R75" s="76" t="e">
        <f ca="1">GETTAX(SUM(Q74:Q75),AA75)</f>
        <v>#VALUE!</v>
      </c>
      <c r="S75" s="76" t="e">
        <f t="shared" ref="S75" ca="1" si="72">Q75-R75</f>
        <v>#NAME?</v>
      </c>
      <c r="T75" s="232" t="e">
        <f t="shared" ca="1" si="46"/>
        <v>#NAME?</v>
      </c>
      <c r="V75" s="120" t="e">
        <f t="shared" ref="V75" si="73">IF(EmpID="*","*",C75) &amp;":"&amp; $A75</f>
        <v>#NAME?</v>
      </c>
      <c r="W75" s="120" t="str">
        <f t="shared" si="56"/>
        <v>:</v>
      </c>
      <c r="X75" s="120" t="str">
        <f t="shared" si="59"/>
        <v>:</v>
      </c>
      <c r="Y75" s="250">
        <f t="array" aca="1" ref="Y75:AJ75" ca="1">VLOOKUP($D75&amp;":"&amp;$C75,tblPayRates,{3,4,5,6,7,8,9,10,11,12,13,14},0)</f>
        <v>0</v>
      </c>
      <c r="Z75" s="16" t="str">
        <f ca="1"/>
        <v>Nobody</v>
      </c>
      <c r="AA75" s="261" t="str">
        <f ca="1"/>
        <v>M</v>
      </c>
      <c r="AB75" s="77" t="str">
        <f ca="1"/>
        <v>Daily</v>
      </c>
      <c r="AC75" s="77">
        <f ca="1"/>
        <v>0</v>
      </c>
      <c r="AD75" s="77">
        <f ca="1"/>
        <v>0</v>
      </c>
      <c r="AE75" s="77">
        <f ca="1"/>
        <v>0</v>
      </c>
      <c r="AF75" s="77">
        <f ca="1"/>
        <v>0</v>
      </c>
      <c r="AG75" s="261" t="str">
        <f ca="1"/>
        <v>N</v>
      </c>
      <c r="AH75" s="261">
        <f ca="1"/>
        <v>1</v>
      </c>
      <c r="AI75" s="261">
        <f ca="1"/>
        <v>1</v>
      </c>
      <c r="AJ75" s="262">
        <f ca="1"/>
        <v>0</v>
      </c>
    </row>
    <row r="76" spans="1:36" hidden="1" outlineLevel="1" x14ac:dyDescent="0.25">
      <c r="A76" s="120">
        <f t="shared" si="48"/>
        <v>0</v>
      </c>
      <c r="B76" s="231"/>
      <c r="C76" s="77"/>
      <c r="D76" s="238"/>
      <c r="E76" s="76" t="e">
        <f ca="1">SUMIF(payNonMonth,"="&amp;$X76,$E$362:OFFSET($E$362,ROWS(payNonMonth)-1,0))</f>
        <v>#NAME?</v>
      </c>
      <c r="F76" s="76"/>
      <c r="G76" s="77" t="e">
        <f t="shared" ca="1" si="49"/>
        <v>#NAME?</v>
      </c>
      <c r="H76" s="76" t="e">
        <f t="shared" ca="1" si="50"/>
        <v>#NAME?</v>
      </c>
      <c r="I76" s="76" t="e">
        <f t="shared" ca="1" si="51"/>
        <v>#NAME?</v>
      </c>
      <c r="J76" s="233" t="e">
        <f t="shared" ca="1" si="43"/>
        <v>#NAME?</v>
      </c>
      <c r="K76" s="76" t="e">
        <f t="shared" si="44"/>
        <v>#NAME?</v>
      </c>
      <c r="L76" s="76" t="e">
        <f t="shared" ca="1" si="47"/>
        <v>#NAME?</v>
      </c>
      <c r="M76" s="76" t="e">
        <f t="shared" ca="1" si="52"/>
        <v>#VALUE!</v>
      </c>
      <c r="N76" s="76" t="e">
        <f t="shared" ca="1" si="45"/>
        <v>#NAME?</v>
      </c>
      <c r="O76" s="76" t="e">
        <f t="shared" ca="1" si="57"/>
        <v>#NAME?</v>
      </c>
      <c r="P76" s="76"/>
      <c r="Q76" s="76" t="e">
        <f t="shared" ca="1" si="53"/>
        <v>#NAME?</v>
      </c>
      <c r="R76" s="76" t="e">
        <f t="shared" ca="1" si="31"/>
        <v>#VALUE!</v>
      </c>
      <c r="S76" s="76" t="e">
        <f t="shared" ca="1" si="54"/>
        <v>#NAME?</v>
      </c>
      <c r="T76" s="232" t="e">
        <f t="shared" ca="1" si="46"/>
        <v>#NAME?</v>
      </c>
      <c r="V76" s="120" t="e">
        <f t="shared" si="55"/>
        <v>#NAME?</v>
      </c>
      <c r="W76" s="120" t="str">
        <f t="shared" si="56"/>
        <v>:</v>
      </c>
      <c r="X76" s="120" t="str">
        <f t="shared" si="41"/>
        <v>:0</v>
      </c>
      <c r="Y76" s="250">
        <f t="array" aca="1" ref="Y76:AJ76" ca="1">VLOOKUP($D76&amp;":"&amp;$C76,tblPayRates,{3,4,5,6,7,8,9,10,11,12,13,14},0)</f>
        <v>0</v>
      </c>
      <c r="Z76" s="16" t="str">
        <f ca="1"/>
        <v>Nobody</v>
      </c>
      <c r="AA76" s="261" t="str">
        <f ca="1"/>
        <v>M</v>
      </c>
      <c r="AB76" s="77" t="str">
        <f ca="1"/>
        <v>Daily</v>
      </c>
      <c r="AC76" s="77">
        <f ca="1"/>
        <v>0</v>
      </c>
      <c r="AD76" s="77">
        <f ca="1"/>
        <v>0</v>
      </c>
      <c r="AE76" s="77">
        <f ca="1"/>
        <v>0</v>
      </c>
      <c r="AF76" s="77">
        <f ca="1"/>
        <v>0</v>
      </c>
      <c r="AG76" s="261" t="str">
        <f ca="1"/>
        <v>N</v>
      </c>
      <c r="AH76" s="261">
        <f ca="1"/>
        <v>1</v>
      </c>
      <c r="AI76" s="261">
        <f ca="1"/>
        <v>1</v>
      </c>
      <c r="AJ76" s="262">
        <f ca="1"/>
        <v>0</v>
      </c>
    </row>
    <row r="77" spans="1:36" hidden="1" outlineLevel="1" x14ac:dyDescent="0.25">
      <c r="A77" s="120">
        <f t="shared" si="48"/>
        <v>0</v>
      </c>
      <c r="B77" s="231"/>
      <c r="C77" s="77"/>
      <c r="D77" s="238"/>
      <c r="E77" s="76" t="e">
        <f ca="1">SUMIF(payNonMonth,"="&amp;$X77,$E$362:OFFSET($E$362,ROWS(payNonMonth)-1,0))</f>
        <v>#NAME?</v>
      </c>
      <c r="F77" s="76"/>
      <c r="G77" s="77" t="e">
        <f t="shared" ca="1" si="49"/>
        <v>#NAME?</v>
      </c>
      <c r="H77" s="76" t="e">
        <f t="shared" ca="1" si="50"/>
        <v>#NAME?</v>
      </c>
      <c r="I77" s="76" t="e">
        <f t="shared" ca="1" si="51"/>
        <v>#NAME?</v>
      </c>
      <c r="J77" s="233" t="e">
        <f t="shared" ca="1" si="43"/>
        <v>#NAME?</v>
      </c>
      <c r="K77" s="76" t="e">
        <f t="shared" si="44"/>
        <v>#NAME?</v>
      </c>
      <c r="L77" s="76" t="e">
        <f t="shared" ca="1" si="47"/>
        <v>#NAME?</v>
      </c>
      <c r="M77" s="76" t="e">
        <f t="shared" ca="1" si="52"/>
        <v>#VALUE!</v>
      </c>
      <c r="N77" s="76" t="e">
        <f t="shared" ca="1" si="45"/>
        <v>#NAME?</v>
      </c>
      <c r="O77" s="76" t="e">
        <f t="shared" ca="1" si="57"/>
        <v>#NAME?</v>
      </c>
      <c r="P77" s="76"/>
      <c r="Q77" s="76" t="e">
        <f t="shared" ca="1" si="53"/>
        <v>#NAME?</v>
      </c>
      <c r="R77" s="76" t="e">
        <f t="shared" ca="1" si="31"/>
        <v>#VALUE!</v>
      </c>
      <c r="S77" s="76" t="e">
        <f t="shared" ca="1" si="54"/>
        <v>#NAME?</v>
      </c>
      <c r="T77" s="232" t="e">
        <f t="shared" ca="1" si="46"/>
        <v>#NAME?</v>
      </c>
      <c r="V77" s="120" t="e">
        <f t="shared" si="55"/>
        <v>#NAME?</v>
      </c>
      <c r="W77" s="120" t="str">
        <f t="shared" si="56"/>
        <v>:</v>
      </c>
      <c r="X77" s="120" t="str">
        <f t="shared" si="41"/>
        <v>:0</v>
      </c>
      <c r="Y77" s="250">
        <f t="array" aca="1" ref="Y77:AJ77" ca="1">VLOOKUP($D77&amp;":"&amp;$C77,tblPayRates,{3,4,5,6,7,8,9,10,11,12,13,14},0)</f>
        <v>0</v>
      </c>
      <c r="Z77" s="16" t="str">
        <f ca="1"/>
        <v>Nobody</v>
      </c>
      <c r="AA77" s="261" t="str">
        <f ca="1"/>
        <v>M</v>
      </c>
      <c r="AB77" s="77" t="str">
        <f ca="1"/>
        <v>Daily</v>
      </c>
      <c r="AC77" s="77">
        <f ca="1"/>
        <v>0</v>
      </c>
      <c r="AD77" s="77">
        <f ca="1"/>
        <v>0</v>
      </c>
      <c r="AE77" s="77">
        <f ca="1"/>
        <v>0</v>
      </c>
      <c r="AF77" s="77">
        <f ca="1"/>
        <v>0</v>
      </c>
      <c r="AG77" s="261" t="str">
        <f ca="1"/>
        <v>N</v>
      </c>
      <c r="AH77" s="261">
        <f ca="1"/>
        <v>1</v>
      </c>
      <c r="AI77" s="261">
        <f ca="1"/>
        <v>1</v>
      </c>
      <c r="AJ77" s="262">
        <f ca="1"/>
        <v>0</v>
      </c>
    </row>
    <row r="78" spans="1:36" hidden="1" outlineLevel="1" x14ac:dyDescent="0.25">
      <c r="A78" s="120">
        <f t="shared" si="48"/>
        <v>0</v>
      </c>
      <c r="B78" s="231"/>
      <c r="C78" s="77"/>
      <c r="D78" s="238"/>
      <c r="E78" s="76" t="e">
        <f ca="1">SUMIF(payNonMonth,"="&amp;$X78,$E$362:OFFSET($E$362,ROWS(payNonMonth)-1,0))</f>
        <v>#NAME?</v>
      </c>
      <c r="F78" s="76"/>
      <c r="G78" s="77" t="e">
        <f t="shared" ca="1" si="49"/>
        <v>#NAME?</v>
      </c>
      <c r="H78" s="76" t="e">
        <f t="shared" ca="1" si="50"/>
        <v>#NAME?</v>
      </c>
      <c r="I78" s="76" t="e">
        <f t="shared" ca="1" si="51"/>
        <v>#NAME?</v>
      </c>
      <c r="J78" s="233" t="e">
        <f t="shared" ca="1" si="43"/>
        <v>#NAME?</v>
      </c>
      <c r="K78" s="76" t="e">
        <f t="shared" si="44"/>
        <v>#NAME?</v>
      </c>
      <c r="L78" s="76" t="e">
        <f t="shared" ca="1" si="47"/>
        <v>#NAME?</v>
      </c>
      <c r="M78" s="76" t="e">
        <f t="shared" ca="1" si="52"/>
        <v>#VALUE!</v>
      </c>
      <c r="N78" s="76" t="e">
        <f t="shared" ca="1" si="45"/>
        <v>#NAME?</v>
      </c>
      <c r="O78" s="76" t="e">
        <f t="shared" ca="1" si="57"/>
        <v>#NAME?</v>
      </c>
      <c r="P78" s="76"/>
      <c r="Q78" s="76" t="e">
        <f t="shared" ca="1" si="53"/>
        <v>#NAME?</v>
      </c>
      <c r="R78" s="76" t="e">
        <f t="shared" ca="1" si="31"/>
        <v>#VALUE!</v>
      </c>
      <c r="S78" s="76" t="e">
        <f t="shared" ca="1" si="54"/>
        <v>#NAME?</v>
      </c>
      <c r="T78" s="232" t="e">
        <f t="shared" ca="1" si="46"/>
        <v>#NAME?</v>
      </c>
      <c r="V78" s="120" t="e">
        <f t="shared" si="55"/>
        <v>#NAME?</v>
      </c>
      <c r="W78" s="120" t="str">
        <f t="shared" si="56"/>
        <v>:</v>
      </c>
      <c r="X78" s="120" t="str">
        <f t="shared" si="41"/>
        <v>:0</v>
      </c>
      <c r="Y78" s="250">
        <f t="array" aca="1" ref="Y78:AJ78" ca="1">VLOOKUP($D78&amp;":"&amp;$C78,tblPayRates,{3,4,5,6,7,8,9,10,11,12,13,14},0)</f>
        <v>0</v>
      </c>
      <c r="Z78" s="16" t="str">
        <f ca="1"/>
        <v>Nobody</v>
      </c>
      <c r="AA78" s="261" t="str">
        <f ca="1"/>
        <v>M</v>
      </c>
      <c r="AB78" s="77" t="str">
        <f ca="1"/>
        <v>Daily</v>
      </c>
      <c r="AC78" s="77">
        <f ca="1"/>
        <v>0</v>
      </c>
      <c r="AD78" s="77">
        <f ca="1"/>
        <v>0</v>
      </c>
      <c r="AE78" s="77">
        <f ca="1"/>
        <v>0</v>
      </c>
      <c r="AF78" s="77">
        <f ca="1"/>
        <v>0</v>
      </c>
      <c r="AG78" s="261" t="str">
        <f ca="1"/>
        <v>N</v>
      </c>
      <c r="AH78" s="261">
        <f ca="1"/>
        <v>1</v>
      </c>
      <c r="AI78" s="261">
        <f ca="1"/>
        <v>1</v>
      </c>
      <c r="AJ78" s="262">
        <f ca="1"/>
        <v>0</v>
      </c>
    </row>
    <row r="79" spans="1:36" hidden="1" outlineLevel="1" x14ac:dyDescent="0.25">
      <c r="A79" s="120">
        <f t="shared" si="48"/>
        <v>0</v>
      </c>
      <c r="B79" s="231"/>
      <c r="C79" s="77"/>
      <c r="D79" s="238"/>
      <c r="E79" s="76" t="e">
        <f ca="1">SUMIF(payNonMonth,"="&amp;$X79,$E$362:OFFSET($E$362,ROWS(payNonMonth)-1,0))</f>
        <v>#NAME?</v>
      </c>
      <c r="F79" s="76"/>
      <c r="G79" s="77" t="e">
        <f t="shared" ca="1" si="49"/>
        <v>#NAME?</v>
      </c>
      <c r="H79" s="76" t="e">
        <f t="shared" ca="1" si="50"/>
        <v>#NAME?</v>
      </c>
      <c r="I79" s="76" t="e">
        <f t="shared" ca="1" si="51"/>
        <v>#NAME?</v>
      </c>
      <c r="J79" s="233" t="e">
        <f t="shared" ca="1" si="43"/>
        <v>#NAME?</v>
      </c>
      <c r="K79" s="76" t="e">
        <f t="shared" si="44"/>
        <v>#NAME?</v>
      </c>
      <c r="L79" s="76" t="e">
        <f t="shared" ca="1" si="47"/>
        <v>#NAME?</v>
      </c>
      <c r="M79" s="76" t="e">
        <f t="shared" ca="1" si="52"/>
        <v>#VALUE!</v>
      </c>
      <c r="N79" s="76" t="e">
        <f t="shared" ca="1" si="45"/>
        <v>#NAME?</v>
      </c>
      <c r="O79" s="76"/>
      <c r="P79" s="76"/>
      <c r="Q79" s="76" t="e">
        <f t="shared" ca="1" si="53"/>
        <v>#NAME?</v>
      </c>
      <c r="R79" s="76" t="e">
        <f t="shared" ca="1" si="31"/>
        <v>#VALUE!</v>
      </c>
      <c r="S79" s="76" t="e">
        <f t="shared" ca="1" si="54"/>
        <v>#NAME?</v>
      </c>
      <c r="T79" s="232" t="e">
        <f t="shared" ca="1" si="46"/>
        <v>#NAME?</v>
      </c>
      <c r="V79" s="120" t="e">
        <f t="shared" si="55"/>
        <v>#NAME?</v>
      </c>
      <c r="W79" s="120" t="str">
        <f t="shared" si="56"/>
        <v>:</v>
      </c>
      <c r="X79" s="120" t="str">
        <f t="shared" si="41"/>
        <v>:0</v>
      </c>
      <c r="Y79" s="250">
        <f t="array" aca="1" ref="Y79:AJ79" ca="1">VLOOKUP($D79&amp;":"&amp;$C79,tblPayRates,{3,4,5,6,7,8,9,10,11,12,13,14},0)</f>
        <v>0</v>
      </c>
      <c r="Z79" s="16" t="str">
        <f ca="1"/>
        <v>Nobody</v>
      </c>
      <c r="AA79" s="261" t="str">
        <f ca="1"/>
        <v>M</v>
      </c>
      <c r="AB79" s="77" t="str">
        <f ca="1"/>
        <v>Daily</v>
      </c>
      <c r="AC79" s="77">
        <f ca="1"/>
        <v>0</v>
      </c>
      <c r="AD79" s="77">
        <f ca="1"/>
        <v>0</v>
      </c>
      <c r="AE79" s="77">
        <f ca="1"/>
        <v>0</v>
      </c>
      <c r="AF79" s="77">
        <f ca="1"/>
        <v>0</v>
      </c>
      <c r="AG79" s="261" t="str">
        <f ca="1"/>
        <v>N</v>
      </c>
      <c r="AH79" s="261">
        <f ca="1"/>
        <v>1</v>
      </c>
      <c r="AI79" s="261">
        <f ca="1"/>
        <v>1</v>
      </c>
      <c r="AJ79" s="262">
        <f ca="1"/>
        <v>0</v>
      </c>
    </row>
    <row r="80" spans="1:36" hidden="1" outlineLevel="1" x14ac:dyDescent="0.25">
      <c r="A80" s="120">
        <f t="shared" si="48"/>
        <v>0</v>
      </c>
      <c r="B80" s="231"/>
      <c r="C80" s="77"/>
      <c r="D80" s="238"/>
      <c r="E80" s="76" t="e">
        <f ca="1">SUMIF(payNonMonth,"="&amp;$X80,$E$362:OFFSET($E$362,ROWS(payNonMonth)-1,0))</f>
        <v>#NAME?</v>
      </c>
      <c r="F80" s="76"/>
      <c r="G80" s="77" t="e">
        <f t="shared" ca="1" si="49"/>
        <v>#NAME?</v>
      </c>
      <c r="H80" s="76" t="e">
        <f t="shared" ca="1" si="50"/>
        <v>#NAME?</v>
      </c>
      <c r="I80" s="76" t="e">
        <f t="shared" ca="1" si="51"/>
        <v>#NAME?</v>
      </c>
      <c r="J80" s="233" t="e">
        <f t="shared" ca="1" si="43"/>
        <v>#NAME?</v>
      </c>
      <c r="K80" s="76" t="e">
        <f t="shared" si="44"/>
        <v>#NAME?</v>
      </c>
      <c r="L80" s="76" t="e">
        <f t="shared" ca="1" si="47"/>
        <v>#NAME?</v>
      </c>
      <c r="M80" s="76" t="e">
        <f t="shared" ca="1" si="52"/>
        <v>#VALUE!</v>
      </c>
      <c r="N80" s="76" t="e">
        <f t="shared" ca="1" si="45"/>
        <v>#NAME?</v>
      </c>
      <c r="O80" s="76"/>
      <c r="P80" s="76"/>
      <c r="Q80" s="76" t="e">
        <f t="shared" ca="1" si="53"/>
        <v>#NAME?</v>
      </c>
      <c r="R80" s="76" t="e">
        <f t="shared" ca="1" si="31"/>
        <v>#VALUE!</v>
      </c>
      <c r="S80" s="76" t="e">
        <f t="shared" ca="1" si="54"/>
        <v>#NAME?</v>
      </c>
      <c r="T80" s="232" t="e">
        <f t="shared" ca="1" si="46"/>
        <v>#NAME?</v>
      </c>
      <c r="V80" s="120" t="e">
        <f t="shared" si="55"/>
        <v>#NAME?</v>
      </c>
      <c r="W80" s="120" t="str">
        <f t="shared" si="56"/>
        <v>:</v>
      </c>
      <c r="X80" s="120" t="str">
        <f t="shared" si="41"/>
        <v>:0</v>
      </c>
      <c r="Y80" s="250">
        <f t="array" aca="1" ref="Y80:AJ80" ca="1">VLOOKUP($D80&amp;":"&amp;$C80,tblPayRates,{3,4,5,6,7,8,9,10,11,12,13,14},0)</f>
        <v>0</v>
      </c>
      <c r="Z80" s="16" t="str">
        <f ca="1"/>
        <v>Nobody</v>
      </c>
      <c r="AA80" s="261" t="str">
        <f ca="1"/>
        <v>M</v>
      </c>
      <c r="AB80" s="77" t="str">
        <f ca="1"/>
        <v>Daily</v>
      </c>
      <c r="AC80" s="77">
        <f ca="1"/>
        <v>0</v>
      </c>
      <c r="AD80" s="77">
        <f ca="1"/>
        <v>0</v>
      </c>
      <c r="AE80" s="77">
        <f ca="1"/>
        <v>0</v>
      </c>
      <c r="AF80" s="77">
        <f ca="1"/>
        <v>0</v>
      </c>
      <c r="AG80" s="261" t="str">
        <f ca="1"/>
        <v>N</v>
      </c>
      <c r="AH80" s="261">
        <f ca="1"/>
        <v>1</v>
      </c>
      <c r="AI80" s="261">
        <f ca="1"/>
        <v>1</v>
      </c>
      <c r="AJ80" s="262">
        <f ca="1"/>
        <v>0</v>
      </c>
    </row>
    <row r="81" spans="1:36" hidden="1" outlineLevel="1" x14ac:dyDescent="0.25">
      <c r="A81" s="120">
        <f t="shared" si="48"/>
        <v>0</v>
      </c>
      <c r="B81" s="231"/>
      <c r="C81" s="77"/>
      <c r="D81" s="238"/>
      <c r="E81" s="76" t="e">
        <f ca="1">SUMIF(payNonMonth,"="&amp;$X81,$E$362:OFFSET($E$362,ROWS(payNonMonth)-1,0))</f>
        <v>#NAME?</v>
      </c>
      <c r="F81" s="76"/>
      <c r="G81" s="77" t="e">
        <f t="shared" ca="1" si="49"/>
        <v>#NAME?</v>
      </c>
      <c r="H81" s="76" t="e">
        <f t="shared" ca="1" si="50"/>
        <v>#NAME?</v>
      </c>
      <c r="I81" s="76" t="e">
        <f t="shared" ca="1" si="51"/>
        <v>#NAME?</v>
      </c>
      <c r="J81" s="233" t="e">
        <f t="shared" ca="1" si="43"/>
        <v>#NAME?</v>
      </c>
      <c r="K81" s="76" t="e">
        <f t="shared" si="44"/>
        <v>#NAME?</v>
      </c>
      <c r="L81" s="76" t="e">
        <f t="shared" ca="1" si="47"/>
        <v>#NAME?</v>
      </c>
      <c r="M81" s="76" t="e">
        <f t="shared" ca="1" si="52"/>
        <v>#VALUE!</v>
      </c>
      <c r="N81" s="76" t="e">
        <f t="shared" ca="1" si="45"/>
        <v>#NAME?</v>
      </c>
      <c r="O81" s="76" t="e">
        <f t="shared" ca="1" si="57"/>
        <v>#NAME?</v>
      </c>
      <c r="P81" s="76"/>
      <c r="Q81" s="76" t="e">
        <f t="shared" ca="1" si="53"/>
        <v>#NAME?</v>
      </c>
      <c r="R81" s="76" t="e">
        <f t="shared" ca="1" si="31"/>
        <v>#VALUE!</v>
      </c>
      <c r="S81" s="76" t="e">
        <f t="shared" ca="1" si="54"/>
        <v>#NAME?</v>
      </c>
      <c r="T81" s="232" t="e">
        <f t="shared" ca="1" si="46"/>
        <v>#NAME?</v>
      </c>
      <c r="V81" s="120" t="e">
        <f t="shared" si="55"/>
        <v>#NAME?</v>
      </c>
      <c r="W81" s="120" t="str">
        <f t="shared" si="56"/>
        <v>:</v>
      </c>
      <c r="X81" s="120" t="str">
        <f t="shared" si="41"/>
        <v>:0</v>
      </c>
      <c r="Y81" s="250">
        <f t="array" aca="1" ref="Y81:AJ81" ca="1">VLOOKUP($D81&amp;":"&amp;$C81,tblPayRates,{3,4,5,6,7,8,9,10,11,12,13,14},0)</f>
        <v>0</v>
      </c>
      <c r="Z81" s="16" t="str">
        <f ca="1"/>
        <v>Nobody</v>
      </c>
      <c r="AA81" s="261" t="str">
        <f ca="1"/>
        <v>M</v>
      </c>
      <c r="AB81" s="77" t="str">
        <f ca="1"/>
        <v>Daily</v>
      </c>
      <c r="AC81" s="77">
        <f ca="1"/>
        <v>0</v>
      </c>
      <c r="AD81" s="77">
        <f ca="1"/>
        <v>0</v>
      </c>
      <c r="AE81" s="77">
        <f ca="1"/>
        <v>0</v>
      </c>
      <c r="AF81" s="77">
        <f ca="1"/>
        <v>0</v>
      </c>
      <c r="AG81" s="261" t="str">
        <f ca="1"/>
        <v>N</v>
      </c>
      <c r="AH81" s="261">
        <f ca="1"/>
        <v>1</v>
      </c>
      <c r="AI81" s="261">
        <f ca="1"/>
        <v>1</v>
      </c>
      <c r="AJ81" s="262">
        <f ca="1"/>
        <v>0</v>
      </c>
    </row>
    <row r="82" spans="1:36" hidden="1" outlineLevel="1" x14ac:dyDescent="0.25">
      <c r="A82" s="120">
        <f t="shared" si="48"/>
        <v>0</v>
      </c>
      <c r="B82" s="231"/>
      <c r="C82" s="77"/>
      <c r="D82" s="238"/>
      <c r="E82" s="76" t="e">
        <f ca="1">SUMIF(payNonMonth,"="&amp;$X82,$E$362:OFFSET($E$362,ROWS(payNonMonth)-1,0))</f>
        <v>#NAME?</v>
      </c>
      <c r="F82" s="76"/>
      <c r="G82" s="77" t="e">
        <f t="shared" ca="1" si="49"/>
        <v>#NAME?</v>
      </c>
      <c r="H82" s="76" t="e">
        <f t="shared" ca="1" si="50"/>
        <v>#NAME?</v>
      </c>
      <c r="I82" s="76" t="e">
        <f t="shared" ca="1" si="51"/>
        <v>#NAME?</v>
      </c>
      <c r="J82" s="233" t="e">
        <f t="shared" ca="1" si="43"/>
        <v>#NAME?</v>
      </c>
      <c r="K82" s="76" t="e">
        <f t="shared" si="44"/>
        <v>#NAME?</v>
      </c>
      <c r="L82" s="76" t="e">
        <f t="shared" ca="1" si="47"/>
        <v>#NAME?</v>
      </c>
      <c r="M82" s="76" t="e">
        <f t="shared" ca="1" si="52"/>
        <v>#VALUE!</v>
      </c>
      <c r="N82" s="76" t="e">
        <f t="shared" ca="1" si="45"/>
        <v>#NAME?</v>
      </c>
      <c r="O82" s="76" t="e">
        <f t="shared" ca="1" si="57"/>
        <v>#NAME?</v>
      </c>
      <c r="P82" s="76"/>
      <c r="Q82" s="76" t="e">
        <f t="shared" ca="1" si="53"/>
        <v>#NAME?</v>
      </c>
      <c r="R82" s="76" t="e">
        <f t="shared" ca="1" si="31"/>
        <v>#VALUE!</v>
      </c>
      <c r="S82" s="76" t="e">
        <f t="shared" ca="1" si="54"/>
        <v>#NAME?</v>
      </c>
      <c r="T82" s="232" t="e">
        <f t="shared" ca="1" si="46"/>
        <v>#NAME?</v>
      </c>
      <c r="V82" s="120" t="e">
        <f t="shared" si="55"/>
        <v>#NAME?</v>
      </c>
      <c r="W82" s="120" t="str">
        <f t="shared" si="56"/>
        <v>:</v>
      </c>
      <c r="X82" s="120" t="str">
        <f t="shared" ref="X82:X97" si="74">C82 &amp;":"&amp; B82</f>
        <v>:</v>
      </c>
      <c r="Y82" s="250">
        <f t="array" aca="1" ref="Y82:AJ82" ca="1">VLOOKUP($D82&amp;":"&amp;$C82,tblPayRates,{3,4,5,6,7,8,9,10,11,12,13,14},0)</f>
        <v>0</v>
      </c>
      <c r="Z82" s="16" t="str">
        <f ca="1"/>
        <v>Nobody</v>
      </c>
      <c r="AA82" s="261" t="str">
        <f ca="1"/>
        <v>M</v>
      </c>
      <c r="AB82" s="77" t="str">
        <f ca="1"/>
        <v>Daily</v>
      </c>
      <c r="AC82" s="77">
        <f ca="1"/>
        <v>0</v>
      </c>
      <c r="AD82" s="77">
        <f ca="1"/>
        <v>0</v>
      </c>
      <c r="AE82" s="77">
        <f ca="1"/>
        <v>0</v>
      </c>
      <c r="AF82" s="77">
        <f ca="1"/>
        <v>0</v>
      </c>
      <c r="AG82" s="261" t="str">
        <f ca="1"/>
        <v>N</v>
      </c>
      <c r="AH82" s="261">
        <f ca="1"/>
        <v>1</v>
      </c>
      <c r="AI82" s="261">
        <f ca="1"/>
        <v>1</v>
      </c>
      <c r="AJ82" s="262">
        <f ca="1"/>
        <v>0</v>
      </c>
    </row>
    <row r="83" spans="1:36" hidden="1" outlineLevel="1" x14ac:dyDescent="0.25">
      <c r="A83" s="120">
        <f>GETPAYMONTH(B83)</f>
        <v>0</v>
      </c>
      <c r="B83" s="231"/>
      <c r="C83" s="77"/>
      <c r="D83" s="238"/>
      <c r="E83" s="76" t="e">
        <f ca="1">SUMIF(payNonMonth,"="&amp;$X83,$E$362:OFFSET($E$362,ROWS(payNonMonth)-1,0))</f>
        <v>#NAME?</v>
      </c>
      <c r="F83" s="76"/>
      <c r="G83" s="77" t="e">
        <f ca="1">IF(AND($E83=0,$F83=0),0,1)</f>
        <v>#NAME?</v>
      </c>
      <c r="H83" s="76" t="e">
        <f ca="1">ROUND(SUM(E83:F83)*AC83,2)</f>
        <v>#NAME?</v>
      </c>
      <c r="I83" s="76" t="e">
        <f ca="1">H83*OFFSET(payMgmtRate,0,$AH83)</f>
        <v>#NAME?</v>
      </c>
      <c r="J83" s="233" t="e">
        <f t="shared" ca="1" si="43"/>
        <v>#NAME?</v>
      </c>
      <c r="K83" s="76" t="e">
        <f t="shared" si="44"/>
        <v>#NAME?</v>
      </c>
      <c r="L83" s="76" t="e">
        <f t="shared" ca="1" si="47"/>
        <v>#NAME?</v>
      </c>
      <c r="M83" s="76" t="e">
        <f ca="1">GETSUPER(J83-SUM(K83:L83))</f>
        <v>#VALUE!</v>
      </c>
      <c r="N83" s="76" t="e">
        <f t="shared" ca="1" si="45"/>
        <v>#NAME?</v>
      </c>
      <c r="O83" s="76" t="e">
        <f ca="1">ROUND((J83-SUM(K83:N83))*InsureRate,2)</f>
        <v>#NAME?</v>
      </c>
      <c r="P83" s="76"/>
      <c r="Q83" s="76" t="e">
        <f ca="1">J83-SUM(K83:P83)</f>
        <v>#NAME?</v>
      </c>
      <c r="R83" s="76" t="e">
        <f ca="1">GETTAX(Q83,AA83)</f>
        <v>#VALUE!</v>
      </c>
      <c r="S83" s="76" t="e">
        <f ca="1">Q83-R83</f>
        <v>#NAME?</v>
      </c>
      <c r="T83" s="232" t="e">
        <f t="shared" ca="1" si="46"/>
        <v>#NAME?</v>
      </c>
      <c r="V83" s="120" t="e">
        <f>IF(EmpID="*","*",C83) &amp;":"&amp; $A83</f>
        <v>#NAME?</v>
      </c>
      <c r="W83" s="120" t="str">
        <f>$C83 &amp;":"&amp; $B83</f>
        <v>:</v>
      </c>
      <c r="X83" s="120" t="str">
        <f t="shared" si="74"/>
        <v>:</v>
      </c>
      <c r="Y83" s="250">
        <f t="array" aca="1" ref="Y83:AJ83" ca="1">VLOOKUP($D83&amp;":"&amp;$C83,tblPayRates,{3,4,5,6,7,8,9,10,11,12,13,14},0)</f>
        <v>0</v>
      </c>
      <c r="Z83" s="16" t="str">
        <f ca="1"/>
        <v>Nobody</v>
      </c>
      <c r="AA83" s="261" t="str">
        <f ca="1"/>
        <v>M</v>
      </c>
      <c r="AB83" s="77" t="str">
        <f ca="1"/>
        <v>Daily</v>
      </c>
      <c r="AC83" s="77">
        <f ca="1"/>
        <v>0</v>
      </c>
      <c r="AD83" s="77">
        <f ca="1"/>
        <v>0</v>
      </c>
      <c r="AE83" s="77">
        <f ca="1"/>
        <v>0</v>
      </c>
      <c r="AF83" s="77">
        <f ca="1"/>
        <v>0</v>
      </c>
      <c r="AG83" s="261" t="str">
        <f ca="1"/>
        <v>N</v>
      </c>
      <c r="AH83" s="261">
        <f ca="1"/>
        <v>1</v>
      </c>
      <c r="AI83" s="261">
        <f ca="1"/>
        <v>1</v>
      </c>
      <c r="AJ83" s="262">
        <f ca="1"/>
        <v>0</v>
      </c>
    </row>
    <row r="84" spans="1:36" hidden="1" outlineLevel="1" x14ac:dyDescent="0.25">
      <c r="A84" s="120">
        <f t="shared" si="48"/>
        <v>0</v>
      </c>
      <c r="B84" s="231"/>
      <c r="C84" s="77"/>
      <c r="D84" s="238"/>
      <c r="E84" s="76" t="e">
        <f ca="1">SUMIF(payNonMonth,"="&amp;$X84,$E$362:OFFSET($E$362,ROWS(payNonMonth)-1,0))</f>
        <v>#NAME?</v>
      </c>
      <c r="F84" s="76"/>
      <c r="G84" s="77" t="e">
        <f t="shared" ca="1" si="49"/>
        <v>#NAME?</v>
      </c>
      <c r="H84" s="76" t="e">
        <f t="shared" ca="1" si="50"/>
        <v>#NAME?</v>
      </c>
      <c r="I84" s="76" t="e">
        <f t="shared" ca="1" si="51"/>
        <v>#NAME?</v>
      </c>
      <c r="J84" s="233" t="e">
        <f t="shared" ca="1" si="43"/>
        <v>#NAME?</v>
      </c>
      <c r="K84" s="76" t="e">
        <f t="shared" si="44"/>
        <v>#NAME?</v>
      </c>
      <c r="L84" s="76" t="e">
        <f t="shared" ca="1" si="47"/>
        <v>#NAME?</v>
      </c>
      <c r="M84" s="76" t="e">
        <f t="shared" ca="1" si="52"/>
        <v>#VALUE!</v>
      </c>
      <c r="N84" s="76" t="e">
        <f t="shared" ca="1" si="45"/>
        <v>#NAME?</v>
      </c>
      <c r="O84" s="76" t="e">
        <f t="shared" ca="1" si="57"/>
        <v>#NAME?</v>
      </c>
      <c r="P84" s="76"/>
      <c r="Q84" s="76" t="e">
        <f t="shared" ca="1" si="53"/>
        <v>#NAME?</v>
      </c>
      <c r="R84" s="76" t="e">
        <f t="shared" ca="1" si="31"/>
        <v>#VALUE!</v>
      </c>
      <c r="S84" s="76" t="e">
        <f t="shared" ca="1" si="54"/>
        <v>#NAME?</v>
      </c>
      <c r="T84" s="232" t="e">
        <f t="shared" ca="1" si="46"/>
        <v>#NAME?</v>
      </c>
      <c r="V84" s="120" t="e">
        <f t="shared" si="55"/>
        <v>#NAME?</v>
      </c>
      <c r="W84" s="120" t="str">
        <f t="shared" si="56"/>
        <v>:</v>
      </c>
      <c r="X84" s="120" t="str">
        <f t="shared" si="74"/>
        <v>:</v>
      </c>
      <c r="Y84" s="250">
        <f t="array" aca="1" ref="Y84:AJ84" ca="1">VLOOKUP($D84&amp;":"&amp;$C84,tblPayRates,{3,4,5,6,7,8,9,10,11,12,13,14},0)</f>
        <v>0</v>
      </c>
      <c r="Z84" s="16" t="str">
        <f ca="1"/>
        <v>Nobody</v>
      </c>
      <c r="AA84" s="261" t="str">
        <f ca="1"/>
        <v>M</v>
      </c>
      <c r="AB84" s="77" t="str">
        <f ca="1"/>
        <v>Daily</v>
      </c>
      <c r="AC84" s="77">
        <f ca="1"/>
        <v>0</v>
      </c>
      <c r="AD84" s="77">
        <f ca="1"/>
        <v>0</v>
      </c>
      <c r="AE84" s="77">
        <f ca="1"/>
        <v>0</v>
      </c>
      <c r="AF84" s="77">
        <f ca="1"/>
        <v>0</v>
      </c>
      <c r="AG84" s="261" t="str">
        <f ca="1"/>
        <v>N</v>
      </c>
      <c r="AH84" s="261">
        <f ca="1"/>
        <v>1</v>
      </c>
      <c r="AI84" s="261">
        <f ca="1"/>
        <v>1</v>
      </c>
      <c r="AJ84" s="262">
        <f ca="1"/>
        <v>0</v>
      </c>
    </row>
    <row r="85" spans="1:36" hidden="1" outlineLevel="1" x14ac:dyDescent="0.25">
      <c r="A85" s="120">
        <f t="shared" si="48"/>
        <v>0</v>
      </c>
      <c r="B85" s="231"/>
      <c r="C85" s="77"/>
      <c r="D85" s="238"/>
      <c r="E85" s="76" t="e">
        <f ca="1">SUMIF(payNonMonth,"="&amp;$X85,$E$362:OFFSET($E$362,ROWS(payNonMonth)-1,0))</f>
        <v>#NAME?</v>
      </c>
      <c r="F85" s="76"/>
      <c r="G85" s="77" t="e">
        <f t="shared" ca="1" si="49"/>
        <v>#NAME?</v>
      </c>
      <c r="H85" s="76" t="e">
        <f t="shared" ca="1" si="50"/>
        <v>#NAME?</v>
      </c>
      <c r="I85" s="76" t="e">
        <f t="shared" ca="1" si="51"/>
        <v>#NAME?</v>
      </c>
      <c r="J85" s="233" t="e">
        <f t="shared" ca="1" si="43"/>
        <v>#NAME?</v>
      </c>
      <c r="K85" s="76" t="e">
        <f t="shared" si="44"/>
        <v>#NAME?</v>
      </c>
      <c r="L85" s="76" t="e">
        <f t="shared" ca="1" si="47"/>
        <v>#NAME?</v>
      </c>
      <c r="M85" s="76" t="e">
        <f t="shared" ca="1" si="52"/>
        <v>#VALUE!</v>
      </c>
      <c r="N85" s="76" t="e">
        <f t="shared" ca="1" si="45"/>
        <v>#NAME?</v>
      </c>
      <c r="O85" s="76" t="e">
        <f t="shared" ca="1" si="57"/>
        <v>#NAME?</v>
      </c>
      <c r="P85" s="76"/>
      <c r="Q85" s="76" t="e">
        <f t="shared" ca="1" si="53"/>
        <v>#NAME?</v>
      </c>
      <c r="R85" s="76" t="e">
        <f t="shared" ca="1" si="31"/>
        <v>#VALUE!</v>
      </c>
      <c r="S85" s="76" t="e">
        <f t="shared" ca="1" si="54"/>
        <v>#NAME?</v>
      </c>
      <c r="T85" s="232" t="e">
        <f t="shared" ca="1" si="46"/>
        <v>#NAME?</v>
      </c>
      <c r="V85" s="120" t="e">
        <f t="shared" si="55"/>
        <v>#NAME?</v>
      </c>
      <c r="W85" s="120" t="str">
        <f t="shared" si="56"/>
        <v>:</v>
      </c>
      <c r="X85" s="120" t="str">
        <f t="shared" si="74"/>
        <v>:</v>
      </c>
      <c r="Y85" s="250">
        <f t="array" aca="1" ref="Y85:AJ85" ca="1">VLOOKUP($D85&amp;":"&amp;$C85,tblPayRates,{3,4,5,6,7,8,9,10,11,12,13,14},0)</f>
        <v>0</v>
      </c>
      <c r="Z85" s="16" t="str">
        <f ca="1"/>
        <v>Nobody</v>
      </c>
      <c r="AA85" s="261" t="str">
        <f ca="1"/>
        <v>M</v>
      </c>
      <c r="AB85" s="77" t="str">
        <f ca="1"/>
        <v>Daily</v>
      </c>
      <c r="AC85" s="77">
        <f ca="1"/>
        <v>0</v>
      </c>
      <c r="AD85" s="77">
        <f ca="1"/>
        <v>0</v>
      </c>
      <c r="AE85" s="77">
        <f ca="1"/>
        <v>0</v>
      </c>
      <c r="AF85" s="77">
        <f ca="1"/>
        <v>0</v>
      </c>
      <c r="AG85" s="261" t="str">
        <f ca="1"/>
        <v>N</v>
      </c>
      <c r="AH85" s="261">
        <f ca="1"/>
        <v>1</v>
      </c>
      <c r="AI85" s="261">
        <f ca="1"/>
        <v>1</v>
      </c>
      <c r="AJ85" s="262">
        <f ca="1"/>
        <v>0</v>
      </c>
    </row>
    <row r="86" spans="1:36" hidden="1" outlineLevel="1" x14ac:dyDescent="0.25">
      <c r="A86" s="120">
        <f t="shared" si="48"/>
        <v>0</v>
      </c>
      <c r="B86" s="231"/>
      <c r="C86" s="77"/>
      <c r="D86" s="238"/>
      <c r="E86" s="76" t="e">
        <f ca="1">SUMIF(payNonMonth,"="&amp;$X86,$E$362:OFFSET($E$362,ROWS(payNonMonth)-1,0))</f>
        <v>#NAME?</v>
      </c>
      <c r="F86" s="76"/>
      <c r="G86" s="77" t="e">
        <f t="shared" ca="1" si="49"/>
        <v>#NAME?</v>
      </c>
      <c r="H86" s="76" t="e">
        <f t="shared" ca="1" si="50"/>
        <v>#NAME?</v>
      </c>
      <c r="I86" s="76" t="e">
        <f t="shared" ca="1" si="51"/>
        <v>#NAME?</v>
      </c>
      <c r="J86" s="233" t="e">
        <f t="shared" ca="1" si="43"/>
        <v>#NAME?</v>
      </c>
      <c r="K86" s="76" t="e">
        <f t="shared" si="44"/>
        <v>#NAME?</v>
      </c>
      <c r="L86" s="76" t="e">
        <f t="shared" ca="1" si="47"/>
        <v>#NAME?</v>
      </c>
      <c r="M86" s="76" t="e">
        <f t="shared" ca="1" si="52"/>
        <v>#VALUE!</v>
      </c>
      <c r="N86" s="76" t="e">
        <f t="shared" ca="1" si="45"/>
        <v>#NAME?</v>
      </c>
      <c r="O86" s="76" t="e">
        <f t="shared" ca="1" si="57"/>
        <v>#NAME?</v>
      </c>
      <c r="P86" s="76"/>
      <c r="Q86" s="76" t="e">
        <f t="shared" ca="1" si="53"/>
        <v>#NAME?</v>
      </c>
      <c r="R86" s="76" t="e">
        <f t="shared" ca="1" si="31"/>
        <v>#VALUE!</v>
      </c>
      <c r="S86" s="76" t="e">
        <f t="shared" ca="1" si="54"/>
        <v>#NAME?</v>
      </c>
      <c r="T86" s="232" t="e">
        <f t="shared" ca="1" si="46"/>
        <v>#NAME?</v>
      </c>
      <c r="V86" s="120" t="e">
        <f t="shared" si="55"/>
        <v>#NAME?</v>
      </c>
      <c r="W86" s="120" t="str">
        <f t="shared" si="56"/>
        <v>:</v>
      </c>
      <c r="X86" s="120" t="str">
        <f t="shared" si="41"/>
        <v>:0</v>
      </c>
      <c r="Y86" s="250">
        <f t="array" aca="1" ref="Y86:AJ86" ca="1">VLOOKUP($D86&amp;":"&amp;$C86,tblPayRates,{3,4,5,6,7,8,9,10,11,12,13,14},0)</f>
        <v>0</v>
      </c>
      <c r="Z86" s="16" t="str">
        <f ca="1"/>
        <v>Nobody</v>
      </c>
      <c r="AA86" s="261" t="str">
        <f ca="1"/>
        <v>M</v>
      </c>
      <c r="AB86" s="77" t="str">
        <f ca="1"/>
        <v>Daily</v>
      </c>
      <c r="AC86" s="77">
        <f ca="1"/>
        <v>0</v>
      </c>
      <c r="AD86" s="77">
        <f ca="1"/>
        <v>0</v>
      </c>
      <c r="AE86" s="77">
        <f ca="1"/>
        <v>0</v>
      </c>
      <c r="AF86" s="77">
        <f ca="1"/>
        <v>0</v>
      </c>
      <c r="AG86" s="261" t="str">
        <f ca="1"/>
        <v>N</v>
      </c>
      <c r="AH86" s="261">
        <f ca="1"/>
        <v>1</v>
      </c>
      <c r="AI86" s="261">
        <f ca="1"/>
        <v>1</v>
      </c>
      <c r="AJ86" s="262">
        <f ca="1"/>
        <v>0</v>
      </c>
    </row>
    <row r="87" spans="1:36" hidden="1" outlineLevel="1" x14ac:dyDescent="0.25">
      <c r="A87" s="120">
        <f t="shared" si="48"/>
        <v>0</v>
      </c>
      <c r="B87" s="231"/>
      <c r="C87" s="77"/>
      <c r="D87" s="238"/>
      <c r="E87" s="76" t="e">
        <f ca="1">SUMIF(payNonMonth,"="&amp;$X87,$E$362:OFFSET($E$362,ROWS(payNonMonth)-1,0))</f>
        <v>#NAME?</v>
      </c>
      <c r="F87" s="76"/>
      <c r="G87" s="77" t="e">
        <f t="shared" ca="1" si="49"/>
        <v>#NAME?</v>
      </c>
      <c r="H87" s="76" t="e">
        <f t="shared" ca="1" si="50"/>
        <v>#NAME?</v>
      </c>
      <c r="I87" s="76" t="e">
        <f t="shared" ca="1" si="51"/>
        <v>#NAME?</v>
      </c>
      <c r="J87" s="233" t="e">
        <f t="shared" ref="J87:J113" ca="1" si="75">ROUND(IF(AI87,$E87,1)*AE87+$F87*AF87+SUMIF(payAllow,$W87,$J$269:$J$359),2)</f>
        <v>#NAME?</v>
      </c>
      <c r="K87" s="76" t="e">
        <f t="shared" ref="K87:K93" si="76">SUMIF(payAllow,$W87,K$269:K$359)+SUMIF(payAllow,$W87,O$269:O$359)</f>
        <v>#NAME?</v>
      </c>
      <c r="L87" s="76" t="e">
        <f t="shared" ca="1" si="47"/>
        <v>#NAME?</v>
      </c>
      <c r="M87" s="76" t="e">
        <f t="shared" ca="1" si="52"/>
        <v>#VALUE!</v>
      </c>
      <c r="N87" s="76" t="e">
        <f t="shared" ref="N87:N112" ca="1" si="77">SUMIF(payAllow,$W87,N$269:N$359)*G87</f>
        <v>#NAME?</v>
      </c>
      <c r="O87" s="76" t="e">
        <f t="shared" ca="1" si="57"/>
        <v>#NAME?</v>
      </c>
      <c r="P87" s="76"/>
      <c r="Q87" s="76" t="e">
        <f t="shared" ca="1" si="53"/>
        <v>#NAME?</v>
      </c>
      <c r="R87" s="76" t="e">
        <f t="shared" ca="1" si="31"/>
        <v>#VALUE!</v>
      </c>
      <c r="S87" s="76" t="e">
        <f t="shared" ca="1" si="54"/>
        <v>#NAME?</v>
      </c>
      <c r="T87" s="232" t="e">
        <f t="shared" ref="T87:T93" ca="1" si="78">SUMIF(payAllow,W87,T$269:T$359)*G87</f>
        <v>#NAME?</v>
      </c>
      <c r="V87" s="120" t="e">
        <f t="shared" si="55"/>
        <v>#NAME?</v>
      </c>
      <c r="W87" s="120" t="str">
        <f t="shared" si="56"/>
        <v>:</v>
      </c>
      <c r="X87" s="120" t="str">
        <f t="shared" si="41"/>
        <v>:0</v>
      </c>
      <c r="Y87" s="250">
        <f t="array" aca="1" ref="Y87:AJ87" ca="1">VLOOKUP($D87&amp;":"&amp;$C87,tblPayRates,{3,4,5,6,7,8,9,10,11,12,13,14},0)</f>
        <v>0</v>
      </c>
      <c r="Z87" s="16" t="str">
        <f ca="1"/>
        <v>Nobody</v>
      </c>
      <c r="AA87" s="261" t="str">
        <f ca="1"/>
        <v>M</v>
      </c>
      <c r="AB87" s="77" t="str">
        <f ca="1"/>
        <v>Daily</v>
      </c>
      <c r="AC87" s="77">
        <f ca="1"/>
        <v>0</v>
      </c>
      <c r="AD87" s="77">
        <f ca="1"/>
        <v>0</v>
      </c>
      <c r="AE87" s="77">
        <f ca="1"/>
        <v>0</v>
      </c>
      <c r="AF87" s="77">
        <f ca="1"/>
        <v>0</v>
      </c>
      <c r="AG87" s="261" t="str">
        <f ca="1"/>
        <v>N</v>
      </c>
      <c r="AH87" s="261">
        <f ca="1"/>
        <v>1</v>
      </c>
      <c r="AI87" s="261">
        <f ca="1"/>
        <v>1</v>
      </c>
      <c r="AJ87" s="262">
        <f ca="1"/>
        <v>0</v>
      </c>
    </row>
    <row r="88" spans="1:36" hidden="1" outlineLevel="1" x14ac:dyDescent="0.25">
      <c r="A88" s="120">
        <f t="shared" si="48"/>
        <v>0</v>
      </c>
      <c r="B88" s="231"/>
      <c r="C88" s="77"/>
      <c r="D88" s="238"/>
      <c r="E88" s="76" t="e">
        <f ca="1">SUMIF(payNonMonth,"="&amp;$X88,$E$362:OFFSET($E$362,ROWS(payNonMonth)-1,0))</f>
        <v>#NAME?</v>
      </c>
      <c r="F88" s="76"/>
      <c r="G88" s="77" t="e">
        <f t="shared" ca="1" si="49"/>
        <v>#NAME?</v>
      </c>
      <c r="H88" s="76" t="e">
        <f t="shared" ca="1" si="50"/>
        <v>#NAME?</v>
      </c>
      <c r="I88" s="76" t="e">
        <f t="shared" ca="1" si="51"/>
        <v>#NAME?</v>
      </c>
      <c r="J88" s="233" t="e">
        <f t="shared" ca="1" si="75"/>
        <v>#NAME?</v>
      </c>
      <c r="K88" s="76" t="e">
        <f t="shared" si="76"/>
        <v>#NAME?</v>
      </c>
      <c r="L88" s="76" t="e">
        <f t="shared" ca="1" si="47"/>
        <v>#NAME?</v>
      </c>
      <c r="M88" s="76" t="e">
        <f t="shared" ca="1" si="52"/>
        <v>#VALUE!</v>
      </c>
      <c r="N88" s="76" t="e">
        <f t="shared" ca="1" si="77"/>
        <v>#NAME?</v>
      </c>
      <c r="O88" s="76" t="e">
        <f t="shared" ca="1" si="57"/>
        <v>#NAME?</v>
      </c>
      <c r="P88" s="76"/>
      <c r="Q88" s="76" t="e">
        <f t="shared" ca="1" si="53"/>
        <v>#NAME?</v>
      </c>
      <c r="R88" s="76" t="e">
        <f t="shared" ca="1" si="31"/>
        <v>#VALUE!</v>
      </c>
      <c r="S88" s="76" t="e">
        <f t="shared" ca="1" si="54"/>
        <v>#NAME?</v>
      </c>
      <c r="T88" s="232" t="e">
        <f t="shared" ca="1" si="78"/>
        <v>#NAME?</v>
      </c>
      <c r="V88" s="120" t="e">
        <f t="shared" si="55"/>
        <v>#NAME?</v>
      </c>
      <c r="W88" s="120" t="str">
        <f t="shared" si="56"/>
        <v>:</v>
      </c>
      <c r="X88" s="120" t="str">
        <f t="shared" si="41"/>
        <v>:0</v>
      </c>
      <c r="Y88" s="250">
        <f t="array" aca="1" ref="Y88:AJ88" ca="1">VLOOKUP($D88&amp;":"&amp;$C88,tblPayRates,{3,4,5,6,7,8,9,10,11,12,13,14},0)</f>
        <v>0</v>
      </c>
      <c r="Z88" s="16" t="str">
        <f ca="1"/>
        <v>Nobody</v>
      </c>
      <c r="AA88" s="261" t="str">
        <f ca="1"/>
        <v>M</v>
      </c>
      <c r="AB88" s="77" t="str">
        <f ca="1"/>
        <v>Daily</v>
      </c>
      <c r="AC88" s="77">
        <f ca="1"/>
        <v>0</v>
      </c>
      <c r="AD88" s="77">
        <f ca="1"/>
        <v>0</v>
      </c>
      <c r="AE88" s="77">
        <f ca="1"/>
        <v>0</v>
      </c>
      <c r="AF88" s="77">
        <f ca="1"/>
        <v>0</v>
      </c>
      <c r="AG88" s="261" t="str">
        <f ca="1"/>
        <v>N</v>
      </c>
      <c r="AH88" s="261">
        <f ca="1"/>
        <v>1</v>
      </c>
      <c r="AI88" s="261">
        <f ca="1"/>
        <v>1</v>
      </c>
      <c r="AJ88" s="262">
        <f ca="1"/>
        <v>0</v>
      </c>
    </row>
    <row r="89" spans="1:36" hidden="1" outlineLevel="1" x14ac:dyDescent="0.25">
      <c r="A89" s="120">
        <f t="shared" si="48"/>
        <v>0</v>
      </c>
      <c r="B89" s="231"/>
      <c r="C89" s="77"/>
      <c r="D89" s="238"/>
      <c r="E89" s="76" t="e">
        <f ca="1">SUMIF(payNonMonth,"="&amp;$X89,$E$362:OFFSET($E$362,ROWS(payNonMonth)-1,0))</f>
        <v>#NAME?</v>
      </c>
      <c r="F89" s="76"/>
      <c r="G89" s="77" t="e">
        <f t="shared" ca="1" si="49"/>
        <v>#NAME?</v>
      </c>
      <c r="H89" s="76" t="e">
        <f t="shared" ca="1" si="50"/>
        <v>#NAME?</v>
      </c>
      <c r="I89" s="76" t="e">
        <f t="shared" ca="1" si="51"/>
        <v>#NAME?</v>
      </c>
      <c r="J89" s="233" t="e">
        <f t="shared" ca="1" si="75"/>
        <v>#NAME?</v>
      </c>
      <c r="K89" s="76" t="e">
        <f t="shared" si="76"/>
        <v>#NAME?</v>
      </c>
      <c r="L89" s="76" t="e">
        <f t="shared" ca="1" si="47"/>
        <v>#NAME?</v>
      </c>
      <c r="M89" s="76" t="e">
        <f t="shared" ca="1" si="52"/>
        <v>#VALUE!</v>
      </c>
      <c r="N89" s="76" t="e">
        <f t="shared" ca="1" si="77"/>
        <v>#NAME?</v>
      </c>
      <c r="O89" s="76"/>
      <c r="P89" s="76"/>
      <c r="Q89" s="76" t="e">
        <f t="shared" ca="1" si="53"/>
        <v>#NAME?</v>
      </c>
      <c r="R89" s="76" t="e">
        <f t="shared" ca="1" si="31"/>
        <v>#VALUE!</v>
      </c>
      <c r="S89" s="76" t="e">
        <f t="shared" ca="1" si="54"/>
        <v>#NAME?</v>
      </c>
      <c r="T89" s="232" t="e">
        <f t="shared" ca="1" si="78"/>
        <v>#NAME?</v>
      </c>
      <c r="V89" s="120" t="e">
        <f t="shared" si="55"/>
        <v>#NAME?</v>
      </c>
      <c r="W89" s="120" t="str">
        <f t="shared" si="56"/>
        <v>:</v>
      </c>
      <c r="X89" s="120" t="str">
        <f t="shared" si="41"/>
        <v>:0</v>
      </c>
      <c r="Y89" s="250">
        <f t="array" aca="1" ref="Y89:AJ89" ca="1">VLOOKUP($D89&amp;":"&amp;$C89,tblPayRates,{3,4,5,6,7,8,9,10,11,12,13,14},0)</f>
        <v>0</v>
      </c>
      <c r="Z89" s="16" t="str">
        <f ca="1"/>
        <v>Nobody</v>
      </c>
      <c r="AA89" s="261" t="str">
        <f ca="1"/>
        <v>M</v>
      </c>
      <c r="AB89" s="77" t="str">
        <f ca="1"/>
        <v>Daily</v>
      </c>
      <c r="AC89" s="77">
        <f ca="1"/>
        <v>0</v>
      </c>
      <c r="AD89" s="77">
        <f ca="1"/>
        <v>0</v>
      </c>
      <c r="AE89" s="77">
        <f ca="1"/>
        <v>0</v>
      </c>
      <c r="AF89" s="77">
        <f ca="1"/>
        <v>0</v>
      </c>
      <c r="AG89" s="261" t="str">
        <f ca="1"/>
        <v>N</v>
      </c>
      <c r="AH89" s="261">
        <f ca="1"/>
        <v>1</v>
      </c>
      <c r="AI89" s="261">
        <f ca="1"/>
        <v>1</v>
      </c>
      <c r="AJ89" s="262">
        <f ca="1"/>
        <v>0</v>
      </c>
    </row>
    <row r="90" spans="1:36" hidden="1" outlineLevel="1" x14ac:dyDescent="0.25">
      <c r="A90" s="120">
        <f t="shared" si="48"/>
        <v>0</v>
      </c>
      <c r="B90" s="231"/>
      <c r="C90" s="77"/>
      <c r="D90" s="238"/>
      <c r="E90" s="76" t="e">
        <f ca="1">SUMIF(payNonMonth,"="&amp;$X90,$E$362:OFFSET($E$362,ROWS(payNonMonth)-1,0))</f>
        <v>#NAME?</v>
      </c>
      <c r="F90" s="76"/>
      <c r="G90" s="77" t="e">
        <f t="shared" ca="1" si="49"/>
        <v>#NAME?</v>
      </c>
      <c r="H90" s="76" t="e">
        <f t="shared" ca="1" si="50"/>
        <v>#NAME?</v>
      </c>
      <c r="I90" s="76" t="e">
        <f t="shared" ca="1" si="51"/>
        <v>#NAME?</v>
      </c>
      <c r="J90" s="233" t="e">
        <f t="shared" ca="1" si="75"/>
        <v>#NAME?</v>
      </c>
      <c r="K90" s="76" t="e">
        <f t="shared" si="76"/>
        <v>#NAME?</v>
      </c>
      <c r="L90" s="76" t="e">
        <f t="shared" ca="1" si="47"/>
        <v>#NAME?</v>
      </c>
      <c r="M90" s="76" t="e">
        <f t="shared" ca="1" si="52"/>
        <v>#VALUE!</v>
      </c>
      <c r="N90" s="76" t="e">
        <f t="shared" ca="1" si="77"/>
        <v>#NAME?</v>
      </c>
      <c r="O90" s="76"/>
      <c r="P90" s="76"/>
      <c r="Q90" s="76" t="e">
        <f t="shared" ca="1" si="53"/>
        <v>#NAME?</v>
      </c>
      <c r="R90" s="76" t="e">
        <f t="shared" ca="1" si="31"/>
        <v>#VALUE!</v>
      </c>
      <c r="S90" s="76" t="e">
        <f t="shared" ca="1" si="54"/>
        <v>#NAME?</v>
      </c>
      <c r="T90" s="232" t="e">
        <f t="shared" ca="1" si="78"/>
        <v>#NAME?</v>
      </c>
      <c r="V90" s="120" t="e">
        <f t="shared" si="55"/>
        <v>#NAME?</v>
      </c>
      <c r="W90" s="120" t="str">
        <f t="shared" si="56"/>
        <v>:</v>
      </c>
      <c r="X90" s="120" t="str">
        <f t="shared" si="41"/>
        <v>:0</v>
      </c>
      <c r="Y90" s="250">
        <f t="array" aca="1" ref="Y90:AJ90" ca="1">VLOOKUP($D90&amp;":"&amp;$C90,tblPayRates,{3,4,5,6,7,8,9,10,11,12,13,14},0)</f>
        <v>0</v>
      </c>
      <c r="Z90" s="16" t="str">
        <f ca="1"/>
        <v>Nobody</v>
      </c>
      <c r="AA90" s="261" t="str">
        <f ca="1"/>
        <v>M</v>
      </c>
      <c r="AB90" s="77" t="str">
        <f ca="1"/>
        <v>Daily</v>
      </c>
      <c r="AC90" s="77">
        <f ca="1"/>
        <v>0</v>
      </c>
      <c r="AD90" s="77">
        <f ca="1"/>
        <v>0</v>
      </c>
      <c r="AE90" s="77">
        <f ca="1"/>
        <v>0</v>
      </c>
      <c r="AF90" s="77">
        <f ca="1"/>
        <v>0</v>
      </c>
      <c r="AG90" s="261" t="str">
        <f ca="1"/>
        <v>N</v>
      </c>
      <c r="AH90" s="261">
        <f ca="1"/>
        <v>1</v>
      </c>
      <c r="AI90" s="261">
        <f ca="1"/>
        <v>1</v>
      </c>
      <c r="AJ90" s="262">
        <f ca="1"/>
        <v>0</v>
      </c>
    </row>
    <row r="91" spans="1:36" hidden="1" outlineLevel="1" x14ac:dyDescent="0.25">
      <c r="A91" s="120">
        <f>GETPAYMONTH(B91)</f>
        <v>0</v>
      </c>
      <c r="B91" s="231"/>
      <c r="C91" s="77"/>
      <c r="D91" s="238"/>
      <c r="E91" s="76" t="e">
        <f ca="1">SUMIF(payNonMonth,"="&amp;$X91,$E$362:OFFSET($E$362,ROWS(payNonMonth)-1,0))</f>
        <v>#NAME?</v>
      </c>
      <c r="F91" s="76"/>
      <c r="G91" s="77" t="e">
        <f ca="1">IF(AND($E91=0,$F91=0),0,1)</f>
        <v>#NAME?</v>
      </c>
      <c r="H91" s="76" t="e">
        <f ca="1">ROUND(SUM(E91:F91)*AC91,2)</f>
        <v>#NAME?</v>
      </c>
      <c r="I91" s="76" t="e">
        <f ca="1">H91*OFFSET(payMgmtRate,0,$AH91)</f>
        <v>#NAME?</v>
      </c>
      <c r="J91" s="233" t="e">
        <f t="shared" ca="1" si="75"/>
        <v>#NAME?</v>
      </c>
      <c r="K91" s="76" t="e">
        <f t="shared" si="76"/>
        <v>#NAME?</v>
      </c>
      <c r="L91" s="76" t="e">
        <f t="shared" ca="1" si="47"/>
        <v>#NAME?</v>
      </c>
      <c r="M91" s="76" t="e">
        <f ca="1">GETSUPER(J91-SUM(K91:L91))</f>
        <v>#VALUE!</v>
      </c>
      <c r="N91" s="76" t="e">
        <f t="shared" ca="1" si="77"/>
        <v>#NAME?</v>
      </c>
      <c r="O91" s="76" t="e">
        <f ca="1">ROUND((J91-SUM(K91:N91))*InsureRate,2)</f>
        <v>#NAME?</v>
      </c>
      <c r="P91" s="76"/>
      <c r="Q91" s="76" t="e">
        <f ca="1">J91-SUM(K91:P91)</f>
        <v>#NAME?</v>
      </c>
      <c r="R91" s="76" t="e">
        <f ca="1">GETTAX(Q91,AA91)</f>
        <v>#VALUE!</v>
      </c>
      <c r="S91" s="76" t="e">
        <f ca="1">Q91-R91</f>
        <v>#NAME?</v>
      </c>
      <c r="T91" s="232" t="e">
        <f t="shared" ca="1" si="78"/>
        <v>#NAME?</v>
      </c>
      <c r="V91" s="120" t="e">
        <f>IF(EmpID="*","*",C91) &amp;":"&amp; $A91</f>
        <v>#NAME?</v>
      </c>
      <c r="W91" s="120" t="str">
        <f>$C91 &amp;":"&amp; $B91</f>
        <v>:</v>
      </c>
      <c r="X91" s="120" t="str">
        <f>C91 &amp;":"&amp; A91</f>
        <v>:0</v>
      </c>
      <c r="Y91" s="250">
        <f t="array" aca="1" ref="Y91:AJ91" ca="1">VLOOKUP($D91&amp;":"&amp;$C91,tblPayRates,{3,4,5,6,7,8,9,10,11,12,13,14},0)</f>
        <v>0</v>
      </c>
      <c r="Z91" s="16" t="str">
        <f ca="1"/>
        <v>Nobody</v>
      </c>
      <c r="AA91" s="261" t="str">
        <f ca="1"/>
        <v>M</v>
      </c>
      <c r="AB91" s="77" t="str">
        <f ca="1"/>
        <v>Daily</v>
      </c>
      <c r="AC91" s="77">
        <f ca="1"/>
        <v>0</v>
      </c>
      <c r="AD91" s="77">
        <f ca="1"/>
        <v>0</v>
      </c>
      <c r="AE91" s="77">
        <f ca="1"/>
        <v>0</v>
      </c>
      <c r="AF91" s="77">
        <f ca="1"/>
        <v>0</v>
      </c>
      <c r="AG91" s="261" t="str">
        <f ca="1"/>
        <v>N</v>
      </c>
      <c r="AH91" s="261">
        <f ca="1"/>
        <v>1</v>
      </c>
      <c r="AI91" s="261">
        <f ca="1"/>
        <v>1</v>
      </c>
      <c r="AJ91" s="262">
        <f ca="1"/>
        <v>0</v>
      </c>
    </row>
    <row r="92" spans="1:36" hidden="1" outlineLevel="1" x14ac:dyDescent="0.25">
      <c r="A92" s="120">
        <f t="shared" si="48"/>
        <v>0</v>
      </c>
      <c r="B92" s="231"/>
      <c r="C92" s="77"/>
      <c r="D92" s="238"/>
      <c r="E92" s="76" t="e">
        <f ca="1">SUMIF(payNonMonth,"="&amp;$X92,$E$362:OFFSET($E$362,ROWS(payNonMonth)-1,0))</f>
        <v>#NAME?</v>
      </c>
      <c r="F92" s="76"/>
      <c r="G92" s="77" t="e">
        <f t="shared" ca="1" si="49"/>
        <v>#NAME?</v>
      </c>
      <c r="H92" s="76" t="e">
        <f t="shared" ca="1" si="50"/>
        <v>#NAME?</v>
      </c>
      <c r="I92" s="76" t="e">
        <f t="shared" ca="1" si="51"/>
        <v>#NAME?</v>
      </c>
      <c r="J92" s="233" t="e">
        <f t="shared" ca="1" si="75"/>
        <v>#NAME?</v>
      </c>
      <c r="K92" s="76" t="e">
        <f t="shared" si="76"/>
        <v>#NAME?</v>
      </c>
      <c r="L92" s="76" t="e">
        <f t="shared" ca="1" si="47"/>
        <v>#NAME?</v>
      </c>
      <c r="M92" s="76" t="e">
        <f t="shared" ca="1" si="52"/>
        <v>#VALUE!</v>
      </c>
      <c r="N92" s="76" t="e">
        <f t="shared" ca="1" si="77"/>
        <v>#NAME?</v>
      </c>
      <c r="O92" s="76" t="e">
        <f t="shared" ca="1" si="57"/>
        <v>#NAME?</v>
      </c>
      <c r="P92" s="76"/>
      <c r="Q92" s="76" t="e">
        <f t="shared" ca="1" si="53"/>
        <v>#NAME?</v>
      </c>
      <c r="R92" s="76" t="e">
        <f t="shared" ca="1" si="31"/>
        <v>#VALUE!</v>
      </c>
      <c r="S92" s="76" t="e">
        <f t="shared" ca="1" si="54"/>
        <v>#NAME?</v>
      </c>
      <c r="T92" s="232" t="e">
        <f t="shared" ca="1" si="78"/>
        <v>#NAME?</v>
      </c>
      <c r="V92" s="120" t="e">
        <f t="shared" si="55"/>
        <v>#NAME?</v>
      </c>
      <c r="W92" s="120" t="str">
        <f t="shared" si="56"/>
        <v>:</v>
      </c>
      <c r="X92" s="120" t="str">
        <f t="shared" si="74"/>
        <v>:</v>
      </c>
      <c r="Y92" s="250">
        <f t="array" aca="1" ref="Y92:AJ92" ca="1">VLOOKUP($D92&amp;":"&amp;$C92,tblPayRates,{3,4,5,6,7,8,9,10,11,12,13,14},0)</f>
        <v>0</v>
      </c>
      <c r="Z92" s="16" t="str">
        <f ca="1"/>
        <v>Nobody</v>
      </c>
      <c r="AA92" s="261" t="str">
        <f ca="1"/>
        <v>M</v>
      </c>
      <c r="AB92" s="77" t="str">
        <f ca="1"/>
        <v>Daily</v>
      </c>
      <c r="AC92" s="77">
        <f ca="1"/>
        <v>0</v>
      </c>
      <c r="AD92" s="77">
        <f ca="1"/>
        <v>0</v>
      </c>
      <c r="AE92" s="77">
        <f ca="1"/>
        <v>0</v>
      </c>
      <c r="AF92" s="77">
        <f ca="1"/>
        <v>0</v>
      </c>
      <c r="AG92" s="261" t="str">
        <f ca="1"/>
        <v>N</v>
      </c>
      <c r="AH92" s="261">
        <f ca="1"/>
        <v>1</v>
      </c>
      <c r="AI92" s="261">
        <f ca="1"/>
        <v>1</v>
      </c>
      <c r="AJ92" s="262">
        <f ca="1"/>
        <v>0</v>
      </c>
    </row>
    <row r="93" spans="1:36" hidden="1" outlineLevel="1" x14ac:dyDescent="0.25">
      <c r="A93" s="120">
        <f t="shared" ref="A93:A122" si="79">GETPAYMONTH(B93)</f>
        <v>0</v>
      </c>
      <c r="B93" s="231"/>
      <c r="C93" s="77"/>
      <c r="D93" s="238"/>
      <c r="E93" s="76" t="e">
        <f ca="1">SUMIF(payNonMonth,"="&amp;$X93,$E$362:OFFSET($E$362,ROWS(payNonMonth)-1,0))</f>
        <v>#NAME?</v>
      </c>
      <c r="F93" s="76"/>
      <c r="G93" s="77" t="e">
        <f t="shared" ref="G93:G122" ca="1" si="80">IF(AND($E93=0,$F93=0),0,1)</f>
        <v>#NAME?</v>
      </c>
      <c r="H93" s="76" t="e">
        <f t="shared" ref="H93:H122" ca="1" si="81">ROUND(SUM(E93:F93)*AC93,2)</f>
        <v>#NAME?</v>
      </c>
      <c r="I93" s="76" t="e">
        <f t="shared" ref="I93:I122" ca="1" si="82">H93*OFFSET(payMgmtRate,0,$AH93)</f>
        <v>#NAME?</v>
      </c>
      <c r="J93" s="233" t="e">
        <f t="shared" ca="1" si="75"/>
        <v>#NAME?</v>
      </c>
      <c r="K93" s="76" t="e">
        <f t="shared" si="76"/>
        <v>#NAME?</v>
      </c>
      <c r="L93" s="76" t="e">
        <f t="shared" ca="1" si="47"/>
        <v>#NAME?</v>
      </c>
      <c r="M93" s="76" t="e">
        <f t="shared" ref="M93:M122" ca="1" si="83">GETSUPER(J93-SUM(K93:L93))</f>
        <v>#VALUE!</v>
      </c>
      <c r="N93" s="76" t="e">
        <f t="shared" ca="1" si="77"/>
        <v>#NAME?</v>
      </c>
      <c r="O93" s="76" t="e">
        <f t="shared" ca="1" si="57"/>
        <v>#NAME?</v>
      </c>
      <c r="P93" s="76"/>
      <c r="Q93" s="76" t="e">
        <f t="shared" ref="Q93:Q122" ca="1" si="84">J93-SUM(K93:P93)</f>
        <v>#NAME?</v>
      </c>
      <c r="R93" s="76" t="e">
        <f t="shared" ca="1" si="31"/>
        <v>#VALUE!</v>
      </c>
      <c r="S93" s="76" t="e">
        <f t="shared" ref="S93:S122" ca="1" si="85">Q93-R93</f>
        <v>#NAME?</v>
      </c>
      <c r="T93" s="232" t="e">
        <f t="shared" ca="1" si="78"/>
        <v>#NAME?</v>
      </c>
      <c r="V93" s="120" t="e">
        <f t="shared" ref="V93:V122" si="86">IF(EmpID="*","*",C93) &amp;":"&amp; $A93</f>
        <v>#NAME?</v>
      </c>
      <c r="W93" s="120" t="str">
        <f t="shared" ref="W93:W122" si="87">$C93 &amp;":"&amp; $B93</f>
        <v>:</v>
      </c>
      <c r="X93" s="120" t="str">
        <f t="shared" si="74"/>
        <v>:</v>
      </c>
      <c r="Y93" s="250">
        <f t="array" aca="1" ref="Y93:AJ93" ca="1">VLOOKUP($D93&amp;":"&amp;$C93,tblPayRates,{3,4,5,6,7,8,9,10,11,12,13,14},0)</f>
        <v>0</v>
      </c>
      <c r="Z93" s="16" t="str">
        <f ca="1"/>
        <v>Nobody</v>
      </c>
      <c r="AA93" s="261" t="str">
        <f ca="1"/>
        <v>M</v>
      </c>
      <c r="AB93" s="77" t="str">
        <f ca="1"/>
        <v>Daily</v>
      </c>
      <c r="AC93" s="77">
        <f ca="1"/>
        <v>0</v>
      </c>
      <c r="AD93" s="77">
        <f ca="1"/>
        <v>0</v>
      </c>
      <c r="AE93" s="77">
        <f ca="1"/>
        <v>0</v>
      </c>
      <c r="AF93" s="77">
        <f ca="1"/>
        <v>0</v>
      </c>
      <c r="AG93" s="261" t="str">
        <f ca="1"/>
        <v>N</v>
      </c>
      <c r="AH93" s="261">
        <f ca="1"/>
        <v>1</v>
      </c>
      <c r="AI93" s="261">
        <f ca="1"/>
        <v>1</v>
      </c>
      <c r="AJ93" s="262">
        <f ca="1"/>
        <v>0</v>
      </c>
    </row>
    <row r="94" spans="1:36" hidden="1" outlineLevel="1" x14ac:dyDescent="0.25">
      <c r="A94" s="120">
        <f t="shared" si="79"/>
        <v>0</v>
      </c>
      <c r="B94" s="231"/>
      <c r="C94" s="77"/>
      <c r="D94" s="238"/>
      <c r="E94" s="76" t="e">
        <f ca="1">SUMIF(payNonMonth,"="&amp;$X94,$E$362:OFFSET($E$362,ROWS(payNonMonth)-1,0))</f>
        <v>#NAME?</v>
      </c>
      <c r="F94" s="76"/>
      <c r="G94" s="77" t="e">
        <f t="shared" ca="1" si="80"/>
        <v>#NAME?</v>
      </c>
      <c r="H94" s="76" t="e">
        <f t="shared" ca="1" si="81"/>
        <v>#NAME?</v>
      </c>
      <c r="I94" s="76" t="e">
        <f t="shared" ca="1" si="82"/>
        <v>#NAME?</v>
      </c>
      <c r="J94" s="233" t="e">
        <f t="shared" ca="1" si="75"/>
        <v>#NAME?</v>
      </c>
      <c r="K94" s="76" t="e">
        <f t="shared" ref="K94:K112" si="88">SUMIF(payAllow,$W94,K$269:K$359)+SUMIF(payAllow,$W94,O$269:O$359)</f>
        <v>#NAME?</v>
      </c>
      <c r="L94" s="76" t="e">
        <f t="shared" ref="L94:L113" ca="1" si="89">SUMIF(payAllow,$W94,L$269:L$359)*$G94</f>
        <v>#NAME?</v>
      </c>
      <c r="M94" s="76" t="e">
        <f t="shared" ca="1" si="83"/>
        <v>#VALUE!</v>
      </c>
      <c r="N94" s="76" t="e">
        <f t="shared" ca="1" si="77"/>
        <v>#NAME?</v>
      </c>
      <c r="O94" s="76" t="e">
        <f t="shared" ref="O94:O124" ca="1" si="90">ROUND((J94-SUM(K94:N94))*InsureRate,2)</f>
        <v>#NAME?</v>
      </c>
      <c r="P94" s="76"/>
      <c r="Q94" s="76" t="e">
        <f t="shared" ca="1" si="84"/>
        <v>#NAME?</v>
      </c>
      <c r="R94" s="76" t="e">
        <f t="shared" ca="1" si="31"/>
        <v>#VALUE!</v>
      </c>
      <c r="S94" s="76" t="e">
        <f t="shared" ca="1" si="85"/>
        <v>#NAME?</v>
      </c>
      <c r="T94" s="232" t="e">
        <f t="shared" ref="T94:T112" ca="1" si="91">SUMIF(payAllow,W94,T$269:T$359)*G94</f>
        <v>#NAME?</v>
      </c>
      <c r="V94" s="120" t="e">
        <f t="shared" si="86"/>
        <v>#NAME?</v>
      </c>
      <c r="W94" s="120" t="str">
        <f t="shared" si="87"/>
        <v>:</v>
      </c>
      <c r="X94" s="120" t="str">
        <f t="shared" si="74"/>
        <v>:</v>
      </c>
      <c r="Y94" s="250">
        <f t="array" aca="1" ref="Y94:AJ94" ca="1">VLOOKUP($D94&amp;":"&amp;$C94,tblPayRates,{3,4,5,6,7,8,9,10,11,12,13,14},0)</f>
        <v>0</v>
      </c>
      <c r="Z94" s="16" t="str">
        <f ca="1"/>
        <v>Nobody</v>
      </c>
      <c r="AA94" s="261" t="str">
        <f ca="1"/>
        <v>M</v>
      </c>
      <c r="AB94" s="77" t="str">
        <f ca="1"/>
        <v>Daily</v>
      </c>
      <c r="AC94" s="77">
        <f ca="1"/>
        <v>0</v>
      </c>
      <c r="AD94" s="77">
        <f ca="1"/>
        <v>0</v>
      </c>
      <c r="AE94" s="77">
        <f ca="1"/>
        <v>0</v>
      </c>
      <c r="AF94" s="77">
        <f ca="1"/>
        <v>0</v>
      </c>
      <c r="AG94" s="261" t="str">
        <f ca="1"/>
        <v>N</v>
      </c>
      <c r="AH94" s="261">
        <f ca="1"/>
        <v>1</v>
      </c>
      <c r="AI94" s="261">
        <f ca="1"/>
        <v>1</v>
      </c>
      <c r="AJ94" s="262">
        <f ca="1"/>
        <v>0</v>
      </c>
    </row>
    <row r="95" spans="1:36" hidden="1" outlineLevel="1" x14ac:dyDescent="0.25">
      <c r="A95" s="120">
        <f t="shared" si="79"/>
        <v>0</v>
      </c>
      <c r="B95" s="231"/>
      <c r="C95" s="77"/>
      <c r="D95" s="238"/>
      <c r="E95" s="76" t="e">
        <f ca="1">SUMIF(payNonMonth,"="&amp;$X95,$E$362:OFFSET($E$362,ROWS(payNonMonth)-1,0))</f>
        <v>#NAME?</v>
      </c>
      <c r="F95" s="76"/>
      <c r="G95" s="77" t="e">
        <f t="shared" ca="1" si="80"/>
        <v>#NAME?</v>
      </c>
      <c r="H95" s="76" t="e">
        <f t="shared" ca="1" si="81"/>
        <v>#NAME?</v>
      </c>
      <c r="I95" s="76" t="e">
        <f t="shared" ca="1" si="82"/>
        <v>#NAME?</v>
      </c>
      <c r="J95" s="233" t="e">
        <f t="shared" ca="1" si="75"/>
        <v>#NAME?</v>
      </c>
      <c r="K95" s="76" t="e">
        <f t="shared" si="88"/>
        <v>#NAME?</v>
      </c>
      <c r="L95" s="76" t="e">
        <f t="shared" ca="1" si="89"/>
        <v>#NAME?</v>
      </c>
      <c r="M95" s="76" t="e">
        <f t="shared" ca="1" si="83"/>
        <v>#VALUE!</v>
      </c>
      <c r="N95" s="76" t="e">
        <f t="shared" ca="1" si="77"/>
        <v>#NAME?</v>
      </c>
      <c r="O95" s="76" t="e">
        <f t="shared" ca="1" si="90"/>
        <v>#NAME?</v>
      </c>
      <c r="P95" s="76"/>
      <c r="Q95" s="76" t="e">
        <f t="shared" ca="1" si="84"/>
        <v>#NAME?</v>
      </c>
      <c r="R95" s="76" t="e">
        <f t="shared" ca="1" si="31"/>
        <v>#VALUE!</v>
      </c>
      <c r="S95" s="76" t="e">
        <f t="shared" ca="1" si="85"/>
        <v>#NAME?</v>
      </c>
      <c r="T95" s="232" t="e">
        <f t="shared" ca="1" si="91"/>
        <v>#NAME?</v>
      </c>
      <c r="V95" s="120" t="e">
        <f t="shared" si="86"/>
        <v>#NAME?</v>
      </c>
      <c r="W95" s="120" t="str">
        <f t="shared" si="87"/>
        <v>:</v>
      </c>
      <c r="X95" s="120" t="str">
        <f t="shared" si="74"/>
        <v>:</v>
      </c>
      <c r="Y95" s="250">
        <f t="array" aca="1" ref="Y95:AJ95" ca="1">VLOOKUP($D95&amp;":"&amp;$C95,tblPayRates,{3,4,5,6,7,8,9,10,11,12,13,14},0)</f>
        <v>0</v>
      </c>
      <c r="Z95" s="16" t="str">
        <f ca="1"/>
        <v>Nobody</v>
      </c>
      <c r="AA95" s="261" t="str">
        <f ca="1"/>
        <v>M</v>
      </c>
      <c r="AB95" s="77" t="str">
        <f ca="1"/>
        <v>Daily</v>
      </c>
      <c r="AC95" s="77">
        <f ca="1"/>
        <v>0</v>
      </c>
      <c r="AD95" s="77">
        <f ca="1"/>
        <v>0</v>
      </c>
      <c r="AE95" s="77">
        <f ca="1"/>
        <v>0</v>
      </c>
      <c r="AF95" s="77">
        <f ca="1"/>
        <v>0</v>
      </c>
      <c r="AG95" s="261" t="str">
        <f ca="1"/>
        <v>N</v>
      </c>
      <c r="AH95" s="261">
        <f ca="1"/>
        <v>1</v>
      </c>
      <c r="AI95" s="261">
        <f ca="1"/>
        <v>1</v>
      </c>
      <c r="AJ95" s="262">
        <f ca="1"/>
        <v>0</v>
      </c>
    </row>
    <row r="96" spans="1:36" hidden="1" outlineLevel="1" x14ac:dyDescent="0.25">
      <c r="A96" s="120">
        <f t="shared" si="79"/>
        <v>0</v>
      </c>
      <c r="B96" s="231"/>
      <c r="C96" s="77"/>
      <c r="D96" s="238"/>
      <c r="E96" s="76" t="e">
        <f ca="1">SUMIF(payNonMonth,"="&amp;$X96,$E$362:OFFSET($E$362,ROWS(payNonMonth)-1,0))</f>
        <v>#NAME?</v>
      </c>
      <c r="F96" s="76"/>
      <c r="G96" s="77" t="e">
        <f t="shared" ca="1" si="80"/>
        <v>#NAME?</v>
      </c>
      <c r="H96" s="76" t="e">
        <f t="shared" ca="1" si="81"/>
        <v>#NAME?</v>
      </c>
      <c r="I96" s="76" t="e">
        <f t="shared" ca="1" si="82"/>
        <v>#NAME?</v>
      </c>
      <c r="J96" s="233" t="e">
        <f t="shared" ca="1" si="75"/>
        <v>#NAME?</v>
      </c>
      <c r="K96" s="76" t="e">
        <f t="shared" si="88"/>
        <v>#NAME?</v>
      </c>
      <c r="L96" s="76" t="e">
        <f t="shared" ca="1" si="89"/>
        <v>#NAME?</v>
      </c>
      <c r="M96" s="76" t="e">
        <f t="shared" ca="1" si="83"/>
        <v>#VALUE!</v>
      </c>
      <c r="N96" s="76" t="e">
        <f t="shared" ca="1" si="77"/>
        <v>#NAME?</v>
      </c>
      <c r="O96" s="76" t="e">
        <f t="shared" ca="1" si="90"/>
        <v>#NAME?</v>
      </c>
      <c r="P96" s="76"/>
      <c r="Q96" s="76" t="e">
        <f t="shared" ca="1" si="84"/>
        <v>#NAME?</v>
      </c>
      <c r="R96" s="76" t="e">
        <f t="shared" ca="1" si="31"/>
        <v>#VALUE!</v>
      </c>
      <c r="S96" s="76" t="e">
        <f t="shared" ca="1" si="85"/>
        <v>#NAME?</v>
      </c>
      <c r="T96" s="232" t="e">
        <f t="shared" ca="1" si="91"/>
        <v>#NAME?</v>
      </c>
      <c r="V96" s="120" t="e">
        <f t="shared" si="86"/>
        <v>#NAME?</v>
      </c>
      <c r="W96" s="120" t="str">
        <f t="shared" si="87"/>
        <v>:</v>
      </c>
      <c r="X96" s="120" t="str">
        <f t="shared" si="74"/>
        <v>:</v>
      </c>
      <c r="Y96" s="250">
        <f t="array" aca="1" ref="Y96:AJ96" ca="1">VLOOKUP($D96&amp;":"&amp;$C96,tblPayRates,{3,4,5,6,7,8,9,10,11,12,13,14},0)</f>
        <v>0</v>
      </c>
      <c r="Z96" s="16" t="str">
        <f ca="1"/>
        <v>Nobody</v>
      </c>
      <c r="AA96" s="261" t="str">
        <f ca="1"/>
        <v>M</v>
      </c>
      <c r="AB96" s="77" t="str">
        <f ca="1"/>
        <v>Daily</v>
      </c>
      <c r="AC96" s="77">
        <f ca="1"/>
        <v>0</v>
      </c>
      <c r="AD96" s="77">
        <f ca="1"/>
        <v>0</v>
      </c>
      <c r="AE96" s="77">
        <f ca="1"/>
        <v>0</v>
      </c>
      <c r="AF96" s="77">
        <f ca="1"/>
        <v>0</v>
      </c>
      <c r="AG96" s="261" t="str">
        <f ca="1"/>
        <v>N</v>
      </c>
      <c r="AH96" s="261">
        <f ca="1"/>
        <v>1</v>
      </c>
      <c r="AI96" s="261">
        <f ca="1"/>
        <v>1</v>
      </c>
      <c r="AJ96" s="262">
        <f ca="1"/>
        <v>0</v>
      </c>
    </row>
    <row r="97" spans="1:36" hidden="1" outlineLevel="1" x14ac:dyDescent="0.25">
      <c r="A97" s="120">
        <f t="shared" si="79"/>
        <v>0</v>
      </c>
      <c r="B97" s="231"/>
      <c r="C97" s="77"/>
      <c r="D97" s="238"/>
      <c r="E97" s="76" t="e">
        <f ca="1">SUMIF(payNonMonth,"="&amp;$X97,$E$362:OFFSET($E$362,ROWS(payNonMonth)-1,0))</f>
        <v>#NAME?</v>
      </c>
      <c r="F97" s="76"/>
      <c r="G97" s="77" t="e">
        <f t="shared" ca="1" si="80"/>
        <v>#NAME?</v>
      </c>
      <c r="H97" s="76" t="e">
        <f t="shared" ca="1" si="81"/>
        <v>#NAME?</v>
      </c>
      <c r="I97" s="76" t="e">
        <f t="shared" ca="1" si="82"/>
        <v>#NAME?</v>
      </c>
      <c r="J97" s="233" t="e">
        <f t="shared" ca="1" si="75"/>
        <v>#NAME?</v>
      </c>
      <c r="K97" s="76" t="e">
        <f t="shared" si="88"/>
        <v>#NAME?</v>
      </c>
      <c r="L97" s="76" t="e">
        <f t="shared" ca="1" si="89"/>
        <v>#NAME?</v>
      </c>
      <c r="M97" s="76" t="e">
        <f t="shared" ca="1" si="83"/>
        <v>#VALUE!</v>
      </c>
      <c r="N97" s="76" t="e">
        <f t="shared" ca="1" si="77"/>
        <v>#NAME?</v>
      </c>
      <c r="O97" s="76" t="e">
        <f t="shared" ca="1" si="90"/>
        <v>#NAME?</v>
      </c>
      <c r="P97" s="76"/>
      <c r="Q97" s="76" t="e">
        <f t="shared" ca="1" si="84"/>
        <v>#NAME?</v>
      </c>
      <c r="R97" s="76" t="e">
        <f t="shared" ref="R97:R150" ca="1" si="92">GETTAX(Q97,AA97)</f>
        <v>#VALUE!</v>
      </c>
      <c r="S97" s="76" t="e">
        <f t="shared" ca="1" si="85"/>
        <v>#NAME?</v>
      </c>
      <c r="T97" s="232" t="e">
        <f t="shared" ca="1" si="91"/>
        <v>#NAME?</v>
      </c>
      <c r="V97" s="120" t="e">
        <f t="shared" si="86"/>
        <v>#NAME?</v>
      </c>
      <c r="W97" s="120" t="str">
        <f t="shared" si="87"/>
        <v>:</v>
      </c>
      <c r="X97" s="120" t="str">
        <f t="shared" si="74"/>
        <v>:</v>
      </c>
      <c r="Y97" s="250">
        <f t="array" aca="1" ref="Y97:AJ97" ca="1">VLOOKUP($D97&amp;":"&amp;$C97,tblPayRates,{3,4,5,6,7,8,9,10,11,12,13,14},0)</f>
        <v>0</v>
      </c>
      <c r="Z97" s="16" t="str">
        <f ca="1"/>
        <v>Nobody</v>
      </c>
      <c r="AA97" s="261" t="str">
        <f ca="1"/>
        <v>M</v>
      </c>
      <c r="AB97" s="77" t="str">
        <f ca="1"/>
        <v>Daily</v>
      </c>
      <c r="AC97" s="77">
        <f ca="1"/>
        <v>0</v>
      </c>
      <c r="AD97" s="77">
        <f ca="1"/>
        <v>0</v>
      </c>
      <c r="AE97" s="77">
        <f ca="1"/>
        <v>0</v>
      </c>
      <c r="AF97" s="77">
        <f ca="1"/>
        <v>0</v>
      </c>
      <c r="AG97" s="261" t="str">
        <f ca="1"/>
        <v>N</v>
      </c>
      <c r="AH97" s="261">
        <f ca="1"/>
        <v>1</v>
      </c>
      <c r="AI97" s="261">
        <f ca="1"/>
        <v>1</v>
      </c>
      <c r="AJ97" s="262">
        <f ca="1"/>
        <v>0</v>
      </c>
    </row>
    <row r="98" spans="1:36" hidden="1" outlineLevel="1" x14ac:dyDescent="0.25">
      <c r="A98" s="120">
        <f t="shared" si="79"/>
        <v>0</v>
      </c>
      <c r="B98" s="231"/>
      <c r="C98" s="77"/>
      <c r="D98" s="238"/>
      <c r="E98" s="76" t="e">
        <f ca="1">SUMIF(payNonMonth,"="&amp;$X98,$E$362:OFFSET($E$362,ROWS(payNonMonth)-1,0))</f>
        <v>#NAME?</v>
      </c>
      <c r="F98" s="76"/>
      <c r="G98" s="77" t="e">
        <f t="shared" ca="1" si="80"/>
        <v>#NAME?</v>
      </c>
      <c r="H98" s="76" t="e">
        <f t="shared" ca="1" si="81"/>
        <v>#NAME?</v>
      </c>
      <c r="I98" s="76" t="e">
        <f t="shared" ca="1" si="82"/>
        <v>#NAME?</v>
      </c>
      <c r="J98" s="233" t="e">
        <f t="shared" ca="1" si="75"/>
        <v>#NAME?</v>
      </c>
      <c r="K98" s="76" t="e">
        <f t="shared" si="88"/>
        <v>#NAME?</v>
      </c>
      <c r="L98" s="76" t="e">
        <f t="shared" ca="1" si="89"/>
        <v>#NAME?</v>
      </c>
      <c r="M98" s="76" t="e">
        <f t="shared" ca="1" si="83"/>
        <v>#VALUE!</v>
      </c>
      <c r="N98" s="76" t="e">
        <f t="shared" ca="1" si="77"/>
        <v>#NAME?</v>
      </c>
      <c r="O98" s="76" t="e">
        <f t="shared" ca="1" si="90"/>
        <v>#NAME?</v>
      </c>
      <c r="P98" s="76"/>
      <c r="Q98" s="76" t="e">
        <f t="shared" ca="1" si="84"/>
        <v>#NAME?</v>
      </c>
      <c r="R98" s="76" t="e">
        <f t="shared" ca="1" si="92"/>
        <v>#VALUE!</v>
      </c>
      <c r="S98" s="76" t="e">
        <f t="shared" ca="1" si="85"/>
        <v>#NAME?</v>
      </c>
      <c r="T98" s="232" t="e">
        <f t="shared" ca="1" si="91"/>
        <v>#NAME?</v>
      </c>
      <c r="V98" s="120" t="e">
        <f t="shared" si="86"/>
        <v>#NAME?</v>
      </c>
      <c r="W98" s="120" t="str">
        <f t="shared" si="87"/>
        <v>:</v>
      </c>
      <c r="X98" s="120" t="str">
        <f t="shared" ref="X98:X124" si="93">C98 &amp;":"&amp; A98</f>
        <v>:0</v>
      </c>
      <c r="Y98" s="250">
        <f t="array" aca="1" ref="Y98:AJ98" ca="1">VLOOKUP($D98&amp;":"&amp;$C98,tblPayRates,{3,4,5,6,7,8,9,10,11,12,13,14},0)</f>
        <v>0</v>
      </c>
      <c r="Z98" s="16" t="str">
        <f ca="1"/>
        <v>Nobody</v>
      </c>
      <c r="AA98" s="261" t="str">
        <f ca="1"/>
        <v>M</v>
      </c>
      <c r="AB98" s="77" t="str">
        <f ca="1"/>
        <v>Daily</v>
      </c>
      <c r="AC98" s="77">
        <f ca="1"/>
        <v>0</v>
      </c>
      <c r="AD98" s="77">
        <f ca="1"/>
        <v>0</v>
      </c>
      <c r="AE98" s="77">
        <f ca="1"/>
        <v>0</v>
      </c>
      <c r="AF98" s="77">
        <f ca="1"/>
        <v>0</v>
      </c>
      <c r="AG98" s="261" t="str">
        <f ca="1"/>
        <v>N</v>
      </c>
      <c r="AH98" s="261">
        <f ca="1"/>
        <v>1</v>
      </c>
      <c r="AI98" s="261">
        <f ca="1"/>
        <v>1</v>
      </c>
      <c r="AJ98" s="262">
        <f ca="1"/>
        <v>0</v>
      </c>
    </row>
    <row r="99" spans="1:36" hidden="1" outlineLevel="1" x14ac:dyDescent="0.25">
      <c r="A99" s="120">
        <f t="shared" si="79"/>
        <v>0</v>
      </c>
      <c r="B99" s="231"/>
      <c r="C99" s="77"/>
      <c r="D99" s="238"/>
      <c r="E99" s="76" t="e">
        <f ca="1">SUMIF(payNonMonth,"="&amp;$X99,$E$362:OFFSET($E$362,ROWS(payNonMonth)-1,0))</f>
        <v>#NAME?</v>
      </c>
      <c r="F99" s="76"/>
      <c r="G99" s="77" t="e">
        <f t="shared" ca="1" si="80"/>
        <v>#NAME?</v>
      </c>
      <c r="H99" s="76" t="e">
        <f t="shared" ca="1" si="81"/>
        <v>#NAME?</v>
      </c>
      <c r="I99" s="76" t="e">
        <f t="shared" ca="1" si="82"/>
        <v>#NAME?</v>
      </c>
      <c r="J99" s="233" t="e">
        <f t="shared" ca="1" si="75"/>
        <v>#NAME?</v>
      </c>
      <c r="K99" s="76" t="e">
        <f t="shared" si="88"/>
        <v>#NAME?</v>
      </c>
      <c r="L99" s="76" t="e">
        <f t="shared" ca="1" si="89"/>
        <v>#NAME?</v>
      </c>
      <c r="M99" s="76" t="e">
        <f t="shared" ca="1" si="83"/>
        <v>#VALUE!</v>
      </c>
      <c r="N99" s="76" t="e">
        <f t="shared" ca="1" si="77"/>
        <v>#NAME?</v>
      </c>
      <c r="O99" s="76" t="e">
        <f t="shared" ca="1" si="90"/>
        <v>#NAME?</v>
      </c>
      <c r="P99" s="76"/>
      <c r="Q99" s="76" t="e">
        <f t="shared" ca="1" si="84"/>
        <v>#NAME?</v>
      </c>
      <c r="R99" s="76" t="e">
        <f t="shared" ca="1" si="92"/>
        <v>#VALUE!</v>
      </c>
      <c r="S99" s="76" t="e">
        <f t="shared" ca="1" si="85"/>
        <v>#NAME?</v>
      </c>
      <c r="T99" s="232" t="e">
        <f t="shared" ca="1" si="91"/>
        <v>#NAME?</v>
      </c>
      <c r="V99" s="120" t="e">
        <f t="shared" si="86"/>
        <v>#NAME?</v>
      </c>
      <c r="W99" s="120" t="str">
        <f t="shared" si="87"/>
        <v>:</v>
      </c>
      <c r="X99" s="120" t="str">
        <f t="shared" si="93"/>
        <v>:0</v>
      </c>
      <c r="Y99" s="250">
        <f t="array" aca="1" ref="Y99:AJ99" ca="1">VLOOKUP($D99&amp;":"&amp;$C99,tblPayRates,{3,4,5,6,7,8,9,10,11,12,13,14},0)</f>
        <v>0</v>
      </c>
      <c r="Z99" s="16" t="str">
        <f ca="1"/>
        <v>Nobody</v>
      </c>
      <c r="AA99" s="261" t="str">
        <f ca="1"/>
        <v>M</v>
      </c>
      <c r="AB99" s="77" t="str">
        <f ca="1"/>
        <v>Daily</v>
      </c>
      <c r="AC99" s="77">
        <f ca="1"/>
        <v>0</v>
      </c>
      <c r="AD99" s="77">
        <f ca="1"/>
        <v>0</v>
      </c>
      <c r="AE99" s="77">
        <f ca="1"/>
        <v>0</v>
      </c>
      <c r="AF99" s="77">
        <f ca="1"/>
        <v>0</v>
      </c>
      <c r="AG99" s="261" t="str">
        <f ca="1"/>
        <v>N</v>
      </c>
      <c r="AH99" s="261">
        <f ca="1"/>
        <v>1</v>
      </c>
      <c r="AI99" s="261">
        <f ca="1"/>
        <v>1</v>
      </c>
      <c r="AJ99" s="262">
        <f ca="1"/>
        <v>0</v>
      </c>
    </row>
    <row r="100" spans="1:36" hidden="1" outlineLevel="1" x14ac:dyDescent="0.25">
      <c r="A100" s="120">
        <f t="shared" si="79"/>
        <v>0</v>
      </c>
      <c r="B100" s="231"/>
      <c r="C100" s="77"/>
      <c r="D100" s="238"/>
      <c r="E100" s="76" t="e">
        <f ca="1">SUMIF(payNonMonth,"="&amp;$X100,$E$362:OFFSET($E$362,ROWS(payNonMonth)-1,0))</f>
        <v>#NAME?</v>
      </c>
      <c r="F100" s="76"/>
      <c r="G100" s="77" t="e">
        <f t="shared" ca="1" si="80"/>
        <v>#NAME?</v>
      </c>
      <c r="H100" s="76" t="e">
        <f t="shared" ca="1" si="81"/>
        <v>#NAME?</v>
      </c>
      <c r="I100" s="76" t="e">
        <f t="shared" ca="1" si="82"/>
        <v>#NAME?</v>
      </c>
      <c r="J100" s="233" t="e">
        <f t="shared" ca="1" si="75"/>
        <v>#NAME?</v>
      </c>
      <c r="K100" s="76" t="e">
        <f t="shared" si="88"/>
        <v>#NAME?</v>
      </c>
      <c r="L100" s="76" t="e">
        <f t="shared" ca="1" si="89"/>
        <v>#NAME?</v>
      </c>
      <c r="M100" s="76" t="e">
        <f t="shared" ca="1" si="83"/>
        <v>#VALUE!</v>
      </c>
      <c r="N100" s="76" t="e">
        <f t="shared" ca="1" si="77"/>
        <v>#NAME?</v>
      </c>
      <c r="O100" s="76" t="e">
        <f t="shared" ca="1" si="90"/>
        <v>#NAME?</v>
      </c>
      <c r="P100" s="76"/>
      <c r="Q100" s="76" t="e">
        <f t="shared" ca="1" si="84"/>
        <v>#NAME?</v>
      </c>
      <c r="R100" s="76" t="e">
        <f t="shared" ca="1" si="92"/>
        <v>#VALUE!</v>
      </c>
      <c r="S100" s="76" t="e">
        <f t="shared" ca="1" si="85"/>
        <v>#NAME?</v>
      </c>
      <c r="T100" s="232" t="e">
        <f t="shared" ca="1" si="91"/>
        <v>#NAME?</v>
      </c>
      <c r="V100" s="120" t="e">
        <f t="shared" si="86"/>
        <v>#NAME?</v>
      </c>
      <c r="W100" s="120" t="str">
        <f t="shared" si="87"/>
        <v>:</v>
      </c>
      <c r="X100" s="120" t="str">
        <f t="shared" si="93"/>
        <v>:0</v>
      </c>
      <c r="Y100" s="250">
        <f t="array" aca="1" ref="Y100:AJ100" ca="1">VLOOKUP($D100&amp;":"&amp;$C100,tblPayRates,{3,4,5,6,7,8,9,10,11,12,13,14},0)</f>
        <v>0</v>
      </c>
      <c r="Z100" s="16" t="str">
        <f ca="1"/>
        <v>Nobody</v>
      </c>
      <c r="AA100" s="261" t="str">
        <f ca="1"/>
        <v>M</v>
      </c>
      <c r="AB100" s="77" t="str">
        <f ca="1"/>
        <v>Daily</v>
      </c>
      <c r="AC100" s="77">
        <f ca="1"/>
        <v>0</v>
      </c>
      <c r="AD100" s="77">
        <f ca="1"/>
        <v>0</v>
      </c>
      <c r="AE100" s="77">
        <f ca="1"/>
        <v>0</v>
      </c>
      <c r="AF100" s="77">
        <f ca="1"/>
        <v>0</v>
      </c>
      <c r="AG100" s="261" t="str">
        <f ca="1"/>
        <v>N</v>
      </c>
      <c r="AH100" s="261">
        <f ca="1"/>
        <v>1</v>
      </c>
      <c r="AI100" s="261">
        <f ca="1"/>
        <v>1</v>
      </c>
      <c r="AJ100" s="262">
        <f ca="1"/>
        <v>0</v>
      </c>
    </row>
    <row r="101" spans="1:36" hidden="1" outlineLevel="1" x14ac:dyDescent="0.25">
      <c r="A101" s="120">
        <f t="shared" si="79"/>
        <v>0</v>
      </c>
      <c r="B101" s="231"/>
      <c r="C101" s="77"/>
      <c r="D101" s="238"/>
      <c r="E101" s="76" t="e">
        <f ca="1">SUMIF(payNonMonth,"="&amp;$X101,$E$362:OFFSET($E$362,ROWS(payNonMonth)-1,0))</f>
        <v>#NAME?</v>
      </c>
      <c r="F101" s="76"/>
      <c r="G101" s="77" t="e">
        <f t="shared" ca="1" si="80"/>
        <v>#NAME?</v>
      </c>
      <c r="H101" s="76" t="e">
        <f t="shared" ca="1" si="81"/>
        <v>#NAME?</v>
      </c>
      <c r="I101" s="76" t="e">
        <f t="shared" ca="1" si="82"/>
        <v>#NAME?</v>
      </c>
      <c r="J101" s="233" t="e">
        <f t="shared" ca="1" si="75"/>
        <v>#NAME?</v>
      </c>
      <c r="K101" s="76" t="e">
        <f t="shared" si="88"/>
        <v>#NAME?</v>
      </c>
      <c r="L101" s="76" t="e">
        <f t="shared" ca="1" si="89"/>
        <v>#NAME?</v>
      </c>
      <c r="M101" s="76" t="e">
        <f t="shared" ca="1" si="83"/>
        <v>#VALUE!</v>
      </c>
      <c r="N101" s="76" t="e">
        <f t="shared" ca="1" si="77"/>
        <v>#NAME?</v>
      </c>
      <c r="O101" s="76"/>
      <c r="P101" s="76"/>
      <c r="Q101" s="76" t="e">
        <f t="shared" ca="1" si="84"/>
        <v>#NAME?</v>
      </c>
      <c r="R101" s="76" t="e">
        <f t="shared" ca="1" si="92"/>
        <v>#VALUE!</v>
      </c>
      <c r="S101" s="76" t="e">
        <f t="shared" ca="1" si="85"/>
        <v>#NAME?</v>
      </c>
      <c r="T101" s="232" t="e">
        <f t="shared" ca="1" si="91"/>
        <v>#NAME?</v>
      </c>
      <c r="V101" s="120" t="e">
        <f t="shared" si="86"/>
        <v>#NAME?</v>
      </c>
      <c r="W101" s="120" t="str">
        <f t="shared" si="87"/>
        <v>:</v>
      </c>
      <c r="X101" s="120" t="str">
        <f t="shared" si="93"/>
        <v>:0</v>
      </c>
      <c r="Y101" s="250">
        <f t="array" aca="1" ref="Y101:AJ101" ca="1">VLOOKUP($D101&amp;":"&amp;$C101,tblPayRates,{3,4,5,6,7,8,9,10,11,12,13,14},0)</f>
        <v>0</v>
      </c>
      <c r="Z101" s="16" t="str">
        <f ca="1"/>
        <v>Nobody</v>
      </c>
      <c r="AA101" s="261" t="str">
        <f ca="1"/>
        <v>M</v>
      </c>
      <c r="AB101" s="77" t="str">
        <f ca="1"/>
        <v>Daily</v>
      </c>
      <c r="AC101" s="77">
        <f ca="1"/>
        <v>0</v>
      </c>
      <c r="AD101" s="77">
        <f ca="1"/>
        <v>0</v>
      </c>
      <c r="AE101" s="77">
        <f ca="1"/>
        <v>0</v>
      </c>
      <c r="AF101" s="77">
        <f ca="1"/>
        <v>0</v>
      </c>
      <c r="AG101" s="261" t="str">
        <f ca="1"/>
        <v>N</v>
      </c>
      <c r="AH101" s="261">
        <f ca="1"/>
        <v>1</v>
      </c>
      <c r="AI101" s="261">
        <f ca="1"/>
        <v>1</v>
      </c>
      <c r="AJ101" s="262">
        <f ca="1"/>
        <v>0</v>
      </c>
    </row>
    <row r="102" spans="1:36" hidden="1" outlineLevel="1" x14ac:dyDescent="0.25">
      <c r="A102" s="120">
        <f t="shared" si="79"/>
        <v>0</v>
      </c>
      <c r="B102" s="231"/>
      <c r="C102" s="77"/>
      <c r="D102" s="238"/>
      <c r="E102" s="76" t="e">
        <f ca="1">SUMIF(payNonMonth,"="&amp;$X102,$E$362:OFFSET($E$362,ROWS(payNonMonth)-1,0))</f>
        <v>#NAME?</v>
      </c>
      <c r="F102" s="76"/>
      <c r="G102" s="77" t="e">
        <f t="shared" ca="1" si="80"/>
        <v>#NAME?</v>
      </c>
      <c r="H102" s="76" t="e">
        <f t="shared" ca="1" si="81"/>
        <v>#NAME?</v>
      </c>
      <c r="I102" s="76" t="e">
        <f t="shared" ca="1" si="82"/>
        <v>#NAME?</v>
      </c>
      <c r="J102" s="233" t="e">
        <f t="shared" ca="1" si="75"/>
        <v>#NAME?</v>
      </c>
      <c r="K102" s="76" t="e">
        <f t="shared" si="88"/>
        <v>#NAME?</v>
      </c>
      <c r="L102" s="76" t="e">
        <f t="shared" ca="1" si="89"/>
        <v>#NAME?</v>
      </c>
      <c r="M102" s="76" t="e">
        <f t="shared" ca="1" si="83"/>
        <v>#VALUE!</v>
      </c>
      <c r="N102" s="76" t="e">
        <f t="shared" ca="1" si="77"/>
        <v>#NAME?</v>
      </c>
      <c r="O102" s="76"/>
      <c r="P102" s="76"/>
      <c r="Q102" s="76" t="e">
        <f t="shared" ca="1" si="84"/>
        <v>#NAME?</v>
      </c>
      <c r="R102" s="76" t="e">
        <f t="shared" ca="1" si="92"/>
        <v>#VALUE!</v>
      </c>
      <c r="S102" s="76" t="e">
        <f t="shared" ca="1" si="85"/>
        <v>#NAME?</v>
      </c>
      <c r="T102" s="232" t="e">
        <f t="shared" ca="1" si="91"/>
        <v>#NAME?</v>
      </c>
      <c r="V102" s="120" t="e">
        <f t="shared" si="86"/>
        <v>#NAME?</v>
      </c>
      <c r="W102" s="120" t="str">
        <f t="shared" si="87"/>
        <v>:</v>
      </c>
      <c r="X102" s="120" t="str">
        <f t="shared" si="93"/>
        <v>:0</v>
      </c>
      <c r="Y102" s="250">
        <f t="array" aca="1" ref="Y102:AJ102" ca="1">VLOOKUP($D102&amp;":"&amp;$C102,tblPayRates,{3,4,5,6,7,8,9,10,11,12,13,14},0)</f>
        <v>0</v>
      </c>
      <c r="Z102" s="16" t="str">
        <f ca="1"/>
        <v>Nobody</v>
      </c>
      <c r="AA102" s="261" t="str">
        <f ca="1"/>
        <v>M</v>
      </c>
      <c r="AB102" s="77" t="str">
        <f ca="1"/>
        <v>Daily</v>
      </c>
      <c r="AC102" s="77">
        <f ca="1"/>
        <v>0</v>
      </c>
      <c r="AD102" s="77">
        <f ca="1"/>
        <v>0</v>
      </c>
      <c r="AE102" s="77">
        <f ca="1"/>
        <v>0</v>
      </c>
      <c r="AF102" s="77">
        <f ca="1"/>
        <v>0</v>
      </c>
      <c r="AG102" s="261" t="str">
        <f ca="1"/>
        <v>N</v>
      </c>
      <c r="AH102" s="261">
        <f ca="1"/>
        <v>1</v>
      </c>
      <c r="AI102" s="261">
        <f ca="1"/>
        <v>1</v>
      </c>
      <c r="AJ102" s="262">
        <f ca="1"/>
        <v>0</v>
      </c>
    </row>
    <row r="103" spans="1:36" hidden="1" outlineLevel="1" x14ac:dyDescent="0.25">
      <c r="A103" s="120">
        <f t="shared" si="79"/>
        <v>0</v>
      </c>
      <c r="B103" s="231"/>
      <c r="C103" s="77"/>
      <c r="D103" s="238"/>
      <c r="E103" s="76" t="e">
        <f ca="1">SUMIF(payNonMonth,"="&amp;$X103,$E$362:OFFSET($E$362,ROWS(payNonMonth)-1,0))</f>
        <v>#NAME?</v>
      </c>
      <c r="F103" s="76"/>
      <c r="G103" s="77" t="e">
        <f t="shared" ca="1" si="80"/>
        <v>#NAME?</v>
      </c>
      <c r="H103" s="76" t="e">
        <f t="shared" ca="1" si="81"/>
        <v>#NAME?</v>
      </c>
      <c r="I103" s="76" t="e">
        <f t="shared" ca="1" si="82"/>
        <v>#NAME?</v>
      </c>
      <c r="J103" s="233" t="e">
        <f t="shared" ca="1" si="75"/>
        <v>#NAME?</v>
      </c>
      <c r="K103" s="76" t="e">
        <f t="shared" si="88"/>
        <v>#NAME?</v>
      </c>
      <c r="L103" s="76" t="e">
        <f t="shared" ca="1" si="89"/>
        <v>#NAME?</v>
      </c>
      <c r="M103" s="76" t="e">
        <f t="shared" ca="1" si="83"/>
        <v>#VALUE!</v>
      </c>
      <c r="N103" s="76" t="e">
        <f t="shared" ca="1" si="77"/>
        <v>#NAME?</v>
      </c>
      <c r="O103" s="76" t="e">
        <f t="shared" ca="1" si="90"/>
        <v>#NAME?</v>
      </c>
      <c r="P103" s="76"/>
      <c r="Q103" s="76" t="e">
        <f t="shared" ca="1" si="84"/>
        <v>#NAME?</v>
      </c>
      <c r="R103" s="76" t="e">
        <f t="shared" ca="1" si="92"/>
        <v>#VALUE!</v>
      </c>
      <c r="S103" s="76" t="e">
        <f t="shared" ca="1" si="85"/>
        <v>#NAME?</v>
      </c>
      <c r="T103" s="232" t="e">
        <f t="shared" ca="1" si="91"/>
        <v>#NAME?</v>
      </c>
      <c r="V103" s="120" t="e">
        <f t="shared" si="86"/>
        <v>#NAME?</v>
      </c>
      <c r="W103" s="120" t="str">
        <f t="shared" si="87"/>
        <v>:</v>
      </c>
      <c r="X103" s="120" t="str">
        <f t="shared" si="93"/>
        <v>:0</v>
      </c>
      <c r="Y103" s="250">
        <f t="array" aca="1" ref="Y103:AJ103" ca="1">VLOOKUP($D103&amp;":"&amp;$C103,tblPayRates,{3,4,5,6,7,8,9,10,11,12,13,14},0)</f>
        <v>0</v>
      </c>
      <c r="Z103" s="16" t="str">
        <f ca="1"/>
        <v>Nobody</v>
      </c>
      <c r="AA103" s="261" t="str">
        <f ca="1"/>
        <v>M</v>
      </c>
      <c r="AB103" s="77" t="str">
        <f ca="1"/>
        <v>Daily</v>
      </c>
      <c r="AC103" s="77">
        <f ca="1"/>
        <v>0</v>
      </c>
      <c r="AD103" s="77">
        <f ca="1"/>
        <v>0</v>
      </c>
      <c r="AE103" s="77">
        <f ca="1"/>
        <v>0</v>
      </c>
      <c r="AF103" s="77">
        <f ca="1"/>
        <v>0</v>
      </c>
      <c r="AG103" s="261" t="str">
        <f ca="1"/>
        <v>N</v>
      </c>
      <c r="AH103" s="261">
        <f ca="1"/>
        <v>1</v>
      </c>
      <c r="AI103" s="261">
        <f ca="1"/>
        <v>1</v>
      </c>
      <c r="AJ103" s="262">
        <f ca="1"/>
        <v>0</v>
      </c>
    </row>
    <row r="104" spans="1:36" hidden="1" outlineLevel="1" x14ac:dyDescent="0.25">
      <c r="A104" s="120">
        <f t="shared" si="79"/>
        <v>0</v>
      </c>
      <c r="B104" s="231"/>
      <c r="C104" s="77"/>
      <c r="D104" s="238"/>
      <c r="E104" s="76" t="e">
        <f ca="1">SUMIF(payNonMonth,"="&amp;$X104,$E$362:OFFSET($E$362,ROWS(payNonMonth)-1,0))</f>
        <v>#NAME?</v>
      </c>
      <c r="F104" s="76"/>
      <c r="G104" s="77" t="e">
        <f t="shared" ca="1" si="80"/>
        <v>#NAME?</v>
      </c>
      <c r="H104" s="76" t="e">
        <f t="shared" ca="1" si="81"/>
        <v>#NAME?</v>
      </c>
      <c r="I104" s="76" t="e">
        <f t="shared" ca="1" si="82"/>
        <v>#NAME?</v>
      </c>
      <c r="J104" s="233" t="e">
        <f t="shared" ca="1" si="75"/>
        <v>#NAME?</v>
      </c>
      <c r="K104" s="76" t="e">
        <f t="shared" si="88"/>
        <v>#NAME?</v>
      </c>
      <c r="L104" s="76" t="e">
        <f t="shared" ca="1" si="89"/>
        <v>#NAME?</v>
      </c>
      <c r="M104" s="76" t="e">
        <f t="shared" ca="1" si="83"/>
        <v>#VALUE!</v>
      </c>
      <c r="N104" s="76" t="e">
        <f t="shared" ca="1" si="77"/>
        <v>#NAME?</v>
      </c>
      <c r="O104" s="76" t="e">
        <f t="shared" ca="1" si="90"/>
        <v>#NAME?</v>
      </c>
      <c r="P104" s="76"/>
      <c r="Q104" s="76" t="e">
        <f t="shared" ca="1" si="84"/>
        <v>#NAME?</v>
      </c>
      <c r="R104" s="76" t="e">
        <f t="shared" ca="1" si="92"/>
        <v>#VALUE!</v>
      </c>
      <c r="S104" s="76" t="e">
        <f t="shared" ca="1" si="85"/>
        <v>#NAME?</v>
      </c>
      <c r="T104" s="232" t="e">
        <f t="shared" ca="1" si="91"/>
        <v>#NAME?</v>
      </c>
      <c r="V104" s="120" t="e">
        <f t="shared" si="86"/>
        <v>#NAME?</v>
      </c>
      <c r="W104" s="120" t="str">
        <f t="shared" si="87"/>
        <v>:</v>
      </c>
      <c r="X104" s="120" t="str">
        <f t="shared" ref="X104:X107" si="94">C104 &amp;":"&amp; B104</f>
        <v>:</v>
      </c>
      <c r="Y104" s="250">
        <f t="array" aca="1" ref="Y104:AJ104" ca="1">VLOOKUP($D104&amp;":"&amp;$C104,tblPayRates,{3,4,5,6,7,8,9,10,11,12,13,14},0)</f>
        <v>0</v>
      </c>
      <c r="Z104" s="16" t="str">
        <f ca="1"/>
        <v>Nobody</v>
      </c>
      <c r="AA104" s="261" t="str">
        <f ca="1"/>
        <v>M</v>
      </c>
      <c r="AB104" s="77" t="str">
        <f ca="1"/>
        <v>Daily</v>
      </c>
      <c r="AC104" s="77">
        <f ca="1"/>
        <v>0</v>
      </c>
      <c r="AD104" s="77">
        <f ca="1"/>
        <v>0</v>
      </c>
      <c r="AE104" s="77">
        <f ca="1"/>
        <v>0</v>
      </c>
      <c r="AF104" s="77">
        <f ca="1"/>
        <v>0</v>
      </c>
      <c r="AG104" s="261" t="str">
        <f ca="1"/>
        <v>N</v>
      </c>
      <c r="AH104" s="261">
        <f ca="1"/>
        <v>1</v>
      </c>
      <c r="AI104" s="261">
        <f ca="1"/>
        <v>1</v>
      </c>
      <c r="AJ104" s="262">
        <f ca="1"/>
        <v>0</v>
      </c>
    </row>
    <row r="105" spans="1:36" hidden="1" outlineLevel="1" x14ac:dyDescent="0.25">
      <c r="A105" s="120">
        <f t="shared" si="79"/>
        <v>0</v>
      </c>
      <c r="B105" s="231"/>
      <c r="C105" s="77"/>
      <c r="D105" s="238"/>
      <c r="E105" s="76" t="e">
        <f ca="1">SUMIF(payNonMonth,"="&amp;$X105,$E$362:OFFSET($E$362,ROWS(payNonMonth)-1,0))</f>
        <v>#NAME?</v>
      </c>
      <c r="F105" s="76"/>
      <c r="G105" s="77" t="e">
        <f t="shared" ca="1" si="80"/>
        <v>#NAME?</v>
      </c>
      <c r="H105" s="76" t="e">
        <f t="shared" ca="1" si="81"/>
        <v>#NAME?</v>
      </c>
      <c r="I105" s="76" t="e">
        <f t="shared" ca="1" si="82"/>
        <v>#NAME?</v>
      </c>
      <c r="J105" s="233" t="e">
        <f t="shared" ca="1" si="75"/>
        <v>#NAME?</v>
      </c>
      <c r="K105" s="76" t="e">
        <f t="shared" si="88"/>
        <v>#NAME?</v>
      </c>
      <c r="L105" s="76" t="e">
        <f t="shared" ca="1" si="89"/>
        <v>#NAME?</v>
      </c>
      <c r="M105" s="76" t="e">
        <f t="shared" ca="1" si="83"/>
        <v>#VALUE!</v>
      </c>
      <c r="N105" s="76" t="e">
        <f t="shared" ca="1" si="77"/>
        <v>#NAME?</v>
      </c>
      <c r="O105" s="76" t="e">
        <f t="shared" ca="1" si="90"/>
        <v>#NAME?</v>
      </c>
      <c r="P105" s="76"/>
      <c r="Q105" s="76" t="e">
        <f t="shared" ca="1" si="84"/>
        <v>#NAME?</v>
      </c>
      <c r="R105" s="76" t="e">
        <f t="shared" ca="1" si="92"/>
        <v>#VALUE!</v>
      </c>
      <c r="S105" s="76" t="e">
        <f t="shared" ca="1" si="85"/>
        <v>#NAME?</v>
      </c>
      <c r="T105" s="232" t="e">
        <f t="shared" ca="1" si="91"/>
        <v>#NAME?</v>
      </c>
      <c r="V105" s="120" t="e">
        <f t="shared" si="86"/>
        <v>#NAME?</v>
      </c>
      <c r="W105" s="120" t="str">
        <f t="shared" si="87"/>
        <v>:</v>
      </c>
      <c r="X105" s="120" t="str">
        <f t="shared" si="94"/>
        <v>:</v>
      </c>
      <c r="Y105" s="250">
        <f t="array" aca="1" ref="Y105:AJ105" ca="1">VLOOKUP($D105&amp;":"&amp;$C105,tblPayRates,{3,4,5,6,7,8,9,10,11,12,13,14},0)</f>
        <v>0</v>
      </c>
      <c r="Z105" s="16" t="str">
        <f ca="1"/>
        <v>Nobody</v>
      </c>
      <c r="AA105" s="261" t="str">
        <f ca="1"/>
        <v>M</v>
      </c>
      <c r="AB105" s="77" t="str">
        <f ca="1"/>
        <v>Daily</v>
      </c>
      <c r="AC105" s="77">
        <f ca="1"/>
        <v>0</v>
      </c>
      <c r="AD105" s="77">
        <f ca="1"/>
        <v>0</v>
      </c>
      <c r="AE105" s="77">
        <f ca="1"/>
        <v>0</v>
      </c>
      <c r="AF105" s="77">
        <f ca="1"/>
        <v>0</v>
      </c>
      <c r="AG105" s="261" t="str">
        <f ca="1"/>
        <v>N</v>
      </c>
      <c r="AH105" s="261">
        <f ca="1"/>
        <v>1</v>
      </c>
      <c r="AI105" s="261">
        <f ca="1"/>
        <v>1</v>
      </c>
      <c r="AJ105" s="262">
        <f ca="1"/>
        <v>0</v>
      </c>
    </row>
    <row r="106" spans="1:36" hidden="1" outlineLevel="1" x14ac:dyDescent="0.25">
      <c r="A106" s="120">
        <f t="shared" si="79"/>
        <v>0</v>
      </c>
      <c r="B106" s="231"/>
      <c r="C106" s="77"/>
      <c r="D106" s="238"/>
      <c r="E106" s="76" t="e">
        <f ca="1">SUMIF(payNonMonth,"="&amp;$X106,$E$362:OFFSET($E$362,ROWS(payNonMonth)-1,0))</f>
        <v>#NAME?</v>
      </c>
      <c r="F106" s="76"/>
      <c r="G106" s="77" t="e">
        <f t="shared" ca="1" si="80"/>
        <v>#NAME?</v>
      </c>
      <c r="H106" s="76" t="e">
        <f t="shared" ca="1" si="81"/>
        <v>#NAME?</v>
      </c>
      <c r="I106" s="76" t="e">
        <f t="shared" ca="1" si="82"/>
        <v>#NAME?</v>
      </c>
      <c r="J106" s="233" t="e">
        <f t="shared" ca="1" si="75"/>
        <v>#NAME?</v>
      </c>
      <c r="K106" s="76" t="e">
        <f t="shared" si="88"/>
        <v>#NAME?</v>
      </c>
      <c r="L106" s="76" t="e">
        <f t="shared" ca="1" si="89"/>
        <v>#NAME?</v>
      </c>
      <c r="M106" s="76" t="e">
        <f t="shared" ca="1" si="83"/>
        <v>#VALUE!</v>
      </c>
      <c r="N106" s="76" t="e">
        <f t="shared" ca="1" si="77"/>
        <v>#NAME?</v>
      </c>
      <c r="O106" s="76" t="e">
        <f t="shared" ca="1" si="90"/>
        <v>#NAME?</v>
      </c>
      <c r="P106" s="76"/>
      <c r="Q106" s="76" t="e">
        <f t="shared" ca="1" si="84"/>
        <v>#NAME?</v>
      </c>
      <c r="R106" s="76" t="e">
        <f t="shared" ca="1" si="92"/>
        <v>#VALUE!</v>
      </c>
      <c r="S106" s="76" t="e">
        <f t="shared" ca="1" si="85"/>
        <v>#NAME?</v>
      </c>
      <c r="T106" s="232" t="e">
        <f t="shared" ca="1" si="91"/>
        <v>#NAME?</v>
      </c>
      <c r="V106" s="120" t="e">
        <f t="shared" si="86"/>
        <v>#NAME?</v>
      </c>
      <c r="W106" s="120" t="str">
        <f t="shared" si="87"/>
        <v>:</v>
      </c>
      <c r="X106" s="120" t="str">
        <f t="shared" si="94"/>
        <v>:</v>
      </c>
      <c r="Y106" s="250">
        <f t="array" aca="1" ref="Y106:AJ106" ca="1">VLOOKUP($D106&amp;":"&amp;$C106,tblPayRates,{3,4,5,6,7,8,9,10,11,12,13,14},0)</f>
        <v>0</v>
      </c>
      <c r="Z106" s="16" t="str">
        <f ca="1"/>
        <v>Nobody</v>
      </c>
      <c r="AA106" s="261" t="str">
        <f ca="1"/>
        <v>M</v>
      </c>
      <c r="AB106" s="77" t="str">
        <f ca="1"/>
        <v>Daily</v>
      </c>
      <c r="AC106" s="77">
        <f ca="1"/>
        <v>0</v>
      </c>
      <c r="AD106" s="77">
        <f ca="1"/>
        <v>0</v>
      </c>
      <c r="AE106" s="77">
        <f ca="1"/>
        <v>0</v>
      </c>
      <c r="AF106" s="77">
        <f ca="1"/>
        <v>0</v>
      </c>
      <c r="AG106" s="261" t="str">
        <f ca="1"/>
        <v>N</v>
      </c>
      <c r="AH106" s="261">
        <f ca="1"/>
        <v>1</v>
      </c>
      <c r="AI106" s="261">
        <f ca="1"/>
        <v>1</v>
      </c>
      <c r="AJ106" s="262">
        <f ca="1"/>
        <v>0</v>
      </c>
    </row>
    <row r="107" spans="1:36" hidden="1" outlineLevel="1" x14ac:dyDescent="0.25">
      <c r="A107" s="120">
        <f t="shared" si="79"/>
        <v>0</v>
      </c>
      <c r="B107" s="231"/>
      <c r="C107" s="77"/>
      <c r="D107" s="238"/>
      <c r="E107" s="76" t="e">
        <f ca="1">SUMIF(payNonMonth,"="&amp;$X107,$E$362:OFFSET($E$362,ROWS(payNonMonth)-1,0))</f>
        <v>#NAME?</v>
      </c>
      <c r="F107" s="76"/>
      <c r="G107" s="77" t="e">
        <f t="shared" ca="1" si="80"/>
        <v>#NAME?</v>
      </c>
      <c r="H107" s="76" t="e">
        <f t="shared" ca="1" si="81"/>
        <v>#NAME?</v>
      </c>
      <c r="I107" s="76" t="e">
        <f t="shared" ca="1" si="82"/>
        <v>#NAME?</v>
      </c>
      <c r="J107" s="233" t="e">
        <f t="shared" ca="1" si="75"/>
        <v>#NAME?</v>
      </c>
      <c r="K107" s="76" t="e">
        <f t="shared" si="88"/>
        <v>#NAME?</v>
      </c>
      <c r="L107" s="76" t="e">
        <f t="shared" ca="1" si="89"/>
        <v>#NAME?</v>
      </c>
      <c r="M107" s="76" t="e">
        <f t="shared" ca="1" si="83"/>
        <v>#VALUE!</v>
      </c>
      <c r="N107" s="76" t="e">
        <f t="shared" ca="1" si="77"/>
        <v>#NAME?</v>
      </c>
      <c r="O107" s="76" t="e">
        <f t="shared" ca="1" si="90"/>
        <v>#NAME?</v>
      </c>
      <c r="P107" s="76"/>
      <c r="Q107" s="76" t="e">
        <f t="shared" ca="1" si="84"/>
        <v>#NAME?</v>
      </c>
      <c r="R107" s="76" t="e">
        <f t="shared" ca="1" si="92"/>
        <v>#VALUE!</v>
      </c>
      <c r="S107" s="76" t="e">
        <f t="shared" ca="1" si="85"/>
        <v>#NAME?</v>
      </c>
      <c r="T107" s="232" t="e">
        <f t="shared" ca="1" si="91"/>
        <v>#NAME?</v>
      </c>
      <c r="V107" s="120" t="e">
        <f t="shared" si="86"/>
        <v>#NAME?</v>
      </c>
      <c r="W107" s="120" t="str">
        <f t="shared" si="87"/>
        <v>:</v>
      </c>
      <c r="X107" s="120" t="str">
        <f t="shared" si="94"/>
        <v>:</v>
      </c>
      <c r="Y107" s="250">
        <f t="array" aca="1" ref="Y107:AJ107" ca="1">VLOOKUP($D107&amp;":"&amp;$C107,tblPayRates,{3,4,5,6,7,8,9,10,11,12,13,14},0)</f>
        <v>0</v>
      </c>
      <c r="Z107" s="16" t="str">
        <f ca="1"/>
        <v>Nobody</v>
      </c>
      <c r="AA107" s="261" t="str">
        <f ca="1"/>
        <v>M</v>
      </c>
      <c r="AB107" s="77" t="str">
        <f ca="1"/>
        <v>Daily</v>
      </c>
      <c r="AC107" s="77">
        <f ca="1"/>
        <v>0</v>
      </c>
      <c r="AD107" s="77">
        <f ca="1"/>
        <v>0</v>
      </c>
      <c r="AE107" s="77">
        <f ca="1"/>
        <v>0</v>
      </c>
      <c r="AF107" s="77">
        <f ca="1"/>
        <v>0</v>
      </c>
      <c r="AG107" s="261" t="str">
        <f ca="1"/>
        <v>N</v>
      </c>
      <c r="AH107" s="261">
        <f ca="1"/>
        <v>1</v>
      </c>
      <c r="AI107" s="261">
        <f ca="1"/>
        <v>1</v>
      </c>
      <c r="AJ107" s="262">
        <f ca="1"/>
        <v>0</v>
      </c>
    </row>
    <row r="108" spans="1:36" hidden="1" outlineLevel="1" x14ac:dyDescent="0.25">
      <c r="A108" s="120">
        <f t="shared" si="79"/>
        <v>0</v>
      </c>
      <c r="B108" s="231"/>
      <c r="C108" s="77"/>
      <c r="D108" s="238"/>
      <c r="E108" s="76" t="e">
        <f ca="1">SUMIF(payNonMonth,"="&amp;$X108,$E$362:OFFSET($E$362,ROWS(payNonMonth)-1,0))</f>
        <v>#NAME?</v>
      </c>
      <c r="F108" s="76"/>
      <c r="G108" s="77" t="e">
        <f t="shared" ca="1" si="80"/>
        <v>#NAME?</v>
      </c>
      <c r="H108" s="76" t="e">
        <f t="shared" ca="1" si="81"/>
        <v>#NAME?</v>
      </c>
      <c r="I108" s="76" t="e">
        <f t="shared" ca="1" si="82"/>
        <v>#NAME?</v>
      </c>
      <c r="J108" s="233" t="e">
        <f t="shared" ca="1" si="75"/>
        <v>#NAME?</v>
      </c>
      <c r="K108" s="76" t="e">
        <f t="shared" si="88"/>
        <v>#NAME?</v>
      </c>
      <c r="L108" s="76" t="e">
        <f t="shared" ca="1" si="89"/>
        <v>#NAME?</v>
      </c>
      <c r="M108" s="76" t="e">
        <f t="shared" ca="1" si="83"/>
        <v>#VALUE!</v>
      </c>
      <c r="N108" s="76" t="e">
        <f t="shared" ca="1" si="77"/>
        <v>#NAME?</v>
      </c>
      <c r="O108" s="76" t="e">
        <f t="shared" ca="1" si="90"/>
        <v>#NAME?</v>
      </c>
      <c r="P108" s="76"/>
      <c r="Q108" s="76" t="e">
        <f t="shared" ca="1" si="84"/>
        <v>#NAME?</v>
      </c>
      <c r="R108" s="76" t="e">
        <f t="shared" ca="1" si="92"/>
        <v>#VALUE!</v>
      </c>
      <c r="S108" s="76" t="e">
        <f t="shared" ca="1" si="85"/>
        <v>#NAME?</v>
      </c>
      <c r="T108" s="232" t="e">
        <f t="shared" ca="1" si="91"/>
        <v>#NAME?</v>
      </c>
      <c r="V108" s="120" t="e">
        <f t="shared" si="86"/>
        <v>#NAME?</v>
      </c>
      <c r="W108" s="120" t="str">
        <f t="shared" si="87"/>
        <v>:</v>
      </c>
      <c r="X108" s="120" t="str">
        <f t="shared" si="93"/>
        <v>:0</v>
      </c>
      <c r="Y108" s="250">
        <f t="array" aca="1" ref="Y108:AJ108" ca="1">VLOOKUP($D108&amp;":"&amp;$C108,tblPayRates,{3,4,5,6,7,8,9,10,11,12,13,14},0)</f>
        <v>0</v>
      </c>
      <c r="Z108" s="16" t="str">
        <f ca="1"/>
        <v>Nobody</v>
      </c>
      <c r="AA108" s="261" t="str">
        <f ca="1"/>
        <v>M</v>
      </c>
      <c r="AB108" s="77" t="str">
        <f ca="1"/>
        <v>Daily</v>
      </c>
      <c r="AC108" s="77">
        <f ca="1"/>
        <v>0</v>
      </c>
      <c r="AD108" s="77">
        <f ca="1"/>
        <v>0</v>
      </c>
      <c r="AE108" s="77">
        <f ca="1"/>
        <v>0</v>
      </c>
      <c r="AF108" s="77">
        <f ca="1"/>
        <v>0</v>
      </c>
      <c r="AG108" s="261" t="str">
        <f ca="1"/>
        <v>N</v>
      </c>
      <c r="AH108" s="261">
        <f ca="1"/>
        <v>1</v>
      </c>
      <c r="AI108" s="261">
        <f ca="1"/>
        <v>1</v>
      </c>
      <c r="AJ108" s="262">
        <f ca="1"/>
        <v>0</v>
      </c>
    </row>
    <row r="109" spans="1:36" hidden="1" outlineLevel="1" x14ac:dyDescent="0.25">
      <c r="A109" s="120">
        <f t="shared" si="79"/>
        <v>0</v>
      </c>
      <c r="B109" s="231"/>
      <c r="C109" s="77"/>
      <c r="D109" s="238"/>
      <c r="E109" s="76" t="e">
        <f ca="1">SUMIF(payNonMonth,"="&amp;$X109,$E$362:OFFSET($E$362,ROWS(payNonMonth)-1,0))</f>
        <v>#NAME?</v>
      </c>
      <c r="F109" s="76"/>
      <c r="G109" s="77" t="e">
        <f t="shared" ca="1" si="80"/>
        <v>#NAME?</v>
      </c>
      <c r="H109" s="76" t="e">
        <f t="shared" ca="1" si="81"/>
        <v>#NAME?</v>
      </c>
      <c r="I109" s="76" t="e">
        <f t="shared" ca="1" si="82"/>
        <v>#NAME?</v>
      </c>
      <c r="J109" s="233" t="e">
        <f t="shared" ca="1" si="75"/>
        <v>#NAME?</v>
      </c>
      <c r="K109" s="76" t="e">
        <f t="shared" si="88"/>
        <v>#NAME?</v>
      </c>
      <c r="L109" s="76" t="e">
        <f t="shared" ca="1" si="89"/>
        <v>#NAME?</v>
      </c>
      <c r="M109" s="76" t="e">
        <f t="shared" ca="1" si="83"/>
        <v>#VALUE!</v>
      </c>
      <c r="N109" s="76" t="e">
        <f t="shared" ca="1" si="77"/>
        <v>#NAME?</v>
      </c>
      <c r="O109" s="76" t="e">
        <f t="shared" ca="1" si="90"/>
        <v>#NAME?</v>
      </c>
      <c r="P109" s="76"/>
      <c r="Q109" s="76" t="e">
        <f t="shared" ca="1" si="84"/>
        <v>#NAME?</v>
      </c>
      <c r="R109" s="76" t="e">
        <f t="shared" ca="1" si="92"/>
        <v>#VALUE!</v>
      </c>
      <c r="S109" s="76" t="e">
        <f t="shared" ca="1" si="85"/>
        <v>#NAME?</v>
      </c>
      <c r="T109" s="232" t="e">
        <f t="shared" ca="1" si="91"/>
        <v>#NAME?</v>
      </c>
      <c r="V109" s="120" t="e">
        <f t="shared" si="86"/>
        <v>#NAME?</v>
      </c>
      <c r="W109" s="120" t="str">
        <f t="shared" si="87"/>
        <v>:</v>
      </c>
      <c r="X109" s="120" t="str">
        <f t="shared" si="93"/>
        <v>:0</v>
      </c>
      <c r="Y109" s="250">
        <f t="array" aca="1" ref="Y109:AJ109" ca="1">VLOOKUP($D109&amp;":"&amp;$C109,tblPayRates,{3,4,5,6,7,8,9,10,11,12,13,14},0)</f>
        <v>0</v>
      </c>
      <c r="Z109" s="16" t="str">
        <f ca="1"/>
        <v>Nobody</v>
      </c>
      <c r="AA109" s="261" t="str">
        <f ca="1"/>
        <v>M</v>
      </c>
      <c r="AB109" s="77" t="str">
        <f ca="1"/>
        <v>Daily</v>
      </c>
      <c r="AC109" s="77">
        <f ca="1"/>
        <v>0</v>
      </c>
      <c r="AD109" s="77">
        <f ca="1"/>
        <v>0</v>
      </c>
      <c r="AE109" s="77">
        <f ca="1"/>
        <v>0</v>
      </c>
      <c r="AF109" s="77">
        <f ca="1"/>
        <v>0</v>
      </c>
      <c r="AG109" s="261" t="str">
        <f ca="1"/>
        <v>N</v>
      </c>
      <c r="AH109" s="261">
        <f ca="1"/>
        <v>1</v>
      </c>
      <c r="AI109" s="261">
        <f ca="1"/>
        <v>1</v>
      </c>
      <c r="AJ109" s="262">
        <f ca="1"/>
        <v>0</v>
      </c>
    </row>
    <row r="110" spans="1:36" hidden="1" outlineLevel="1" x14ac:dyDescent="0.25">
      <c r="A110" s="120">
        <f t="shared" si="79"/>
        <v>0</v>
      </c>
      <c r="B110" s="231"/>
      <c r="C110" s="77"/>
      <c r="D110" s="238"/>
      <c r="E110" s="76" t="e">
        <f ca="1">SUMIF(payNonMonth,"="&amp;$X110,$E$362:OFFSET($E$362,ROWS(payNonMonth)-1,0))</f>
        <v>#NAME?</v>
      </c>
      <c r="F110" s="76"/>
      <c r="G110" s="77" t="e">
        <f t="shared" ca="1" si="80"/>
        <v>#NAME?</v>
      </c>
      <c r="H110" s="76" t="e">
        <f t="shared" ca="1" si="81"/>
        <v>#NAME?</v>
      </c>
      <c r="I110" s="76" t="e">
        <f t="shared" ca="1" si="82"/>
        <v>#NAME?</v>
      </c>
      <c r="J110" s="233" t="e">
        <f t="shared" ca="1" si="75"/>
        <v>#NAME?</v>
      </c>
      <c r="K110" s="76" t="e">
        <f t="shared" si="88"/>
        <v>#NAME?</v>
      </c>
      <c r="L110" s="76" t="e">
        <f t="shared" ca="1" si="89"/>
        <v>#NAME?</v>
      </c>
      <c r="M110" s="76" t="e">
        <f t="shared" ca="1" si="83"/>
        <v>#VALUE!</v>
      </c>
      <c r="N110" s="76" t="e">
        <f t="shared" ca="1" si="77"/>
        <v>#NAME?</v>
      </c>
      <c r="O110" s="76" t="e">
        <f t="shared" ca="1" si="90"/>
        <v>#NAME?</v>
      </c>
      <c r="P110" s="76"/>
      <c r="Q110" s="76" t="e">
        <f t="shared" ca="1" si="84"/>
        <v>#NAME?</v>
      </c>
      <c r="R110" s="76" t="e">
        <f t="shared" ca="1" si="92"/>
        <v>#VALUE!</v>
      </c>
      <c r="S110" s="76" t="e">
        <f t="shared" ca="1" si="85"/>
        <v>#NAME?</v>
      </c>
      <c r="T110" s="232" t="e">
        <f t="shared" ca="1" si="91"/>
        <v>#NAME?</v>
      </c>
      <c r="V110" s="120" t="e">
        <f t="shared" si="86"/>
        <v>#NAME?</v>
      </c>
      <c r="W110" s="120" t="str">
        <f t="shared" si="87"/>
        <v>:</v>
      </c>
      <c r="X110" s="120" t="str">
        <f t="shared" si="93"/>
        <v>:0</v>
      </c>
      <c r="Y110" s="250">
        <f t="array" aca="1" ref="Y110:AJ110" ca="1">VLOOKUP($D110&amp;":"&amp;$C110,tblPayRates,{3,4,5,6,7,8,9,10,11,12,13,14},0)</f>
        <v>0</v>
      </c>
      <c r="Z110" s="16" t="str">
        <f ca="1"/>
        <v>Nobody</v>
      </c>
      <c r="AA110" s="261" t="str">
        <f ca="1"/>
        <v>M</v>
      </c>
      <c r="AB110" s="77" t="str">
        <f ca="1"/>
        <v>Daily</v>
      </c>
      <c r="AC110" s="77">
        <f ca="1"/>
        <v>0</v>
      </c>
      <c r="AD110" s="77">
        <f ca="1"/>
        <v>0</v>
      </c>
      <c r="AE110" s="77">
        <f ca="1"/>
        <v>0</v>
      </c>
      <c r="AF110" s="77">
        <f ca="1"/>
        <v>0</v>
      </c>
      <c r="AG110" s="261" t="str">
        <f ca="1"/>
        <v>N</v>
      </c>
      <c r="AH110" s="261">
        <f ca="1"/>
        <v>1</v>
      </c>
      <c r="AI110" s="261">
        <f ca="1"/>
        <v>1</v>
      </c>
      <c r="AJ110" s="262">
        <f ca="1"/>
        <v>0</v>
      </c>
    </row>
    <row r="111" spans="1:36" hidden="1" outlineLevel="1" x14ac:dyDescent="0.25">
      <c r="A111" s="120">
        <f t="shared" si="79"/>
        <v>0</v>
      </c>
      <c r="B111" s="231"/>
      <c r="C111" s="77"/>
      <c r="D111" s="238"/>
      <c r="E111" s="76" t="e">
        <f ca="1">SUMIF(payNonMonth,"="&amp;$X111,$E$362:OFFSET($E$362,ROWS(payNonMonth)-1,0))</f>
        <v>#NAME?</v>
      </c>
      <c r="F111" s="76"/>
      <c r="G111" s="77" t="e">
        <f t="shared" ca="1" si="80"/>
        <v>#NAME?</v>
      </c>
      <c r="H111" s="76" t="e">
        <f t="shared" ca="1" si="81"/>
        <v>#NAME?</v>
      </c>
      <c r="I111" s="76" t="e">
        <f t="shared" ca="1" si="82"/>
        <v>#NAME?</v>
      </c>
      <c r="J111" s="233" t="e">
        <f t="shared" ca="1" si="75"/>
        <v>#NAME?</v>
      </c>
      <c r="K111" s="76" t="e">
        <f t="shared" si="88"/>
        <v>#NAME?</v>
      </c>
      <c r="L111" s="76" t="e">
        <f t="shared" ca="1" si="89"/>
        <v>#NAME?</v>
      </c>
      <c r="M111" s="76" t="e">
        <f t="shared" ca="1" si="83"/>
        <v>#VALUE!</v>
      </c>
      <c r="N111" s="76" t="e">
        <f t="shared" ca="1" si="77"/>
        <v>#NAME?</v>
      </c>
      <c r="O111" s="76"/>
      <c r="P111" s="76"/>
      <c r="Q111" s="76" t="e">
        <f t="shared" ca="1" si="84"/>
        <v>#NAME?</v>
      </c>
      <c r="R111" s="76" t="e">
        <f t="shared" ca="1" si="92"/>
        <v>#VALUE!</v>
      </c>
      <c r="S111" s="76" t="e">
        <f t="shared" ca="1" si="85"/>
        <v>#NAME?</v>
      </c>
      <c r="T111" s="232" t="e">
        <f t="shared" ca="1" si="91"/>
        <v>#NAME?</v>
      </c>
      <c r="V111" s="120" t="e">
        <f t="shared" si="86"/>
        <v>#NAME?</v>
      </c>
      <c r="W111" s="120" t="str">
        <f t="shared" si="87"/>
        <v>:</v>
      </c>
      <c r="X111" s="120" t="str">
        <f t="shared" si="93"/>
        <v>:0</v>
      </c>
      <c r="Y111" s="250">
        <f t="array" aca="1" ref="Y111:AJ111" ca="1">VLOOKUP($D111&amp;":"&amp;$C111,tblPayRates,{3,4,5,6,7,8,9,10,11,12,13,14},0)</f>
        <v>0</v>
      </c>
      <c r="Z111" s="16" t="str">
        <f ca="1"/>
        <v>Nobody</v>
      </c>
      <c r="AA111" s="261" t="str">
        <f ca="1"/>
        <v>M</v>
      </c>
      <c r="AB111" s="77" t="str">
        <f ca="1"/>
        <v>Daily</v>
      </c>
      <c r="AC111" s="77">
        <f ca="1"/>
        <v>0</v>
      </c>
      <c r="AD111" s="77">
        <f ca="1"/>
        <v>0</v>
      </c>
      <c r="AE111" s="77">
        <f ca="1"/>
        <v>0</v>
      </c>
      <c r="AF111" s="77">
        <f ca="1"/>
        <v>0</v>
      </c>
      <c r="AG111" s="261" t="str">
        <f ca="1"/>
        <v>N</v>
      </c>
      <c r="AH111" s="261">
        <f ca="1"/>
        <v>1</v>
      </c>
      <c r="AI111" s="261">
        <f ca="1"/>
        <v>1</v>
      </c>
      <c r="AJ111" s="262">
        <f ca="1"/>
        <v>0</v>
      </c>
    </row>
    <row r="112" spans="1:36" hidden="1" outlineLevel="1" x14ac:dyDescent="0.25">
      <c r="A112" s="120">
        <f t="shared" si="79"/>
        <v>0</v>
      </c>
      <c r="B112" s="231"/>
      <c r="C112" s="77"/>
      <c r="D112" s="238"/>
      <c r="E112" s="76" t="e">
        <f ca="1">SUMIF(payNonMonth,"="&amp;$X112,$E$362:OFFSET($E$362,ROWS(payNonMonth)-1,0))</f>
        <v>#NAME?</v>
      </c>
      <c r="F112" s="76"/>
      <c r="G112" s="77" t="e">
        <f t="shared" ca="1" si="80"/>
        <v>#NAME?</v>
      </c>
      <c r="H112" s="76" t="e">
        <f t="shared" ca="1" si="81"/>
        <v>#NAME?</v>
      </c>
      <c r="I112" s="76" t="e">
        <f t="shared" ca="1" si="82"/>
        <v>#NAME?</v>
      </c>
      <c r="J112" s="233" t="e">
        <f t="shared" ca="1" si="75"/>
        <v>#NAME?</v>
      </c>
      <c r="K112" s="76" t="e">
        <f t="shared" si="88"/>
        <v>#NAME?</v>
      </c>
      <c r="L112" s="76" t="e">
        <f t="shared" ca="1" si="89"/>
        <v>#NAME?</v>
      </c>
      <c r="M112" s="76" t="e">
        <f t="shared" ca="1" si="83"/>
        <v>#VALUE!</v>
      </c>
      <c r="N112" s="76" t="e">
        <f t="shared" ca="1" si="77"/>
        <v>#NAME?</v>
      </c>
      <c r="O112" s="76"/>
      <c r="P112" s="76"/>
      <c r="Q112" s="76" t="e">
        <f t="shared" ca="1" si="84"/>
        <v>#NAME?</v>
      </c>
      <c r="R112" s="76" t="e">
        <f t="shared" ca="1" si="92"/>
        <v>#VALUE!</v>
      </c>
      <c r="S112" s="76" t="e">
        <f t="shared" ca="1" si="85"/>
        <v>#NAME?</v>
      </c>
      <c r="T112" s="232" t="e">
        <f t="shared" ca="1" si="91"/>
        <v>#NAME?</v>
      </c>
      <c r="V112" s="120" t="e">
        <f t="shared" si="86"/>
        <v>#NAME?</v>
      </c>
      <c r="W112" s="120" t="str">
        <f t="shared" si="87"/>
        <v>:</v>
      </c>
      <c r="X112" s="120" t="str">
        <f t="shared" si="93"/>
        <v>:0</v>
      </c>
      <c r="Y112" s="250">
        <f t="array" aca="1" ref="Y112:AJ112" ca="1">VLOOKUP($D112&amp;":"&amp;$C112,tblPayRates,{3,4,5,6,7,8,9,10,11,12,13,14},0)</f>
        <v>0</v>
      </c>
      <c r="Z112" s="16" t="str">
        <f ca="1"/>
        <v>Nobody</v>
      </c>
      <c r="AA112" s="261" t="str">
        <f ca="1"/>
        <v>M</v>
      </c>
      <c r="AB112" s="77" t="str">
        <f ca="1"/>
        <v>Daily</v>
      </c>
      <c r="AC112" s="77">
        <f ca="1"/>
        <v>0</v>
      </c>
      <c r="AD112" s="77">
        <f ca="1"/>
        <v>0</v>
      </c>
      <c r="AE112" s="77">
        <f ca="1"/>
        <v>0</v>
      </c>
      <c r="AF112" s="77">
        <f ca="1"/>
        <v>0</v>
      </c>
      <c r="AG112" s="261" t="str">
        <f ca="1"/>
        <v>N</v>
      </c>
      <c r="AH112" s="261">
        <f ca="1"/>
        <v>1</v>
      </c>
      <c r="AI112" s="261">
        <f ca="1"/>
        <v>1</v>
      </c>
      <c r="AJ112" s="262">
        <f ca="1"/>
        <v>0</v>
      </c>
    </row>
    <row r="113" spans="1:36" hidden="1" outlineLevel="1" x14ac:dyDescent="0.25">
      <c r="A113" s="120">
        <f t="shared" si="79"/>
        <v>0</v>
      </c>
      <c r="B113" s="231"/>
      <c r="C113" s="77"/>
      <c r="D113" s="238"/>
      <c r="E113" s="76" t="e">
        <f ca="1">SUMIF(payNonMonth,"="&amp;$X113,$E$362:OFFSET($E$362,ROWS(payNonMonth)-1,0))</f>
        <v>#NAME?</v>
      </c>
      <c r="F113" s="76"/>
      <c r="G113" s="77" t="e">
        <f t="shared" ca="1" si="80"/>
        <v>#NAME?</v>
      </c>
      <c r="H113" s="76" t="e">
        <f t="shared" ca="1" si="81"/>
        <v>#NAME?</v>
      </c>
      <c r="I113" s="76" t="e">
        <f t="shared" ca="1" si="82"/>
        <v>#NAME?</v>
      </c>
      <c r="J113" s="233" t="e">
        <f t="shared" ca="1" si="75"/>
        <v>#NAME?</v>
      </c>
      <c r="K113" s="76" t="e">
        <f t="shared" ref="K113" si="95">SUMIF(payAllow,$W113,K$269:K$359)+SUMIF(payAllow,$W113,O$269:O$359)</f>
        <v>#NAME?</v>
      </c>
      <c r="L113" s="76" t="e">
        <f t="shared" ca="1" si="89"/>
        <v>#NAME?</v>
      </c>
      <c r="M113" s="76" t="e">
        <f t="shared" ref="M113" ca="1" si="96">GETSUPER(J113-SUM(K113:L113))</f>
        <v>#VALUE!</v>
      </c>
      <c r="N113" s="76" t="e">
        <f t="shared" ref="N113" ca="1" si="97">SUMIF(payAllow,$W113,N$269:N$359)*G113</f>
        <v>#NAME?</v>
      </c>
      <c r="O113" s="76" t="e">
        <f t="shared" ref="O113" ca="1" si="98">ROUND((J113-SUM(K113:N113))*InsureRate,2)</f>
        <v>#NAME?</v>
      </c>
      <c r="P113" s="76"/>
      <c r="Q113" s="76" t="e">
        <f t="shared" ref="Q113" ca="1" si="99">J113-SUM(K113:P113)</f>
        <v>#NAME?</v>
      </c>
      <c r="R113" s="76" t="e">
        <f t="shared" ref="R113" ca="1" si="100">GETTAX(Q113,AA113)</f>
        <v>#VALUE!</v>
      </c>
      <c r="S113" s="76" t="e">
        <f t="shared" ref="S113" ca="1" si="101">Q113-R113</f>
        <v>#NAME?</v>
      </c>
      <c r="T113" s="232" t="e">
        <f t="shared" ref="T113" ca="1" si="102">SUMIF(payAllow,W113,T$269:T$359)*G113</f>
        <v>#NAME?</v>
      </c>
      <c r="V113" s="120" t="e">
        <f t="shared" si="86"/>
        <v>#NAME?</v>
      </c>
      <c r="W113" s="120" t="str">
        <f t="shared" si="87"/>
        <v>:</v>
      </c>
      <c r="X113" s="120" t="str">
        <f t="shared" si="93"/>
        <v>:0</v>
      </c>
      <c r="Y113" s="250">
        <f t="array" aca="1" ref="Y113:AJ113" ca="1">VLOOKUP($D113&amp;":"&amp;$C113,tblPayRates,{3,4,5,6,7,8,9,10,11,12,13,14},0)</f>
        <v>0</v>
      </c>
      <c r="Z113" s="16" t="str">
        <f ca="1"/>
        <v>Nobody</v>
      </c>
      <c r="AA113" s="261" t="str">
        <f ca="1"/>
        <v>M</v>
      </c>
      <c r="AB113" s="77" t="str">
        <f ca="1"/>
        <v>Daily</v>
      </c>
      <c r="AC113" s="77">
        <f ca="1"/>
        <v>0</v>
      </c>
      <c r="AD113" s="77">
        <f ca="1"/>
        <v>0</v>
      </c>
      <c r="AE113" s="77">
        <f ca="1"/>
        <v>0</v>
      </c>
      <c r="AF113" s="77">
        <f ca="1"/>
        <v>0</v>
      </c>
      <c r="AG113" s="261" t="str">
        <f ca="1"/>
        <v>N</v>
      </c>
      <c r="AH113" s="261">
        <f ca="1"/>
        <v>1</v>
      </c>
      <c r="AI113" s="261">
        <f ca="1"/>
        <v>1</v>
      </c>
      <c r="AJ113" s="262">
        <f ca="1"/>
        <v>0</v>
      </c>
    </row>
    <row r="114" spans="1:36" hidden="1" outlineLevel="1" x14ac:dyDescent="0.25">
      <c r="A114" s="120">
        <f t="shared" si="79"/>
        <v>0</v>
      </c>
      <c r="B114" s="231"/>
      <c r="C114" s="77"/>
      <c r="D114" s="238"/>
      <c r="E114" s="76" t="e">
        <f ca="1">SUMIF(payNonMonth,"="&amp;$X114,$E$362:OFFSET($E$362,ROWS(payNonMonth)-1,0))</f>
        <v>#NAME?</v>
      </c>
      <c r="F114" s="76"/>
      <c r="G114" s="77" t="e">
        <f t="shared" ca="1" si="80"/>
        <v>#NAME?</v>
      </c>
      <c r="H114" s="76" t="e">
        <f t="shared" ca="1" si="81"/>
        <v>#NAME?</v>
      </c>
      <c r="I114" s="76" t="e">
        <f t="shared" ca="1" si="82"/>
        <v>#NAME?</v>
      </c>
      <c r="J114" s="233" t="e">
        <f t="shared" ref="J114:J150" ca="1" si="103">ROUND(IF(AI114,$E114,1)*AE114+$F114*AF114+SUMIF(payAllow,$W114,$J$269:$J$359),2)</f>
        <v>#NAME?</v>
      </c>
      <c r="K114" s="76" t="e">
        <f t="shared" ref="K114:K150" si="104">SUMIF(payAllow,$W114,K$269:K$359)+SUMIF(payAllow,$W114,O$269:O$359)</f>
        <v>#NAME?</v>
      </c>
      <c r="L114" s="76" t="e">
        <f t="shared" ref="L114:L150" ca="1" si="105">SUMIF(payAllow,$W114,L$269:L$359)*$G114</f>
        <v>#NAME?</v>
      </c>
      <c r="M114" s="76" t="e">
        <f t="shared" ca="1" si="83"/>
        <v>#VALUE!</v>
      </c>
      <c r="N114" s="76" t="e">
        <f t="shared" ref="N114:N150" ca="1" si="106">SUMIF(payAllow,$W114,N$269:N$359)*G114</f>
        <v>#NAME?</v>
      </c>
      <c r="O114" s="76" t="e">
        <f t="shared" ca="1" si="90"/>
        <v>#NAME?</v>
      </c>
      <c r="P114" s="76"/>
      <c r="Q114" s="76" t="e">
        <f t="shared" ca="1" si="84"/>
        <v>#NAME?</v>
      </c>
      <c r="R114" s="76" t="e">
        <f t="shared" ca="1" si="92"/>
        <v>#VALUE!</v>
      </c>
      <c r="S114" s="76" t="e">
        <f t="shared" ca="1" si="85"/>
        <v>#NAME?</v>
      </c>
      <c r="T114" s="232" t="e">
        <f t="shared" ref="T114:T150" ca="1" si="107">SUMIF(payAllow,W114,T$269:T$359)*G114</f>
        <v>#NAME?</v>
      </c>
      <c r="V114" s="120" t="e">
        <f t="shared" si="86"/>
        <v>#NAME?</v>
      </c>
      <c r="W114" s="120" t="str">
        <f t="shared" si="87"/>
        <v>:</v>
      </c>
      <c r="X114" s="120" t="str">
        <f t="shared" ref="X114:X117" si="108">C114 &amp;":"&amp; B114</f>
        <v>:</v>
      </c>
      <c r="Y114" s="250">
        <f t="array" aca="1" ref="Y114:AJ114" ca="1">VLOOKUP($D114&amp;":"&amp;$C114,tblPayRates,{3,4,5,6,7,8,9,10,11,12,13,14},0)</f>
        <v>0</v>
      </c>
      <c r="Z114" s="16" t="str">
        <f ca="1"/>
        <v>Nobody</v>
      </c>
      <c r="AA114" s="261" t="str">
        <f ca="1"/>
        <v>M</v>
      </c>
      <c r="AB114" s="77" t="str">
        <f ca="1"/>
        <v>Daily</v>
      </c>
      <c r="AC114" s="77">
        <f ca="1"/>
        <v>0</v>
      </c>
      <c r="AD114" s="77">
        <f ca="1"/>
        <v>0</v>
      </c>
      <c r="AE114" s="77">
        <f ca="1"/>
        <v>0</v>
      </c>
      <c r="AF114" s="77">
        <f ca="1"/>
        <v>0</v>
      </c>
      <c r="AG114" s="261" t="str">
        <f ca="1"/>
        <v>N</v>
      </c>
      <c r="AH114" s="261">
        <f ca="1"/>
        <v>1</v>
      </c>
      <c r="AI114" s="261">
        <f ca="1"/>
        <v>1</v>
      </c>
      <c r="AJ114" s="262">
        <f ca="1"/>
        <v>0</v>
      </c>
    </row>
    <row r="115" spans="1:36" hidden="1" outlineLevel="1" x14ac:dyDescent="0.25">
      <c r="A115" s="120">
        <f t="shared" si="79"/>
        <v>0</v>
      </c>
      <c r="B115" s="231"/>
      <c r="C115" s="77"/>
      <c r="D115" s="238"/>
      <c r="E115" s="76" t="e">
        <f ca="1">SUMIF(payNonMonth,"="&amp;$X115,$E$362:OFFSET($E$362,ROWS(payNonMonth)-1,0))</f>
        <v>#NAME?</v>
      </c>
      <c r="F115" s="76"/>
      <c r="G115" s="77" t="e">
        <f t="shared" ca="1" si="80"/>
        <v>#NAME?</v>
      </c>
      <c r="H115" s="76" t="e">
        <f t="shared" ca="1" si="81"/>
        <v>#NAME?</v>
      </c>
      <c r="I115" s="76" t="e">
        <f t="shared" ca="1" si="82"/>
        <v>#NAME?</v>
      </c>
      <c r="J115" s="233" t="e">
        <f t="shared" ca="1" si="103"/>
        <v>#NAME?</v>
      </c>
      <c r="K115" s="76" t="e">
        <f t="shared" si="104"/>
        <v>#NAME?</v>
      </c>
      <c r="L115" s="76" t="e">
        <f t="shared" ca="1" si="105"/>
        <v>#NAME?</v>
      </c>
      <c r="M115" s="76" t="e">
        <f t="shared" ca="1" si="83"/>
        <v>#VALUE!</v>
      </c>
      <c r="N115" s="76" t="e">
        <f t="shared" ca="1" si="106"/>
        <v>#NAME?</v>
      </c>
      <c r="O115" s="76" t="e">
        <f t="shared" ca="1" si="90"/>
        <v>#NAME?</v>
      </c>
      <c r="P115" s="76"/>
      <c r="Q115" s="76" t="e">
        <f t="shared" ca="1" si="84"/>
        <v>#NAME?</v>
      </c>
      <c r="R115" s="76" t="e">
        <f t="shared" ca="1" si="92"/>
        <v>#VALUE!</v>
      </c>
      <c r="S115" s="76" t="e">
        <f t="shared" ca="1" si="85"/>
        <v>#NAME?</v>
      </c>
      <c r="T115" s="232" t="e">
        <f t="shared" ca="1" si="107"/>
        <v>#NAME?</v>
      </c>
      <c r="V115" s="120" t="e">
        <f t="shared" si="86"/>
        <v>#NAME?</v>
      </c>
      <c r="W115" s="120" t="str">
        <f t="shared" si="87"/>
        <v>:</v>
      </c>
      <c r="X115" s="120" t="str">
        <f t="shared" si="108"/>
        <v>:</v>
      </c>
      <c r="Y115" s="250">
        <f t="array" aca="1" ref="Y115:AJ115" ca="1">VLOOKUP($D115&amp;":"&amp;$C115,tblPayRates,{3,4,5,6,7,8,9,10,11,12,13,14},0)</f>
        <v>0</v>
      </c>
      <c r="Z115" s="16" t="str">
        <f ca="1"/>
        <v>Nobody</v>
      </c>
      <c r="AA115" s="261" t="str">
        <f ca="1"/>
        <v>M</v>
      </c>
      <c r="AB115" s="77" t="str">
        <f ca="1"/>
        <v>Daily</v>
      </c>
      <c r="AC115" s="77">
        <f ca="1"/>
        <v>0</v>
      </c>
      <c r="AD115" s="77">
        <f ca="1"/>
        <v>0</v>
      </c>
      <c r="AE115" s="77">
        <f ca="1"/>
        <v>0</v>
      </c>
      <c r="AF115" s="77">
        <f ca="1"/>
        <v>0</v>
      </c>
      <c r="AG115" s="261" t="str">
        <f ca="1"/>
        <v>N</v>
      </c>
      <c r="AH115" s="261">
        <f ca="1"/>
        <v>1</v>
      </c>
      <c r="AI115" s="261">
        <f ca="1"/>
        <v>1</v>
      </c>
      <c r="AJ115" s="262">
        <f ca="1"/>
        <v>0</v>
      </c>
    </row>
    <row r="116" spans="1:36" hidden="1" outlineLevel="1" x14ac:dyDescent="0.25">
      <c r="A116" s="120">
        <f t="shared" si="79"/>
        <v>0</v>
      </c>
      <c r="B116" s="231"/>
      <c r="C116" s="77"/>
      <c r="D116" s="238"/>
      <c r="E116" s="76" t="e">
        <f ca="1">SUMIF(payNonMonth,"="&amp;$X116,$E$362:OFFSET($E$362,ROWS(payNonMonth)-1,0))</f>
        <v>#NAME?</v>
      </c>
      <c r="F116" s="76"/>
      <c r="G116" s="77" t="e">
        <f t="shared" ca="1" si="80"/>
        <v>#NAME?</v>
      </c>
      <c r="H116" s="76" t="e">
        <f t="shared" ca="1" si="81"/>
        <v>#NAME?</v>
      </c>
      <c r="I116" s="76" t="e">
        <f t="shared" ca="1" si="82"/>
        <v>#NAME?</v>
      </c>
      <c r="J116" s="233" t="e">
        <f t="shared" ca="1" si="103"/>
        <v>#NAME?</v>
      </c>
      <c r="K116" s="76" t="e">
        <f t="shared" si="104"/>
        <v>#NAME?</v>
      </c>
      <c r="L116" s="76" t="e">
        <f t="shared" ca="1" si="105"/>
        <v>#NAME?</v>
      </c>
      <c r="M116" s="76" t="e">
        <f t="shared" ca="1" si="83"/>
        <v>#VALUE!</v>
      </c>
      <c r="N116" s="76" t="e">
        <f t="shared" ca="1" si="106"/>
        <v>#NAME?</v>
      </c>
      <c r="O116" s="76" t="e">
        <f t="shared" ca="1" si="90"/>
        <v>#NAME?</v>
      </c>
      <c r="P116" s="76"/>
      <c r="Q116" s="76" t="e">
        <f t="shared" ca="1" si="84"/>
        <v>#NAME?</v>
      </c>
      <c r="R116" s="76" t="e">
        <f t="shared" ca="1" si="92"/>
        <v>#VALUE!</v>
      </c>
      <c r="S116" s="76" t="e">
        <f t="shared" ca="1" si="85"/>
        <v>#NAME?</v>
      </c>
      <c r="T116" s="232" t="e">
        <f t="shared" ca="1" si="107"/>
        <v>#NAME?</v>
      </c>
      <c r="V116" s="120" t="e">
        <f t="shared" si="86"/>
        <v>#NAME?</v>
      </c>
      <c r="W116" s="120" t="str">
        <f t="shared" si="87"/>
        <v>:</v>
      </c>
      <c r="X116" s="120" t="str">
        <f t="shared" si="108"/>
        <v>:</v>
      </c>
      <c r="Y116" s="250">
        <f t="array" aca="1" ref="Y116:AJ116" ca="1">VLOOKUP($D116&amp;":"&amp;$C116,tblPayRates,{3,4,5,6,7,8,9,10,11,12,13,14},0)</f>
        <v>0</v>
      </c>
      <c r="Z116" s="16" t="str">
        <f ca="1"/>
        <v>Nobody</v>
      </c>
      <c r="AA116" s="261" t="str">
        <f ca="1"/>
        <v>M</v>
      </c>
      <c r="AB116" s="77" t="str">
        <f ca="1"/>
        <v>Daily</v>
      </c>
      <c r="AC116" s="77">
        <f ca="1"/>
        <v>0</v>
      </c>
      <c r="AD116" s="77">
        <f ca="1"/>
        <v>0</v>
      </c>
      <c r="AE116" s="77">
        <f ca="1"/>
        <v>0</v>
      </c>
      <c r="AF116" s="77">
        <f ca="1"/>
        <v>0</v>
      </c>
      <c r="AG116" s="261" t="str">
        <f ca="1"/>
        <v>N</v>
      </c>
      <c r="AH116" s="261">
        <f ca="1"/>
        <v>1</v>
      </c>
      <c r="AI116" s="261">
        <f ca="1"/>
        <v>1</v>
      </c>
      <c r="AJ116" s="262">
        <f ca="1"/>
        <v>0</v>
      </c>
    </row>
    <row r="117" spans="1:36" hidden="1" outlineLevel="1" x14ac:dyDescent="0.25">
      <c r="A117" s="120">
        <f t="shared" si="79"/>
        <v>0</v>
      </c>
      <c r="B117" s="231"/>
      <c r="C117" s="77"/>
      <c r="D117" s="238"/>
      <c r="E117" s="76" t="e">
        <f ca="1">SUMIF(payNonMonth,"="&amp;$X117,$E$362:OFFSET($E$362,ROWS(payNonMonth)-1,0))</f>
        <v>#NAME?</v>
      </c>
      <c r="F117" s="76"/>
      <c r="G117" s="77" t="e">
        <f t="shared" ca="1" si="80"/>
        <v>#NAME?</v>
      </c>
      <c r="H117" s="76" t="e">
        <f t="shared" ca="1" si="81"/>
        <v>#NAME?</v>
      </c>
      <c r="I117" s="76" t="e">
        <f t="shared" ca="1" si="82"/>
        <v>#NAME?</v>
      </c>
      <c r="J117" s="233" t="e">
        <f t="shared" ca="1" si="103"/>
        <v>#NAME?</v>
      </c>
      <c r="K117" s="76" t="e">
        <f t="shared" si="104"/>
        <v>#NAME?</v>
      </c>
      <c r="L117" s="76" t="e">
        <f t="shared" ca="1" si="105"/>
        <v>#NAME?</v>
      </c>
      <c r="M117" s="76" t="e">
        <f t="shared" ca="1" si="83"/>
        <v>#VALUE!</v>
      </c>
      <c r="N117" s="76" t="e">
        <f t="shared" ca="1" si="106"/>
        <v>#NAME?</v>
      </c>
      <c r="O117" s="76" t="e">
        <f t="shared" ca="1" si="90"/>
        <v>#NAME?</v>
      </c>
      <c r="P117" s="76"/>
      <c r="Q117" s="76" t="e">
        <f t="shared" ca="1" si="84"/>
        <v>#NAME?</v>
      </c>
      <c r="R117" s="76" t="e">
        <f t="shared" ca="1" si="92"/>
        <v>#VALUE!</v>
      </c>
      <c r="S117" s="76" t="e">
        <f t="shared" ca="1" si="85"/>
        <v>#NAME?</v>
      </c>
      <c r="T117" s="232" t="e">
        <f t="shared" ca="1" si="107"/>
        <v>#NAME?</v>
      </c>
      <c r="V117" s="120" t="e">
        <f t="shared" si="86"/>
        <v>#NAME?</v>
      </c>
      <c r="W117" s="120" t="str">
        <f t="shared" si="87"/>
        <v>:</v>
      </c>
      <c r="X117" s="120" t="str">
        <f t="shared" si="108"/>
        <v>:</v>
      </c>
      <c r="Y117" s="250">
        <f t="array" aca="1" ref="Y117:AJ117" ca="1">VLOOKUP($D117&amp;":"&amp;$C117,tblPayRates,{3,4,5,6,7,8,9,10,11,12,13,14},0)</f>
        <v>0</v>
      </c>
      <c r="Z117" s="16" t="str">
        <f ca="1"/>
        <v>Nobody</v>
      </c>
      <c r="AA117" s="261" t="str">
        <f ca="1"/>
        <v>M</v>
      </c>
      <c r="AB117" s="77" t="str">
        <f ca="1"/>
        <v>Daily</v>
      </c>
      <c r="AC117" s="77">
        <f ca="1"/>
        <v>0</v>
      </c>
      <c r="AD117" s="77">
        <f ca="1"/>
        <v>0</v>
      </c>
      <c r="AE117" s="77">
        <f ca="1"/>
        <v>0</v>
      </c>
      <c r="AF117" s="77">
        <f ca="1"/>
        <v>0</v>
      </c>
      <c r="AG117" s="261" t="str">
        <f ca="1"/>
        <v>N</v>
      </c>
      <c r="AH117" s="261">
        <f ca="1"/>
        <v>1</v>
      </c>
      <c r="AI117" s="261">
        <f ca="1"/>
        <v>1</v>
      </c>
      <c r="AJ117" s="262">
        <f ca="1"/>
        <v>0</v>
      </c>
    </row>
    <row r="118" spans="1:36" hidden="1" outlineLevel="1" x14ac:dyDescent="0.25">
      <c r="A118" s="120">
        <f t="shared" si="79"/>
        <v>0</v>
      </c>
      <c r="B118" s="231"/>
      <c r="C118" s="77"/>
      <c r="D118" s="238"/>
      <c r="E118" s="76" t="e">
        <f ca="1">SUMIF(payNonMonth,"="&amp;$X118,$E$362:OFFSET($E$362,ROWS(payNonMonth)-1,0))</f>
        <v>#NAME?</v>
      </c>
      <c r="F118" s="76"/>
      <c r="G118" s="77" t="e">
        <f t="shared" ca="1" si="80"/>
        <v>#NAME?</v>
      </c>
      <c r="H118" s="76" t="e">
        <f t="shared" ca="1" si="81"/>
        <v>#NAME?</v>
      </c>
      <c r="I118" s="76" t="e">
        <f t="shared" ca="1" si="82"/>
        <v>#NAME?</v>
      </c>
      <c r="J118" s="233" t="e">
        <f t="shared" ca="1" si="103"/>
        <v>#NAME?</v>
      </c>
      <c r="K118" s="76" t="e">
        <f t="shared" si="104"/>
        <v>#NAME?</v>
      </c>
      <c r="L118" s="76" t="e">
        <f t="shared" ca="1" si="105"/>
        <v>#NAME?</v>
      </c>
      <c r="M118" s="76" t="e">
        <f t="shared" ca="1" si="83"/>
        <v>#VALUE!</v>
      </c>
      <c r="N118" s="76" t="e">
        <f t="shared" ca="1" si="106"/>
        <v>#NAME?</v>
      </c>
      <c r="O118" s="76" t="e">
        <f t="shared" ca="1" si="90"/>
        <v>#NAME?</v>
      </c>
      <c r="P118" s="76"/>
      <c r="Q118" s="76" t="e">
        <f t="shared" ca="1" si="84"/>
        <v>#NAME?</v>
      </c>
      <c r="R118" s="76" t="e">
        <f t="shared" ca="1" si="92"/>
        <v>#VALUE!</v>
      </c>
      <c r="S118" s="76" t="e">
        <f t="shared" ca="1" si="85"/>
        <v>#NAME?</v>
      </c>
      <c r="T118" s="232" t="e">
        <f t="shared" ca="1" si="107"/>
        <v>#NAME?</v>
      </c>
      <c r="V118" s="120" t="e">
        <f t="shared" si="86"/>
        <v>#NAME?</v>
      </c>
      <c r="W118" s="120" t="str">
        <f t="shared" si="87"/>
        <v>:</v>
      </c>
      <c r="X118" s="120" t="str">
        <f t="shared" si="93"/>
        <v>:0</v>
      </c>
      <c r="Y118" s="250">
        <f t="array" aca="1" ref="Y118:AJ118" ca="1">VLOOKUP($D118&amp;":"&amp;$C118,tblPayRates,{3,4,5,6,7,8,9,10,11,12,13,14},0)</f>
        <v>0</v>
      </c>
      <c r="Z118" s="16" t="str">
        <f ca="1"/>
        <v>Nobody</v>
      </c>
      <c r="AA118" s="261" t="str">
        <f ca="1"/>
        <v>M</v>
      </c>
      <c r="AB118" s="77" t="str">
        <f ca="1"/>
        <v>Daily</v>
      </c>
      <c r="AC118" s="77">
        <f ca="1"/>
        <v>0</v>
      </c>
      <c r="AD118" s="77">
        <f ca="1"/>
        <v>0</v>
      </c>
      <c r="AE118" s="77">
        <f ca="1"/>
        <v>0</v>
      </c>
      <c r="AF118" s="77">
        <f ca="1"/>
        <v>0</v>
      </c>
      <c r="AG118" s="261" t="str">
        <f ca="1"/>
        <v>N</v>
      </c>
      <c r="AH118" s="261">
        <f ca="1"/>
        <v>1</v>
      </c>
      <c r="AI118" s="261">
        <f ca="1"/>
        <v>1</v>
      </c>
      <c r="AJ118" s="262">
        <f ca="1"/>
        <v>0</v>
      </c>
    </row>
    <row r="119" spans="1:36" hidden="1" outlineLevel="1" x14ac:dyDescent="0.25">
      <c r="A119" s="120">
        <f t="shared" si="79"/>
        <v>0</v>
      </c>
      <c r="B119" s="231"/>
      <c r="C119" s="77"/>
      <c r="D119" s="238"/>
      <c r="E119" s="76" t="e">
        <f ca="1">SUMIF(payNonMonth,"="&amp;$X119,$E$362:OFFSET($E$362,ROWS(payNonMonth)-1,0))</f>
        <v>#NAME?</v>
      </c>
      <c r="F119" s="76"/>
      <c r="G119" s="77" t="e">
        <f t="shared" ca="1" si="80"/>
        <v>#NAME?</v>
      </c>
      <c r="H119" s="76" t="e">
        <f t="shared" ca="1" si="81"/>
        <v>#NAME?</v>
      </c>
      <c r="I119" s="76" t="e">
        <f t="shared" ca="1" si="82"/>
        <v>#NAME?</v>
      </c>
      <c r="J119" s="233" t="e">
        <f t="shared" ca="1" si="103"/>
        <v>#NAME?</v>
      </c>
      <c r="K119" s="76" t="e">
        <f t="shared" si="104"/>
        <v>#NAME?</v>
      </c>
      <c r="L119" s="76" t="e">
        <f t="shared" ca="1" si="105"/>
        <v>#NAME?</v>
      </c>
      <c r="M119" s="76" t="e">
        <f t="shared" ca="1" si="83"/>
        <v>#VALUE!</v>
      </c>
      <c r="N119" s="76" t="e">
        <f t="shared" ca="1" si="106"/>
        <v>#NAME?</v>
      </c>
      <c r="O119" s="76" t="e">
        <f t="shared" ca="1" si="90"/>
        <v>#NAME?</v>
      </c>
      <c r="P119" s="76"/>
      <c r="Q119" s="76" t="e">
        <f t="shared" ca="1" si="84"/>
        <v>#NAME?</v>
      </c>
      <c r="R119" s="76" t="e">
        <f t="shared" ca="1" si="92"/>
        <v>#VALUE!</v>
      </c>
      <c r="S119" s="76" t="e">
        <f t="shared" ca="1" si="85"/>
        <v>#NAME?</v>
      </c>
      <c r="T119" s="232" t="e">
        <f t="shared" ca="1" si="107"/>
        <v>#NAME?</v>
      </c>
      <c r="V119" s="120" t="e">
        <f t="shared" si="86"/>
        <v>#NAME?</v>
      </c>
      <c r="W119" s="120" t="str">
        <f t="shared" si="87"/>
        <v>:</v>
      </c>
      <c r="X119" s="120" t="str">
        <f t="shared" si="93"/>
        <v>:0</v>
      </c>
      <c r="Y119" s="250">
        <f t="array" aca="1" ref="Y119:AJ119" ca="1">VLOOKUP($D119&amp;":"&amp;$C119,tblPayRates,{3,4,5,6,7,8,9,10,11,12,13,14},0)</f>
        <v>0</v>
      </c>
      <c r="Z119" s="16" t="str">
        <f ca="1"/>
        <v>Nobody</v>
      </c>
      <c r="AA119" s="261" t="str">
        <f ca="1"/>
        <v>M</v>
      </c>
      <c r="AB119" s="77" t="str">
        <f ca="1"/>
        <v>Daily</v>
      </c>
      <c r="AC119" s="77">
        <f ca="1"/>
        <v>0</v>
      </c>
      <c r="AD119" s="77">
        <f ca="1"/>
        <v>0</v>
      </c>
      <c r="AE119" s="77">
        <f ca="1"/>
        <v>0</v>
      </c>
      <c r="AF119" s="77">
        <f ca="1"/>
        <v>0</v>
      </c>
      <c r="AG119" s="261" t="str">
        <f ca="1"/>
        <v>N</v>
      </c>
      <c r="AH119" s="261">
        <f ca="1"/>
        <v>1</v>
      </c>
      <c r="AI119" s="261">
        <f ca="1"/>
        <v>1</v>
      </c>
      <c r="AJ119" s="262">
        <f ca="1"/>
        <v>0</v>
      </c>
    </row>
    <row r="120" spans="1:36" hidden="1" outlineLevel="1" x14ac:dyDescent="0.25">
      <c r="A120" s="120">
        <f t="shared" si="79"/>
        <v>0</v>
      </c>
      <c r="B120" s="231"/>
      <c r="C120" s="77"/>
      <c r="D120" s="238"/>
      <c r="E120" s="76" t="e">
        <f ca="1">SUMIF(payNonMonth,"="&amp;$X120,$E$362:OFFSET($E$362,ROWS(payNonMonth)-1,0))</f>
        <v>#NAME?</v>
      </c>
      <c r="F120" s="76"/>
      <c r="G120" s="77" t="e">
        <f t="shared" ca="1" si="80"/>
        <v>#NAME?</v>
      </c>
      <c r="H120" s="76" t="e">
        <f t="shared" ca="1" si="81"/>
        <v>#NAME?</v>
      </c>
      <c r="I120" s="76" t="e">
        <f t="shared" ca="1" si="82"/>
        <v>#NAME?</v>
      </c>
      <c r="J120" s="233" t="e">
        <f t="shared" ca="1" si="103"/>
        <v>#NAME?</v>
      </c>
      <c r="K120" s="76" t="e">
        <f t="shared" si="104"/>
        <v>#NAME?</v>
      </c>
      <c r="L120" s="76" t="e">
        <f t="shared" ca="1" si="105"/>
        <v>#NAME?</v>
      </c>
      <c r="M120" s="76" t="e">
        <f t="shared" ca="1" si="83"/>
        <v>#VALUE!</v>
      </c>
      <c r="N120" s="76" t="e">
        <f t="shared" ca="1" si="106"/>
        <v>#NAME?</v>
      </c>
      <c r="O120" s="76" t="e">
        <f t="shared" ca="1" si="90"/>
        <v>#NAME?</v>
      </c>
      <c r="P120" s="76"/>
      <c r="Q120" s="76" t="e">
        <f t="shared" ca="1" si="84"/>
        <v>#NAME?</v>
      </c>
      <c r="R120" s="76" t="e">
        <f t="shared" ca="1" si="92"/>
        <v>#VALUE!</v>
      </c>
      <c r="S120" s="76" t="e">
        <f t="shared" ca="1" si="85"/>
        <v>#NAME?</v>
      </c>
      <c r="T120" s="232" t="e">
        <f t="shared" ca="1" si="107"/>
        <v>#NAME?</v>
      </c>
      <c r="V120" s="120" t="e">
        <f t="shared" si="86"/>
        <v>#NAME?</v>
      </c>
      <c r="W120" s="120" t="str">
        <f t="shared" si="87"/>
        <v>:</v>
      </c>
      <c r="X120" s="120" t="str">
        <f t="shared" si="93"/>
        <v>:0</v>
      </c>
      <c r="Y120" s="250">
        <f t="array" aca="1" ref="Y120:AJ120" ca="1">VLOOKUP($D120&amp;":"&amp;$C120,tblPayRates,{3,4,5,6,7,8,9,10,11,12,13,14},0)</f>
        <v>0</v>
      </c>
      <c r="Z120" s="16" t="str">
        <f ca="1"/>
        <v>Nobody</v>
      </c>
      <c r="AA120" s="261" t="str">
        <f ca="1"/>
        <v>M</v>
      </c>
      <c r="AB120" s="77" t="str">
        <f ca="1"/>
        <v>Daily</v>
      </c>
      <c r="AC120" s="77">
        <f ca="1"/>
        <v>0</v>
      </c>
      <c r="AD120" s="77">
        <f ca="1"/>
        <v>0</v>
      </c>
      <c r="AE120" s="77">
        <f ca="1"/>
        <v>0</v>
      </c>
      <c r="AF120" s="77">
        <f ca="1"/>
        <v>0</v>
      </c>
      <c r="AG120" s="261" t="str">
        <f ca="1"/>
        <v>N</v>
      </c>
      <c r="AH120" s="261">
        <f ca="1"/>
        <v>1</v>
      </c>
      <c r="AI120" s="261">
        <f ca="1"/>
        <v>1</v>
      </c>
      <c r="AJ120" s="262">
        <f ca="1"/>
        <v>0</v>
      </c>
    </row>
    <row r="121" spans="1:36" hidden="1" outlineLevel="1" x14ac:dyDescent="0.25">
      <c r="A121" s="120">
        <f t="shared" si="79"/>
        <v>0</v>
      </c>
      <c r="B121" s="231"/>
      <c r="C121" s="77"/>
      <c r="D121" s="238"/>
      <c r="E121" s="76" t="e">
        <f ca="1">SUMIF(payNonMonth,"="&amp;$X121,$E$362:OFFSET($E$362,ROWS(payNonMonth)-1,0))</f>
        <v>#NAME?</v>
      </c>
      <c r="F121" s="76"/>
      <c r="G121" s="77" t="e">
        <f t="shared" ca="1" si="80"/>
        <v>#NAME?</v>
      </c>
      <c r="H121" s="76" t="e">
        <f t="shared" ca="1" si="81"/>
        <v>#NAME?</v>
      </c>
      <c r="I121" s="76" t="e">
        <f t="shared" ca="1" si="82"/>
        <v>#NAME?</v>
      </c>
      <c r="J121" s="233" t="e">
        <f t="shared" ca="1" si="103"/>
        <v>#NAME?</v>
      </c>
      <c r="K121" s="76" t="e">
        <f t="shared" si="104"/>
        <v>#NAME?</v>
      </c>
      <c r="L121" s="76" t="e">
        <f t="shared" ca="1" si="105"/>
        <v>#NAME?</v>
      </c>
      <c r="M121" s="76" t="e">
        <f t="shared" ca="1" si="83"/>
        <v>#VALUE!</v>
      </c>
      <c r="N121" s="76" t="e">
        <f t="shared" ca="1" si="106"/>
        <v>#NAME?</v>
      </c>
      <c r="O121" s="76" t="e">
        <f t="shared" ca="1" si="90"/>
        <v>#NAME?</v>
      </c>
      <c r="P121" s="76"/>
      <c r="Q121" s="76" t="e">
        <f t="shared" ca="1" si="84"/>
        <v>#NAME?</v>
      </c>
      <c r="R121" s="76" t="e">
        <f t="shared" ca="1" si="92"/>
        <v>#VALUE!</v>
      </c>
      <c r="S121" s="76" t="e">
        <f t="shared" ca="1" si="85"/>
        <v>#NAME?</v>
      </c>
      <c r="T121" s="232" t="e">
        <f t="shared" ca="1" si="107"/>
        <v>#NAME?</v>
      </c>
      <c r="V121" s="120" t="e">
        <f t="shared" si="86"/>
        <v>#NAME?</v>
      </c>
      <c r="W121" s="120" t="str">
        <f t="shared" si="87"/>
        <v>:</v>
      </c>
      <c r="X121" s="120" t="str">
        <f t="shared" si="93"/>
        <v>:0</v>
      </c>
      <c r="Y121" s="250">
        <f t="array" aca="1" ref="Y121:AJ121" ca="1">VLOOKUP($D121&amp;":"&amp;$C121,tblPayRates,{3,4,5,6,7,8,9,10,11,12,13,14},0)</f>
        <v>0</v>
      </c>
      <c r="Z121" s="16" t="str">
        <f ca="1"/>
        <v>Nobody</v>
      </c>
      <c r="AA121" s="261" t="str">
        <f ca="1"/>
        <v>M</v>
      </c>
      <c r="AB121" s="77" t="str">
        <f ca="1"/>
        <v>Daily</v>
      </c>
      <c r="AC121" s="77">
        <f ca="1"/>
        <v>0</v>
      </c>
      <c r="AD121" s="77">
        <f ca="1"/>
        <v>0</v>
      </c>
      <c r="AE121" s="77">
        <f ca="1"/>
        <v>0</v>
      </c>
      <c r="AF121" s="77">
        <f ca="1"/>
        <v>0</v>
      </c>
      <c r="AG121" s="261" t="str">
        <f ca="1"/>
        <v>N</v>
      </c>
      <c r="AH121" s="261">
        <f ca="1"/>
        <v>1</v>
      </c>
      <c r="AI121" s="261">
        <f ca="1"/>
        <v>1</v>
      </c>
      <c r="AJ121" s="262">
        <f ca="1"/>
        <v>0</v>
      </c>
    </row>
    <row r="122" spans="1:36" hidden="1" outlineLevel="1" x14ac:dyDescent="0.25">
      <c r="A122" s="120">
        <f t="shared" si="79"/>
        <v>0</v>
      </c>
      <c r="B122" s="231"/>
      <c r="C122" s="77"/>
      <c r="D122" s="238"/>
      <c r="E122" s="76" t="e">
        <f ca="1">SUMIF(payNonMonth,"="&amp;$X122,$E$362:OFFSET($E$362,ROWS(payNonMonth)-1,0))</f>
        <v>#NAME?</v>
      </c>
      <c r="F122" s="76"/>
      <c r="G122" s="77" t="e">
        <f t="shared" ca="1" si="80"/>
        <v>#NAME?</v>
      </c>
      <c r="H122" s="76" t="e">
        <f t="shared" ca="1" si="81"/>
        <v>#NAME?</v>
      </c>
      <c r="I122" s="76" t="e">
        <f t="shared" ca="1" si="82"/>
        <v>#NAME?</v>
      </c>
      <c r="J122" s="233" t="e">
        <f t="shared" ca="1" si="103"/>
        <v>#NAME?</v>
      </c>
      <c r="K122" s="76" t="e">
        <f t="shared" si="104"/>
        <v>#NAME?</v>
      </c>
      <c r="L122" s="76" t="e">
        <f t="shared" ca="1" si="105"/>
        <v>#NAME?</v>
      </c>
      <c r="M122" s="76" t="e">
        <f t="shared" ca="1" si="83"/>
        <v>#VALUE!</v>
      </c>
      <c r="N122" s="76" t="e">
        <f t="shared" ca="1" si="106"/>
        <v>#NAME?</v>
      </c>
      <c r="O122" s="76" t="e">
        <f t="shared" ca="1" si="90"/>
        <v>#NAME?</v>
      </c>
      <c r="P122" s="76"/>
      <c r="Q122" s="76" t="e">
        <f t="shared" ca="1" si="84"/>
        <v>#NAME?</v>
      </c>
      <c r="R122" s="76" t="e">
        <f t="shared" ca="1" si="92"/>
        <v>#VALUE!</v>
      </c>
      <c r="S122" s="76" t="e">
        <f t="shared" ca="1" si="85"/>
        <v>#NAME?</v>
      </c>
      <c r="T122" s="232" t="e">
        <f t="shared" ca="1" si="107"/>
        <v>#NAME?</v>
      </c>
      <c r="V122" s="120" t="e">
        <f t="shared" si="86"/>
        <v>#NAME?</v>
      </c>
      <c r="W122" s="120" t="str">
        <f t="shared" si="87"/>
        <v>:</v>
      </c>
      <c r="X122" s="120" t="str">
        <f t="shared" si="93"/>
        <v>:0</v>
      </c>
      <c r="Y122" s="250">
        <f t="array" aca="1" ref="Y122:AJ122" ca="1">VLOOKUP($D122&amp;":"&amp;$C122,tblPayRates,{3,4,5,6,7,8,9,10,11,12,13,14},0)</f>
        <v>0</v>
      </c>
      <c r="Z122" s="16" t="str">
        <f ca="1"/>
        <v>Nobody</v>
      </c>
      <c r="AA122" s="261" t="str">
        <f ca="1"/>
        <v>M</v>
      </c>
      <c r="AB122" s="77" t="str">
        <f ca="1"/>
        <v>Daily</v>
      </c>
      <c r="AC122" s="77">
        <f ca="1"/>
        <v>0</v>
      </c>
      <c r="AD122" s="77">
        <f ca="1"/>
        <v>0</v>
      </c>
      <c r="AE122" s="77">
        <f ca="1"/>
        <v>0</v>
      </c>
      <c r="AF122" s="77">
        <f ca="1"/>
        <v>0</v>
      </c>
      <c r="AG122" s="261" t="str">
        <f ca="1"/>
        <v>N</v>
      </c>
      <c r="AH122" s="261">
        <f ca="1"/>
        <v>1</v>
      </c>
      <c r="AI122" s="261">
        <f ca="1"/>
        <v>1</v>
      </c>
      <c r="AJ122" s="262">
        <f ca="1"/>
        <v>0</v>
      </c>
    </row>
    <row r="123" spans="1:36" hidden="1" outlineLevel="1" x14ac:dyDescent="0.25">
      <c r="A123" s="120">
        <f t="shared" ref="A123:A151" si="109">GETPAYMONTH(B123)</f>
        <v>0</v>
      </c>
      <c r="B123" s="231"/>
      <c r="C123" s="77"/>
      <c r="D123" s="238"/>
      <c r="E123" s="76" t="e">
        <f ca="1">SUMIF(payNonMonth,"="&amp;$X123,$E$362:OFFSET($E$362,ROWS(payNonMonth)-1,0))</f>
        <v>#NAME?</v>
      </c>
      <c r="F123" s="76"/>
      <c r="G123" s="77" t="e">
        <f t="shared" ref="G123:G150" ca="1" si="110">IF(AND($E123=0,$F123=0),0,1)</f>
        <v>#NAME?</v>
      </c>
      <c r="H123" s="76" t="e">
        <f t="shared" ref="H123:H150" ca="1" si="111">ROUND(SUM(E123:F123)*AC123,2)</f>
        <v>#NAME?</v>
      </c>
      <c r="I123" s="76" t="e">
        <f t="shared" ref="I123:I150" ca="1" si="112">H123*OFFSET(payMgmtRate,0,$AH123)</f>
        <v>#NAME?</v>
      </c>
      <c r="J123" s="233" t="e">
        <f t="shared" ca="1" si="103"/>
        <v>#NAME?</v>
      </c>
      <c r="K123" s="76" t="e">
        <f t="shared" si="104"/>
        <v>#NAME?</v>
      </c>
      <c r="L123" s="76" t="e">
        <f t="shared" ca="1" si="105"/>
        <v>#NAME?</v>
      </c>
      <c r="M123" s="76" t="e">
        <f t="shared" ref="M123:M150" ca="1" si="113">GETSUPER(J123-SUM(K123:L123))</f>
        <v>#VALUE!</v>
      </c>
      <c r="N123" s="76" t="e">
        <f t="shared" ca="1" si="106"/>
        <v>#NAME?</v>
      </c>
      <c r="O123" s="76" t="e">
        <f t="shared" ca="1" si="90"/>
        <v>#NAME?</v>
      </c>
      <c r="P123" s="76"/>
      <c r="Q123" s="76" t="e">
        <f t="shared" ref="Q123:Q150" ca="1" si="114">J123-SUM(K123:P123)</f>
        <v>#NAME?</v>
      </c>
      <c r="R123" s="76" t="e">
        <f t="shared" ca="1" si="92"/>
        <v>#VALUE!</v>
      </c>
      <c r="S123" s="76" t="e">
        <f t="shared" ref="S123:S150" ca="1" si="115">Q123-R123</f>
        <v>#NAME?</v>
      </c>
      <c r="T123" s="232" t="e">
        <f t="shared" ca="1" si="107"/>
        <v>#NAME?</v>
      </c>
      <c r="V123" s="120" t="e">
        <f t="shared" ref="V123:V150" si="116">IF(EmpID="*","*",C123) &amp;":"&amp; $A123</f>
        <v>#NAME?</v>
      </c>
      <c r="W123" s="120" t="str">
        <f t="shared" ref="W123:W150" si="117">$C123 &amp;":"&amp; $B123</f>
        <v>:</v>
      </c>
      <c r="X123" s="120" t="str">
        <f t="shared" si="93"/>
        <v>:0</v>
      </c>
      <c r="Y123" s="250">
        <f t="array" aca="1" ref="Y123:AJ123" ca="1">VLOOKUP($D123&amp;":"&amp;$C123,tblPayRates,{3,4,5,6,7,8,9,10,11,12,13,14},0)</f>
        <v>0</v>
      </c>
      <c r="Z123" s="16" t="str">
        <f ca="1"/>
        <v>Nobody</v>
      </c>
      <c r="AA123" s="261" t="str">
        <f ca="1"/>
        <v>M</v>
      </c>
      <c r="AB123" s="77" t="str">
        <f ca="1"/>
        <v>Daily</v>
      </c>
      <c r="AC123" s="77">
        <f ca="1"/>
        <v>0</v>
      </c>
      <c r="AD123" s="77">
        <f ca="1"/>
        <v>0</v>
      </c>
      <c r="AE123" s="77">
        <f ca="1"/>
        <v>0</v>
      </c>
      <c r="AF123" s="77">
        <f ca="1"/>
        <v>0</v>
      </c>
      <c r="AG123" s="261" t="str">
        <f ca="1"/>
        <v>N</v>
      </c>
      <c r="AH123" s="261">
        <f ca="1"/>
        <v>1</v>
      </c>
      <c r="AI123" s="261">
        <f ca="1"/>
        <v>1</v>
      </c>
      <c r="AJ123" s="262">
        <f ca="1"/>
        <v>0</v>
      </c>
    </row>
    <row r="124" spans="1:36" hidden="1" outlineLevel="1" x14ac:dyDescent="0.25">
      <c r="A124" s="120">
        <f t="shared" si="109"/>
        <v>0</v>
      </c>
      <c r="B124" s="231"/>
      <c r="C124" s="77"/>
      <c r="D124" s="238"/>
      <c r="E124" s="76" t="e">
        <f ca="1">SUMIF(payNonMonth,"="&amp;$X124,$E$362:OFFSET($E$362,ROWS(payNonMonth)-1,0))</f>
        <v>#NAME?</v>
      </c>
      <c r="F124" s="76"/>
      <c r="G124" s="77" t="e">
        <f t="shared" ca="1" si="110"/>
        <v>#NAME?</v>
      </c>
      <c r="H124" s="76" t="e">
        <f t="shared" ca="1" si="111"/>
        <v>#NAME?</v>
      </c>
      <c r="I124" s="76" t="e">
        <f t="shared" ca="1" si="112"/>
        <v>#NAME?</v>
      </c>
      <c r="J124" s="233" t="e">
        <f t="shared" ca="1" si="103"/>
        <v>#NAME?</v>
      </c>
      <c r="K124" s="76" t="e">
        <f t="shared" si="104"/>
        <v>#NAME?</v>
      </c>
      <c r="L124" s="76" t="e">
        <f t="shared" ca="1" si="105"/>
        <v>#NAME?</v>
      </c>
      <c r="M124" s="76" t="e">
        <f t="shared" ca="1" si="113"/>
        <v>#VALUE!</v>
      </c>
      <c r="N124" s="76" t="e">
        <f t="shared" ca="1" si="106"/>
        <v>#NAME?</v>
      </c>
      <c r="O124" s="76" t="e">
        <f t="shared" ca="1" si="90"/>
        <v>#NAME?</v>
      </c>
      <c r="P124" s="76"/>
      <c r="Q124" s="76" t="e">
        <f t="shared" ca="1" si="114"/>
        <v>#NAME?</v>
      </c>
      <c r="R124" s="76" t="e">
        <f t="shared" ca="1" si="92"/>
        <v>#VALUE!</v>
      </c>
      <c r="S124" s="76" t="e">
        <f t="shared" ca="1" si="115"/>
        <v>#NAME?</v>
      </c>
      <c r="T124" s="232" t="e">
        <f t="shared" ca="1" si="107"/>
        <v>#NAME?</v>
      </c>
      <c r="V124" s="120" t="e">
        <f t="shared" si="116"/>
        <v>#NAME?</v>
      </c>
      <c r="W124" s="120" t="str">
        <f t="shared" si="117"/>
        <v>:</v>
      </c>
      <c r="X124" s="120" t="str">
        <f t="shared" si="93"/>
        <v>:0</v>
      </c>
      <c r="Y124" s="250">
        <f t="array" aca="1" ref="Y124:AJ124" ca="1">VLOOKUP($D124&amp;":"&amp;$C124,tblPayRates,{3,4,5,6,7,8,9,10,11,12,13,14},0)</f>
        <v>0</v>
      </c>
      <c r="Z124" s="16" t="str">
        <f ca="1"/>
        <v>Nobody</v>
      </c>
      <c r="AA124" s="261" t="str">
        <f ca="1"/>
        <v>M</v>
      </c>
      <c r="AB124" s="77" t="str">
        <f ca="1"/>
        <v>Daily</v>
      </c>
      <c r="AC124" s="77">
        <f ca="1"/>
        <v>0</v>
      </c>
      <c r="AD124" s="77">
        <f ca="1"/>
        <v>0</v>
      </c>
      <c r="AE124" s="77">
        <f ca="1"/>
        <v>0</v>
      </c>
      <c r="AF124" s="77">
        <f ca="1"/>
        <v>0</v>
      </c>
      <c r="AG124" s="261" t="str">
        <f ca="1"/>
        <v>N</v>
      </c>
      <c r="AH124" s="261">
        <f ca="1"/>
        <v>1</v>
      </c>
      <c r="AI124" s="261">
        <f ca="1"/>
        <v>1</v>
      </c>
      <c r="AJ124" s="262">
        <f ca="1"/>
        <v>0</v>
      </c>
    </row>
    <row r="125" spans="1:36" hidden="1" outlineLevel="1" x14ac:dyDescent="0.25">
      <c r="A125" s="120">
        <f t="shared" si="109"/>
        <v>0</v>
      </c>
      <c r="B125" s="231"/>
      <c r="C125" s="77"/>
      <c r="D125" s="238"/>
      <c r="E125" s="76" t="e">
        <f ca="1">SUMIF(payNonMonth,"="&amp;$X125,$E$362:OFFSET($E$362,ROWS(payNonMonth)-1,0))</f>
        <v>#NAME?</v>
      </c>
      <c r="F125" s="76"/>
      <c r="G125" s="77" t="e">
        <f t="shared" ca="1" si="110"/>
        <v>#NAME?</v>
      </c>
      <c r="H125" s="76" t="e">
        <f t="shared" ca="1" si="111"/>
        <v>#NAME?</v>
      </c>
      <c r="I125" s="76" t="e">
        <f t="shared" ca="1" si="112"/>
        <v>#NAME?</v>
      </c>
      <c r="J125" s="233" t="e">
        <f t="shared" ca="1" si="103"/>
        <v>#NAME?</v>
      </c>
      <c r="K125" s="76" t="e">
        <f t="shared" si="104"/>
        <v>#NAME?</v>
      </c>
      <c r="L125" s="76" t="e">
        <f t="shared" ca="1" si="105"/>
        <v>#NAME?</v>
      </c>
      <c r="M125" s="76" t="e">
        <f t="shared" ca="1" si="113"/>
        <v>#VALUE!</v>
      </c>
      <c r="N125" s="76" t="e">
        <f t="shared" ca="1" si="106"/>
        <v>#NAME?</v>
      </c>
      <c r="O125" s="76" t="e">
        <f t="shared" ref="O125:O150" ca="1" si="118">ROUND((J125-SUM(K125:N125))*InsureRate,2)</f>
        <v>#NAME?</v>
      </c>
      <c r="P125" s="76"/>
      <c r="Q125" s="76" t="e">
        <f t="shared" ca="1" si="114"/>
        <v>#NAME?</v>
      </c>
      <c r="R125" s="76" t="e">
        <f t="shared" ca="1" si="92"/>
        <v>#VALUE!</v>
      </c>
      <c r="S125" s="76" t="e">
        <f t="shared" ca="1" si="115"/>
        <v>#NAME?</v>
      </c>
      <c r="T125" s="232" t="e">
        <f t="shared" ca="1" si="107"/>
        <v>#NAME?</v>
      </c>
      <c r="V125" s="120" t="e">
        <f t="shared" si="116"/>
        <v>#NAME?</v>
      </c>
      <c r="W125" s="120" t="str">
        <f t="shared" si="117"/>
        <v>:</v>
      </c>
      <c r="X125" s="120" t="str">
        <f t="shared" ref="X125:X150" si="119">C125 &amp;":"&amp; A125</f>
        <v>:0</v>
      </c>
      <c r="Y125" s="250">
        <f t="array" aca="1" ref="Y125:AJ125" ca="1">VLOOKUP($D125&amp;":"&amp;$C125,tblPayRates,{3,4,5,6,7,8,9,10,11,12,13,14},0)</f>
        <v>0</v>
      </c>
      <c r="Z125" s="16" t="str">
        <f ca="1"/>
        <v>Nobody</v>
      </c>
      <c r="AA125" s="261" t="str">
        <f ca="1"/>
        <v>M</v>
      </c>
      <c r="AB125" s="77" t="str">
        <f ca="1"/>
        <v>Daily</v>
      </c>
      <c r="AC125" s="77">
        <f ca="1"/>
        <v>0</v>
      </c>
      <c r="AD125" s="77">
        <f ca="1"/>
        <v>0</v>
      </c>
      <c r="AE125" s="77">
        <f ca="1"/>
        <v>0</v>
      </c>
      <c r="AF125" s="77">
        <f ca="1"/>
        <v>0</v>
      </c>
      <c r="AG125" s="261" t="str">
        <f ca="1"/>
        <v>N</v>
      </c>
      <c r="AH125" s="261">
        <f ca="1"/>
        <v>1</v>
      </c>
      <c r="AI125" s="261">
        <f ca="1"/>
        <v>1</v>
      </c>
      <c r="AJ125" s="262">
        <f ca="1"/>
        <v>0</v>
      </c>
    </row>
    <row r="126" spans="1:36" hidden="1" outlineLevel="1" x14ac:dyDescent="0.25">
      <c r="A126" s="120">
        <f t="shared" si="109"/>
        <v>0</v>
      </c>
      <c r="B126" s="231"/>
      <c r="C126" s="77"/>
      <c r="D126" s="238"/>
      <c r="E126" s="76" t="e">
        <f ca="1">SUMIF(payNonMonth,"="&amp;$X126,$E$362:OFFSET($E$362,ROWS(payNonMonth)-1,0))</f>
        <v>#NAME?</v>
      </c>
      <c r="F126" s="76"/>
      <c r="G126" s="77" t="e">
        <f t="shared" ca="1" si="110"/>
        <v>#NAME?</v>
      </c>
      <c r="H126" s="76" t="e">
        <f t="shared" ca="1" si="111"/>
        <v>#NAME?</v>
      </c>
      <c r="I126" s="76" t="e">
        <f t="shared" ca="1" si="112"/>
        <v>#NAME?</v>
      </c>
      <c r="J126" s="233" t="e">
        <f t="shared" ca="1" si="103"/>
        <v>#NAME?</v>
      </c>
      <c r="K126" s="76" t="e">
        <f t="shared" si="104"/>
        <v>#NAME?</v>
      </c>
      <c r="L126" s="76" t="e">
        <f t="shared" ca="1" si="105"/>
        <v>#NAME?</v>
      </c>
      <c r="M126" s="76" t="e">
        <f t="shared" ca="1" si="113"/>
        <v>#VALUE!</v>
      </c>
      <c r="N126" s="76" t="e">
        <f t="shared" ca="1" si="106"/>
        <v>#NAME?</v>
      </c>
      <c r="O126" s="76" t="e">
        <f t="shared" ca="1" si="118"/>
        <v>#NAME?</v>
      </c>
      <c r="P126" s="76"/>
      <c r="Q126" s="76" t="e">
        <f t="shared" ca="1" si="114"/>
        <v>#NAME?</v>
      </c>
      <c r="R126" s="76" t="e">
        <f t="shared" ca="1" si="92"/>
        <v>#VALUE!</v>
      </c>
      <c r="S126" s="76" t="e">
        <f t="shared" ca="1" si="115"/>
        <v>#NAME?</v>
      </c>
      <c r="T126" s="232" t="e">
        <f t="shared" ca="1" si="107"/>
        <v>#NAME?</v>
      </c>
      <c r="V126" s="120" t="e">
        <f t="shared" si="116"/>
        <v>#NAME?</v>
      </c>
      <c r="W126" s="120" t="str">
        <f t="shared" si="117"/>
        <v>:</v>
      </c>
      <c r="X126" s="120" t="str">
        <f t="shared" si="119"/>
        <v>:0</v>
      </c>
      <c r="Y126" s="250">
        <f t="array" aca="1" ref="Y126:AJ126" ca="1">VLOOKUP($D126&amp;":"&amp;$C126,tblPayRates,{3,4,5,6,7,8,9,10,11,12,13,14},0)</f>
        <v>0</v>
      </c>
      <c r="Z126" s="16" t="str">
        <f ca="1"/>
        <v>Nobody</v>
      </c>
      <c r="AA126" s="261" t="str">
        <f ca="1"/>
        <v>M</v>
      </c>
      <c r="AB126" s="77" t="str">
        <f ca="1"/>
        <v>Daily</v>
      </c>
      <c r="AC126" s="77">
        <f ca="1"/>
        <v>0</v>
      </c>
      <c r="AD126" s="77">
        <f ca="1"/>
        <v>0</v>
      </c>
      <c r="AE126" s="77">
        <f ca="1"/>
        <v>0</v>
      </c>
      <c r="AF126" s="77">
        <f ca="1"/>
        <v>0</v>
      </c>
      <c r="AG126" s="261" t="str">
        <f ca="1"/>
        <v>N</v>
      </c>
      <c r="AH126" s="261">
        <f ca="1"/>
        <v>1</v>
      </c>
      <c r="AI126" s="261">
        <f ca="1"/>
        <v>1</v>
      </c>
      <c r="AJ126" s="262">
        <f ca="1"/>
        <v>0</v>
      </c>
    </row>
    <row r="127" spans="1:36" hidden="1" outlineLevel="1" x14ac:dyDescent="0.25">
      <c r="A127" s="120">
        <f t="shared" si="109"/>
        <v>0</v>
      </c>
      <c r="B127" s="231"/>
      <c r="C127" s="77"/>
      <c r="D127" s="238"/>
      <c r="E127" s="76" t="e">
        <f ca="1">SUMIF(payNonMonth,"="&amp;$X127,$E$362:OFFSET($E$362,ROWS(payNonMonth)-1,0))</f>
        <v>#NAME?</v>
      </c>
      <c r="F127" s="76"/>
      <c r="G127" s="77" t="e">
        <f t="shared" ca="1" si="110"/>
        <v>#NAME?</v>
      </c>
      <c r="H127" s="76" t="e">
        <f t="shared" ca="1" si="111"/>
        <v>#NAME?</v>
      </c>
      <c r="I127" s="76" t="e">
        <f t="shared" ca="1" si="112"/>
        <v>#NAME?</v>
      </c>
      <c r="J127" s="233" t="e">
        <f t="shared" ca="1" si="103"/>
        <v>#NAME?</v>
      </c>
      <c r="K127" s="76" t="e">
        <f t="shared" si="104"/>
        <v>#NAME?</v>
      </c>
      <c r="L127" s="76" t="e">
        <f t="shared" ca="1" si="105"/>
        <v>#NAME?</v>
      </c>
      <c r="M127" s="76" t="e">
        <f t="shared" ca="1" si="113"/>
        <v>#VALUE!</v>
      </c>
      <c r="N127" s="76" t="e">
        <f t="shared" ca="1" si="106"/>
        <v>#NAME?</v>
      </c>
      <c r="O127" s="76" t="e">
        <f t="shared" ca="1" si="118"/>
        <v>#NAME?</v>
      </c>
      <c r="P127" s="76"/>
      <c r="Q127" s="76" t="e">
        <f t="shared" ca="1" si="114"/>
        <v>#NAME?</v>
      </c>
      <c r="R127" s="76" t="e">
        <f t="shared" ca="1" si="92"/>
        <v>#VALUE!</v>
      </c>
      <c r="S127" s="76" t="e">
        <f t="shared" ca="1" si="115"/>
        <v>#NAME?</v>
      </c>
      <c r="T127" s="232" t="e">
        <f t="shared" ca="1" si="107"/>
        <v>#NAME?</v>
      </c>
      <c r="V127" s="120" t="e">
        <f t="shared" si="116"/>
        <v>#NAME?</v>
      </c>
      <c r="W127" s="120" t="str">
        <f t="shared" si="117"/>
        <v>:</v>
      </c>
      <c r="X127" s="120" t="str">
        <f t="shared" si="119"/>
        <v>:0</v>
      </c>
      <c r="Y127" s="250">
        <f t="array" aca="1" ref="Y127:AJ127" ca="1">VLOOKUP($D127&amp;":"&amp;$C127,tblPayRates,{3,4,5,6,7,8,9,10,11,12,13,14},0)</f>
        <v>0</v>
      </c>
      <c r="Z127" s="16" t="str">
        <f ca="1"/>
        <v>Nobody</v>
      </c>
      <c r="AA127" s="261" t="str">
        <f ca="1"/>
        <v>M</v>
      </c>
      <c r="AB127" s="77" t="str">
        <f ca="1"/>
        <v>Daily</v>
      </c>
      <c r="AC127" s="77">
        <f ca="1"/>
        <v>0</v>
      </c>
      <c r="AD127" s="77">
        <f ca="1"/>
        <v>0</v>
      </c>
      <c r="AE127" s="77">
        <f ca="1"/>
        <v>0</v>
      </c>
      <c r="AF127" s="77">
        <f ca="1"/>
        <v>0</v>
      </c>
      <c r="AG127" s="261" t="str">
        <f ca="1"/>
        <v>N</v>
      </c>
      <c r="AH127" s="261">
        <f ca="1"/>
        <v>1</v>
      </c>
      <c r="AI127" s="261">
        <f ca="1"/>
        <v>1</v>
      </c>
      <c r="AJ127" s="262">
        <f ca="1"/>
        <v>0</v>
      </c>
    </row>
    <row r="128" spans="1:36" hidden="1" outlineLevel="1" x14ac:dyDescent="0.25">
      <c r="A128" s="120">
        <f t="shared" si="109"/>
        <v>0</v>
      </c>
      <c r="B128" s="231"/>
      <c r="C128" s="77"/>
      <c r="D128" s="238"/>
      <c r="E128" s="76" t="e">
        <f ca="1">SUMIF(payNonMonth,"="&amp;$X128,$E$362:OFFSET($E$362,ROWS(payNonMonth)-1,0))</f>
        <v>#NAME?</v>
      </c>
      <c r="F128" s="76"/>
      <c r="G128" s="77" t="e">
        <f t="shared" ca="1" si="110"/>
        <v>#NAME?</v>
      </c>
      <c r="H128" s="76" t="e">
        <f t="shared" ca="1" si="111"/>
        <v>#NAME?</v>
      </c>
      <c r="I128" s="76" t="e">
        <f t="shared" ca="1" si="112"/>
        <v>#NAME?</v>
      </c>
      <c r="J128" s="233" t="e">
        <f t="shared" ca="1" si="103"/>
        <v>#NAME?</v>
      </c>
      <c r="K128" s="76" t="e">
        <f t="shared" si="104"/>
        <v>#NAME?</v>
      </c>
      <c r="L128" s="76" t="e">
        <f t="shared" ca="1" si="105"/>
        <v>#NAME?</v>
      </c>
      <c r="M128" s="76" t="e">
        <f t="shared" ca="1" si="113"/>
        <v>#VALUE!</v>
      </c>
      <c r="N128" s="76" t="e">
        <f t="shared" ca="1" si="106"/>
        <v>#NAME?</v>
      </c>
      <c r="O128" s="76" t="e">
        <f t="shared" ca="1" si="118"/>
        <v>#NAME?</v>
      </c>
      <c r="P128" s="76"/>
      <c r="Q128" s="76" t="e">
        <f t="shared" ca="1" si="114"/>
        <v>#NAME?</v>
      </c>
      <c r="R128" s="76" t="e">
        <f t="shared" ca="1" si="92"/>
        <v>#VALUE!</v>
      </c>
      <c r="S128" s="76" t="e">
        <f t="shared" ca="1" si="115"/>
        <v>#NAME?</v>
      </c>
      <c r="T128" s="232" t="e">
        <f t="shared" ca="1" si="107"/>
        <v>#NAME?</v>
      </c>
      <c r="V128" s="120" t="e">
        <f t="shared" si="116"/>
        <v>#NAME?</v>
      </c>
      <c r="W128" s="120" t="str">
        <f t="shared" si="117"/>
        <v>:</v>
      </c>
      <c r="X128" s="120" t="str">
        <f t="shared" si="119"/>
        <v>:0</v>
      </c>
      <c r="Y128" s="250">
        <f t="array" aca="1" ref="Y128:AJ128" ca="1">VLOOKUP($D128&amp;":"&amp;$C128,tblPayRates,{3,4,5,6,7,8,9,10,11,12,13,14},0)</f>
        <v>0</v>
      </c>
      <c r="Z128" s="16" t="str">
        <f ca="1"/>
        <v>Nobody</v>
      </c>
      <c r="AA128" s="261" t="str">
        <f ca="1"/>
        <v>M</v>
      </c>
      <c r="AB128" s="77" t="str">
        <f ca="1"/>
        <v>Daily</v>
      </c>
      <c r="AC128" s="77">
        <f ca="1"/>
        <v>0</v>
      </c>
      <c r="AD128" s="77">
        <f ca="1"/>
        <v>0</v>
      </c>
      <c r="AE128" s="77">
        <f ca="1"/>
        <v>0</v>
      </c>
      <c r="AF128" s="77">
        <f ca="1"/>
        <v>0</v>
      </c>
      <c r="AG128" s="261" t="str">
        <f ca="1"/>
        <v>N</v>
      </c>
      <c r="AH128" s="261">
        <f ca="1"/>
        <v>1</v>
      </c>
      <c r="AI128" s="261">
        <f ca="1"/>
        <v>1</v>
      </c>
      <c r="AJ128" s="262">
        <f ca="1"/>
        <v>0</v>
      </c>
    </row>
    <row r="129" spans="1:36" hidden="1" outlineLevel="1" x14ac:dyDescent="0.25">
      <c r="A129" s="120">
        <f t="shared" si="109"/>
        <v>0</v>
      </c>
      <c r="B129" s="231"/>
      <c r="C129" s="77"/>
      <c r="D129" s="238"/>
      <c r="E129" s="76" t="e">
        <f ca="1">SUMIF(payNonMonth,"="&amp;$X129,$E$362:OFFSET($E$362,ROWS(payNonMonth)-1,0))</f>
        <v>#NAME?</v>
      </c>
      <c r="F129" s="76"/>
      <c r="G129" s="77" t="e">
        <f t="shared" ca="1" si="110"/>
        <v>#NAME?</v>
      </c>
      <c r="H129" s="76" t="e">
        <f t="shared" ca="1" si="111"/>
        <v>#NAME?</v>
      </c>
      <c r="I129" s="76" t="e">
        <f t="shared" ca="1" si="112"/>
        <v>#NAME?</v>
      </c>
      <c r="J129" s="233" t="e">
        <f t="shared" ca="1" si="103"/>
        <v>#NAME?</v>
      </c>
      <c r="K129" s="76" t="e">
        <f t="shared" si="104"/>
        <v>#NAME?</v>
      </c>
      <c r="L129" s="76" t="e">
        <f t="shared" ca="1" si="105"/>
        <v>#NAME?</v>
      </c>
      <c r="M129" s="76" t="e">
        <f t="shared" ca="1" si="113"/>
        <v>#VALUE!</v>
      </c>
      <c r="N129" s="76" t="e">
        <f t="shared" ca="1" si="106"/>
        <v>#NAME?</v>
      </c>
      <c r="O129" s="76" t="e">
        <f t="shared" ca="1" si="118"/>
        <v>#NAME?</v>
      </c>
      <c r="P129" s="76"/>
      <c r="Q129" s="76" t="e">
        <f t="shared" ca="1" si="114"/>
        <v>#NAME?</v>
      </c>
      <c r="R129" s="76" t="e">
        <f t="shared" ca="1" si="92"/>
        <v>#VALUE!</v>
      </c>
      <c r="S129" s="76" t="e">
        <f t="shared" ca="1" si="115"/>
        <v>#NAME?</v>
      </c>
      <c r="T129" s="232" t="e">
        <f t="shared" ca="1" si="107"/>
        <v>#NAME?</v>
      </c>
      <c r="V129" s="120" t="e">
        <f t="shared" si="116"/>
        <v>#NAME?</v>
      </c>
      <c r="W129" s="120" t="str">
        <f t="shared" si="117"/>
        <v>:</v>
      </c>
      <c r="X129" s="120" t="str">
        <f t="shared" si="119"/>
        <v>:0</v>
      </c>
      <c r="Y129" s="250">
        <f t="array" aca="1" ref="Y129:AJ129" ca="1">VLOOKUP($D129&amp;":"&amp;$C129,tblPayRates,{3,4,5,6,7,8,9,10,11,12,13,14},0)</f>
        <v>0</v>
      </c>
      <c r="Z129" s="16" t="str">
        <f ca="1"/>
        <v>Nobody</v>
      </c>
      <c r="AA129" s="261" t="str">
        <f ca="1"/>
        <v>M</v>
      </c>
      <c r="AB129" s="77" t="str">
        <f ca="1"/>
        <v>Daily</v>
      </c>
      <c r="AC129" s="77">
        <f ca="1"/>
        <v>0</v>
      </c>
      <c r="AD129" s="77">
        <f ca="1"/>
        <v>0</v>
      </c>
      <c r="AE129" s="77">
        <f ca="1"/>
        <v>0</v>
      </c>
      <c r="AF129" s="77">
        <f ca="1"/>
        <v>0</v>
      </c>
      <c r="AG129" s="261" t="str">
        <f ca="1"/>
        <v>N</v>
      </c>
      <c r="AH129" s="261">
        <f ca="1"/>
        <v>1</v>
      </c>
      <c r="AI129" s="261">
        <f ca="1"/>
        <v>1</v>
      </c>
      <c r="AJ129" s="262">
        <f ca="1"/>
        <v>0</v>
      </c>
    </row>
    <row r="130" spans="1:36" hidden="1" outlineLevel="1" x14ac:dyDescent="0.25">
      <c r="A130" s="120">
        <f t="shared" si="109"/>
        <v>0</v>
      </c>
      <c r="B130" s="231"/>
      <c r="C130" s="77"/>
      <c r="D130" s="238"/>
      <c r="E130" s="76" t="e">
        <f ca="1">SUMIF(payNonMonth,"="&amp;$X130,$E$362:OFFSET($E$362,ROWS(payNonMonth)-1,0))</f>
        <v>#NAME?</v>
      </c>
      <c r="F130" s="76"/>
      <c r="G130" s="77" t="e">
        <f t="shared" ca="1" si="110"/>
        <v>#NAME?</v>
      </c>
      <c r="H130" s="76" t="e">
        <f t="shared" ca="1" si="111"/>
        <v>#NAME?</v>
      </c>
      <c r="I130" s="76" t="e">
        <f t="shared" ca="1" si="112"/>
        <v>#NAME?</v>
      </c>
      <c r="J130" s="233" t="e">
        <f t="shared" ca="1" si="103"/>
        <v>#NAME?</v>
      </c>
      <c r="K130" s="76" t="e">
        <f t="shared" si="104"/>
        <v>#NAME?</v>
      </c>
      <c r="L130" s="76" t="e">
        <f t="shared" ca="1" si="105"/>
        <v>#NAME?</v>
      </c>
      <c r="M130" s="76" t="e">
        <f t="shared" ca="1" si="113"/>
        <v>#VALUE!</v>
      </c>
      <c r="N130" s="76" t="e">
        <f t="shared" ca="1" si="106"/>
        <v>#NAME?</v>
      </c>
      <c r="O130" s="76" t="e">
        <f t="shared" ca="1" si="118"/>
        <v>#NAME?</v>
      </c>
      <c r="P130" s="76"/>
      <c r="Q130" s="76" t="e">
        <f t="shared" ca="1" si="114"/>
        <v>#NAME?</v>
      </c>
      <c r="R130" s="76" t="e">
        <f t="shared" ca="1" si="92"/>
        <v>#VALUE!</v>
      </c>
      <c r="S130" s="76" t="e">
        <f t="shared" ca="1" si="115"/>
        <v>#NAME?</v>
      </c>
      <c r="T130" s="232" t="e">
        <f t="shared" ca="1" si="107"/>
        <v>#NAME?</v>
      </c>
      <c r="V130" s="120" t="e">
        <f t="shared" si="116"/>
        <v>#NAME?</v>
      </c>
      <c r="W130" s="120" t="str">
        <f t="shared" si="117"/>
        <v>:</v>
      </c>
      <c r="X130" s="120" t="str">
        <f t="shared" si="119"/>
        <v>:0</v>
      </c>
      <c r="Y130" s="250">
        <f t="array" aca="1" ref="Y130:AJ130" ca="1">VLOOKUP($D130&amp;":"&amp;$C130,tblPayRates,{3,4,5,6,7,8,9,10,11,12,13,14},0)</f>
        <v>0</v>
      </c>
      <c r="Z130" s="16" t="str">
        <f ca="1"/>
        <v>Nobody</v>
      </c>
      <c r="AA130" s="261" t="str">
        <f ca="1"/>
        <v>M</v>
      </c>
      <c r="AB130" s="77" t="str">
        <f ca="1"/>
        <v>Daily</v>
      </c>
      <c r="AC130" s="77">
        <f ca="1"/>
        <v>0</v>
      </c>
      <c r="AD130" s="77">
        <f ca="1"/>
        <v>0</v>
      </c>
      <c r="AE130" s="77">
        <f ca="1"/>
        <v>0</v>
      </c>
      <c r="AF130" s="77">
        <f ca="1"/>
        <v>0</v>
      </c>
      <c r="AG130" s="261" t="str">
        <f ca="1"/>
        <v>N</v>
      </c>
      <c r="AH130" s="261">
        <f ca="1"/>
        <v>1</v>
      </c>
      <c r="AI130" s="261">
        <f ca="1"/>
        <v>1</v>
      </c>
      <c r="AJ130" s="262">
        <f ca="1"/>
        <v>0</v>
      </c>
    </row>
    <row r="131" spans="1:36" hidden="1" outlineLevel="1" x14ac:dyDescent="0.25">
      <c r="A131" s="120">
        <f t="shared" si="109"/>
        <v>0</v>
      </c>
      <c r="B131" s="231"/>
      <c r="C131" s="77"/>
      <c r="D131" s="238"/>
      <c r="E131" s="76" t="e">
        <f ca="1">SUMIF(payNonMonth,"="&amp;$X131,$E$362:OFFSET($E$362,ROWS(payNonMonth)-1,0))</f>
        <v>#NAME?</v>
      </c>
      <c r="F131" s="76"/>
      <c r="G131" s="77" t="e">
        <f t="shared" ca="1" si="110"/>
        <v>#NAME?</v>
      </c>
      <c r="H131" s="76" t="e">
        <f t="shared" ca="1" si="111"/>
        <v>#NAME?</v>
      </c>
      <c r="I131" s="76" t="e">
        <f t="shared" ca="1" si="112"/>
        <v>#NAME?</v>
      </c>
      <c r="J131" s="233" t="e">
        <f t="shared" ca="1" si="103"/>
        <v>#NAME?</v>
      </c>
      <c r="K131" s="76" t="e">
        <f t="shared" si="104"/>
        <v>#NAME?</v>
      </c>
      <c r="L131" s="76" t="e">
        <f t="shared" ca="1" si="105"/>
        <v>#NAME?</v>
      </c>
      <c r="M131" s="76" t="e">
        <f t="shared" ca="1" si="113"/>
        <v>#VALUE!</v>
      </c>
      <c r="N131" s="76" t="e">
        <f t="shared" ca="1" si="106"/>
        <v>#NAME?</v>
      </c>
      <c r="O131" s="76" t="e">
        <f t="shared" ca="1" si="118"/>
        <v>#NAME?</v>
      </c>
      <c r="P131" s="76"/>
      <c r="Q131" s="76" t="e">
        <f t="shared" ca="1" si="114"/>
        <v>#NAME?</v>
      </c>
      <c r="R131" s="76" t="e">
        <f t="shared" ca="1" si="92"/>
        <v>#VALUE!</v>
      </c>
      <c r="S131" s="76" t="e">
        <f t="shared" ca="1" si="115"/>
        <v>#NAME?</v>
      </c>
      <c r="T131" s="232" t="e">
        <f t="shared" ca="1" si="107"/>
        <v>#NAME?</v>
      </c>
      <c r="V131" s="120" t="e">
        <f t="shared" si="116"/>
        <v>#NAME?</v>
      </c>
      <c r="W131" s="120" t="str">
        <f t="shared" si="117"/>
        <v>:</v>
      </c>
      <c r="X131" s="120" t="str">
        <f t="shared" si="119"/>
        <v>:0</v>
      </c>
      <c r="Y131" s="250">
        <f t="array" aca="1" ref="Y131:AJ131" ca="1">VLOOKUP($D131&amp;":"&amp;$C131,tblPayRates,{3,4,5,6,7,8,9,10,11,12,13,14},0)</f>
        <v>0</v>
      </c>
      <c r="Z131" s="16" t="str">
        <f ca="1"/>
        <v>Nobody</v>
      </c>
      <c r="AA131" s="261" t="str">
        <f ca="1"/>
        <v>M</v>
      </c>
      <c r="AB131" s="77" t="str">
        <f ca="1"/>
        <v>Daily</v>
      </c>
      <c r="AC131" s="77">
        <f ca="1"/>
        <v>0</v>
      </c>
      <c r="AD131" s="77">
        <f ca="1"/>
        <v>0</v>
      </c>
      <c r="AE131" s="77">
        <f ca="1"/>
        <v>0</v>
      </c>
      <c r="AF131" s="77">
        <f ca="1"/>
        <v>0</v>
      </c>
      <c r="AG131" s="261" t="str">
        <f ca="1"/>
        <v>N</v>
      </c>
      <c r="AH131" s="261">
        <f ca="1"/>
        <v>1</v>
      </c>
      <c r="AI131" s="261">
        <f ca="1"/>
        <v>1</v>
      </c>
      <c r="AJ131" s="262">
        <f ca="1"/>
        <v>0</v>
      </c>
    </row>
    <row r="132" spans="1:36" hidden="1" outlineLevel="1" x14ac:dyDescent="0.25">
      <c r="A132" s="120">
        <f t="shared" si="109"/>
        <v>0</v>
      </c>
      <c r="B132" s="231"/>
      <c r="C132" s="77"/>
      <c r="D132" s="238"/>
      <c r="E132" s="76" t="e">
        <f ca="1">SUMIF(payNonMonth,"="&amp;$X132,$E$362:OFFSET($E$362,ROWS(payNonMonth)-1,0))</f>
        <v>#NAME?</v>
      </c>
      <c r="F132" s="76"/>
      <c r="G132" s="77" t="e">
        <f t="shared" ca="1" si="110"/>
        <v>#NAME?</v>
      </c>
      <c r="H132" s="76" t="e">
        <f t="shared" ca="1" si="111"/>
        <v>#NAME?</v>
      </c>
      <c r="I132" s="76" t="e">
        <f t="shared" ca="1" si="112"/>
        <v>#NAME?</v>
      </c>
      <c r="J132" s="233" t="e">
        <f t="shared" ca="1" si="103"/>
        <v>#NAME?</v>
      </c>
      <c r="K132" s="76" t="e">
        <f t="shared" si="104"/>
        <v>#NAME?</v>
      </c>
      <c r="L132" s="76" t="e">
        <f t="shared" ca="1" si="105"/>
        <v>#NAME?</v>
      </c>
      <c r="M132" s="76" t="e">
        <f t="shared" ca="1" si="113"/>
        <v>#VALUE!</v>
      </c>
      <c r="N132" s="76" t="e">
        <f t="shared" ca="1" si="106"/>
        <v>#NAME?</v>
      </c>
      <c r="O132" s="76" t="e">
        <f t="shared" ca="1" si="118"/>
        <v>#NAME?</v>
      </c>
      <c r="P132" s="76"/>
      <c r="Q132" s="76" t="e">
        <f t="shared" ca="1" si="114"/>
        <v>#NAME?</v>
      </c>
      <c r="R132" s="76" t="e">
        <f t="shared" ca="1" si="92"/>
        <v>#VALUE!</v>
      </c>
      <c r="S132" s="76" t="e">
        <f t="shared" ca="1" si="115"/>
        <v>#NAME?</v>
      </c>
      <c r="T132" s="232" t="e">
        <f t="shared" ca="1" si="107"/>
        <v>#NAME?</v>
      </c>
      <c r="V132" s="120" t="e">
        <f t="shared" si="116"/>
        <v>#NAME?</v>
      </c>
      <c r="W132" s="120" t="str">
        <f t="shared" si="117"/>
        <v>:</v>
      </c>
      <c r="X132" s="120" t="str">
        <f t="shared" si="119"/>
        <v>:0</v>
      </c>
      <c r="Y132" s="250">
        <f t="array" aca="1" ref="Y132:AJ132" ca="1">VLOOKUP($D132&amp;":"&amp;$C132,tblPayRates,{3,4,5,6,7,8,9,10,11,12,13,14},0)</f>
        <v>0</v>
      </c>
      <c r="Z132" s="16" t="str">
        <f ca="1"/>
        <v>Nobody</v>
      </c>
      <c r="AA132" s="261" t="str">
        <f ca="1"/>
        <v>M</v>
      </c>
      <c r="AB132" s="77" t="str">
        <f ca="1"/>
        <v>Daily</v>
      </c>
      <c r="AC132" s="77">
        <f ca="1"/>
        <v>0</v>
      </c>
      <c r="AD132" s="77">
        <f ca="1"/>
        <v>0</v>
      </c>
      <c r="AE132" s="77">
        <f ca="1"/>
        <v>0</v>
      </c>
      <c r="AF132" s="77">
        <f ca="1"/>
        <v>0</v>
      </c>
      <c r="AG132" s="261" t="str">
        <f ca="1"/>
        <v>N</v>
      </c>
      <c r="AH132" s="261">
        <f ca="1"/>
        <v>1</v>
      </c>
      <c r="AI132" s="261">
        <f ca="1"/>
        <v>1</v>
      </c>
      <c r="AJ132" s="262">
        <f ca="1"/>
        <v>0</v>
      </c>
    </row>
    <row r="133" spans="1:36" hidden="1" outlineLevel="1" x14ac:dyDescent="0.25">
      <c r="A133" s="120">
        <f t="shared" si="109"/>
        <v>0</v>
      </c>
      <c r="B133" s="231"/>
      <c r="C133" s="77"/>
      <c r="D133" s="238"/>
      <c r="E133" s="76" t="e">
        <f ca="1">SUMIF(payNonMonth,"="&amp;$X133,$E$362:OFFSET($E$362,ROWS(payNonMonth)-1,0))</f>
        <v>#NAME?</v>
      </c>
      <c r="F133" s="76"/>
      <c r="G133" s="77" t="e">
        <f t="shared" ca="1" si="110"/>
        <v>#NAME?</v>
      </c>
      <c r="H133" s="76" t="e">
        <f t="shared" ca="1" si="111"/>
        <v>#NAME?</v>
      </c>
      <c r="I133" s="76" t="e">
        <f t="shared" ca="1" si="112"/>
        <v>#NAME?</v>
      </c>
      <c r="J133" s="233" t="e">
        <f t="shared" ca="1" si="103"/>
        <v>#NAME?</v>
      </c>
      <c r="K133" s="76" t="e">
        <f t="shared" si="104"/>
        <v>#NAME?</v>
      </c>
      <c r="L133" s="76" t="e">
        <f t="shared" ca="1" si="105"/>
        <v>#NAME?</v>
      </c>
      <c r="M133" s="76" t="e">
        <f t="shared" ca="1" si="113"/>
        <v>#VALUE!</v>
      </c>
      <c r="N133" s="76" t="e">
        <f t="shared" ca="1" si="106"/>
        <v>#NAME?</v>
      </c>
      <c r="O133" s="76" t="e">
        <f t="shared" ca="1" si="118"/>
        <v>#NAME?</v>
      </c>
      <c r="P133" s="76"/>
      <c r="Q133" s="76" t="e">
        <f t="shared" ca="1" si="114"/>
        <v>#NAME?</v>
      </c>
      <c r="R133" s="76" t="e">
        <f t="shared" ca="1" si="92"/>
        <v>#VALUE!</v>
      </c>
      <c r="S133" s="76" t="e">
        <f t="shared" ca="1" si="115"/>
        <v>#NAME?</v>
      </c>
      <c r="T133" s="232" t="e">
        <f t="shared" ca="1" si="107"/>
        <v>#NAME?</v>
      </c>
      <c r="V133" s="120" t="e">
        <f t="shared" si="116"/>
        <v>#NAME?</v>
      </c>
      <c r="W133" s="120" t="str">
        <f t="shared" si="117"/>
        <v>:</v>
      </c>
      <c r="X133" s="120" t="str">
        <f t="shared" si="119"/>
        <v>:0</v>
      </c>
      <c r="Y133" s="250">
        <f t="array" aca="1" ref="Y133:AJ133" ca="1">VLOOKUP($D133&amp;":"&amp;$C133,tblPayRates,{3,4,5,6,7,8,9,10,11,12,13,14},0)</f>
        <v>0</v>
      </c>
      <c r="Z133" s="16" t="str">
        <f ca="1"/>
        <v>Nobody</v>
      </c>
      <c r="AA133" s="261" t="str">
        <f ca="1"/>
        <v>M</v>
      </c>
      <c r="AB133" s="77" t="str">
        <f ca="1"/>
        <v>Daily</v>
      </c>
      <c r="AC133" s="77">
        <f ca="1"/>
        <v>0</v>
      </c>
      <c r="AD133" s="77">
        <f ca="1"/>
        <v>0</v>
      </c>
      <c r="AE133" s="77">
        <f ca="1"/>
        <v>0</v>
      </c>
      <c r="AF133" s="77">
        <f ca="1"/>
        <v>0</v>
      </c>
      <c r="AG133" s="261" t="str">
        <f ca="1"/>
        <v>N</v>
      </c>
      <c r="AH133" s="261">
        <f ca="1"/>
        <v>1</v>
      </c>
      <c r="AI133" s="261">
        <f ca="1"/>
        <v>1</v>
      </c>
      <c r="AJ133" s="262">
        <f ca="1"/>
        <v>0</v>
      </c>
    </row>
    <row r="134" spans="1:36" hidden="1" outlineLevel="1" x14ac:dyDescent="0.25">
      <c r="A134" s="120">
        <f t="shared" si="109"/>
        <v>0</v>
      </c>
      <c r="B134" s="231"/>
      <c r="C134" s="77"/>
      <c r="D134" s="238"/>
      <c r="E134" s="76" t="e">
        <f ca="1">SUMIF(payNonMonth,"="&amp;$X134,$E$362:OFFSET($E$362,ROWS(payNonMonth)-1,0))</f>
        <v>#NAME?</v>
      </c>
      <c r="F134" s="76"/>
      <c r="G134" s="77" t="e">
        <f t="shared" ca="1" si="110"/>
        <v>#NAME?</v>
      </c>
      <c r="H134" s="76" t="e">
        <f t="shared" ca="1" si="111"/>
        <v>#NAME?</v>
      </c>
      <c r="I134" s="76" t="e">
        <f t="shared" ca="1" si="112"/>
        <v>#NAME?</v>
      </c>
      <c r="J134" s="233" t="e">
        <f t="shared" ca="1" si="103"/>
        <v>#NAME?</v>
      </c>
      <c r="K134" s="76" t="e">
        <f t="shared" si="104"/>
        <v>#NAME?</v>
      </c>
      <c r="L134" s="76" t="e">
        <f t="shared" ca="1" si="105"/>
        <v>#NAME?</v>
      </c>
      <c r="M134" s="76" t="e">
        <f t="shared" ca="1" si="113"/>
        <v>#VALUE!</v>
      </c>
      <c r="N134" s="76" t="e">
        <f t="shared" ca="1" si="106"/>
        <v>#NAME?</v>
      </c>
      <c r="O134" s="76" t="e">
        <f t="shared" ca="1" si="118"/>
        <v>#NAME?</v>
      </c>
      <c r="P134" s="76"/>
      <c r="Q134" s="76" t="e">
        <f t="shared" ca="1" si="114"/>
        <v>#NAME?</v>
      </c>
      <c r="R134" s="76" t="e">
        <f t="shared" ca="1" si="92"/>
        <v>#VALUE!</v>
      </c>
      <c r="S134" s="76" t="e">
        <f t="shared" ca="1" si="115"/>
        <v>#NAME?</v>
      </c>
      <c r="T134" s="232" t="e">
        <f t="shared" ca="1" si="107"/>
        <v>#NAME?</v>
      </c>
      <c r="V134" s="120" t="e">
        <f t="shared" si="116"/>
        <v>#NAME?</v>
      </c>
      <c r="W134" s="120" t="str">
        <f t="shared" si="117"/>
        <v>:</v>
      </c>
      <c r="X134" s="120" t="str">
        <f t="shared" si="119"/>
        <v>:0</v>
      </c>
      <c r="Y134" s="250">
        <f t="array" aca="1" ref="Y134:AJ134" ca="1">VLOOKUP($D134&amp;":"&amp;$C134,tblPayRates,{3,4,5,6,7,8,9,10,11,12,13,14},0)</f>
        <v>0</v>
      </c>
      <c r="Z134" s="16" t="str">
        <f ca="1"/>
        <v>Nobody</v>
      </c>
      <c r="AA134" s="261" t="str">
        <f ca="1"/>
        <v>M</v>
      </c>
      <c r="AB134" s="77" t="str">
        <f ca="1"/>
        <v>Daily</v>
      </c>
      <c r="AC134" s="77">
        <f ca="1"/>
        <v>0</v>
      </c>
      <c r="AD134" s="77">
        <f ca="1"/>
        <v>0</v>
      </c>
      <c r="AE134" s="77">
        <f ca="1"/>
        <v>0</v>
      </c>
      <c r="AF134" s="77">
        <f ca="1"/>
        <v>0</v>
      </c>
      <c r="AG134" s="261" t="str">
        <f ca="1"/>
        <v>N</v>
      </c>
      <c r="AH134" s="261">
        <f ca="1"/>
        <v>1</v>
      </c>
      <c r="AI134" s="261">
        <f ca="1"/>
        <v>1</v>
      </c>
      <c r="AJ134" s="262">
        <f ca="1"/>
        <v>0</v>
      </c>
    </row>
    <row r="135" spans="1:36" hidden="1" outlineLevel="1" x14ac:dyDescent="0.25">
      <c r="A135" s="120">
        <f t="shared" si="109"/>
        <v>0</v>
      </c>
      <c r="B135" s="231"/>
      <c r="C135" s="77"/>
      <c r="D135" s="238"/>
      <c r="E135" s="76" t="e">
        <f ca="1">SUMIF(payNonMonth,"="&amp;$X135,$E$362:OFFSET($E$362,ROWS(payNonMonth)-1,0))</f>
        <v>#NAME?</v>
      </c>
      <c r="F135" s="76"/>
      <c r="G135" s="77" t="e">
        <f t="shared" ca="1" si="110"/>
        <v>#NAME?</v>
      </c>
      <c r="H135" s="76" t="e">
        <f t="shared" ca="1" si="111"/>
        <v>#NAME?</v>
      </c>
      <c r="I135" s="76" t="e">
        <f t="shared" ca="1" si="112"/>
        <v>#NAME?</v>
      </c>
      <c r="J135" s="233" t="e">
        <f t="shared" ca="1" si="103"/>
        <v>#NAME?</v>
      </c>
      <c r="K135" s="76" t="e">
        <f t="shared" si="104"/>
        <v>#NAME?</v>
      </c>
      <c r="L135" s="76" t="e">
        <f t="shared" ca="1" si="105"/>
        <v>#NAME?</v>
      </c>
      <c r="M135" s="76" t="e">
        <f t="shared" ca="1" si="113"/>
        <v>#VALUE!</v>
      </c>
      <c r="N135" s="76" t="e">
        <f t="shared" ca="1" si="106"/>
        <v>#NAME?</v>
      </c>
      <c r="O135" s="76" t="e">
        <f t="shared" ca="1" si="118"/>
        <v>#NAME?</v>
      </c>
      <c r="P135" s="76"/>
      <c r="Q135" s="76" t="e">
        <f t="shared" ca="1" si="114"/>
        <v>#NAME?</v>
      </c>
      <c r="R135" s="76" t="e">
        <f t="shared" ca="1" si="92"/>
        <v>#VALUE!</v>
      </c>
      <c r="S135" s="76" t="e">
        <f t="shared" ca="1" si="115"/>
        <v>#NAME?</v>
      </c>
      <c r="T135" s="232" t="e">
        <f t="shared" ca="1" si="107"/>
        <v>#NAME?</v>
      </c>
      <c r="V135" s="120" t="e">
        <f t="shared" si="116"/>
        <v>#NAME?</v>
      </c>
      <c r="W135" s="120" t="str">
        <f t="shared" si="117"/>
        <v>:</v>
      </c>
      <c r="X135" s="120" t="str">
        <f t="shared" si="119"/>
        <v>:0</v>
      </c>
      <c r="Y135" s="250">
        <f t="array" aca="1" ref="Y135:AJ135" ca="1">VLOOKUP($D135&amp;":"&amp;$C135,tblPayRates,{3,4,5,6,7,8,9,10,11,12,13,14},0)</f>
        <v>0</v>
      </c>
      <c r="Z135" s="16" t="str">
        <f ca="1"/>
        <v>Nobody</v>
      </c>
      <c r="AA135" s="261" t="str">
        <f ca="1"/>
        <v>M</v>
      </c>
      <c r="AB135" s="77" t="str">
        <f ca="1"/>
        <v>Daily</v>
      </c>
      <c r="AC135" s="77">
        <f ca="1"/>
        <v>0</v>
      </c>
      <c r="AD135" s="77">
        <f ca="1"/>
        <v>0</v>
      </c>
      <c r="AE135" s="77">
        <f ca="1"/>
        <v>0</v>
      </c>
      <c r="AF135" s="77">
        <f ca="1"/>
        <v>0</v>
      </c>
      <c r="AG135" s="261" t="str">
        <f ca="1"/>
        <v>N</v>
      </c>
      <c r="AH135" s="261">
        <f ca="1"/>
        <v>1</v>
      </c>
      <c r="AI135" s="261">
        <f ca="1"/>
        <v>1</v>
      </c>
      <c r="AJ135" s="262">
        <f ca="1"/>
        <v>0</v>
      </c>
    </row>
    <row r="136" spans="1:36" hidden="1" outlineLevel="1" x14ac:dyDescent="0.25">
      <c r="A136" s="120">
        <f t="shared" si="109"/>
        <v>0</v>
      </c>
      <c r="B136" s="231"/>
      <c r="C136" s="77"/>
      <c r="D136" s="238"/>
      <c r="E136" s="76" t="e">
        <f ca="1">SUMIF(payNonMonth,"="&amp;$X136,$E$362:OFFSET($E$362,ROWS(payNonMonth)-1,0))</f>
        <v>#NAME?</v>
      </c>
      <c r="F136" s="76"/>
      <c r="G136" s="77" t="e">
        <f t="shared" ca="1" si="110"/>
        <v>#NAME?</v>
      </c>
      <c r="H136" s="76" t="e">
        <f t="shared" ca="1" si="111"/>
        <v>#NAME?</v>
      </c>
      <c r="I136" s="76" t="e">
        <f t="shared" ca="1" si="112"/>
        <v>#NAME?</v>
      </c>
      <c r="J136" s="233" t="e">
        <f t="shared" ca="1" si="103"/>
        <v>#NAME?</v>
      </c>
      <c r="K136" s="76" t="e">
        <f t="shared" si="104"/>
        <v>#NAME?</v>
      </c>
      <c r="L136" s="76" t="e">
        <f t="shared" ca="1" si="105"/>
        <v>#NAME?</v>
      </c>
      <c r="M136" s="76" t="e">
        <f t="shared" ca="1" si="113"/>
        <v>#VALUE!</v>
      </c>
      <c r="N136" s="76" t="e">
        <f t="shared" ca="1" si="106"/>
        <v>#NAME?</v>
      </c>
      <c r="O136" s="76" t="e">
        <f t="shared" ca="1" si="118"/>
        <v>#NAME?</v>
      </c>
      <c r="P136" s="76"/>
      <c r="Q136" s="76" t="e">
        <f t="shared" ca="1" si="114"/>
        <v>#NAME?</v>
      </c>
      <c r="R136" s="76" t="e">
        <f t="shared" ca="1" si="92"/>
        <v>#VALUE!</v>
      </c>
      <c r="S136" s="76" t="e">
        <f t="shared" ca="1" si="115"/>
        <v>#NAME?</v>
      </c>
      <c r="T136" s="232" t="e">
        <f t="shared" ca="1" si="107"/>
        <v>#NAME?</v>
      </c>
      <c r="V136" s="120" t="e">
        <f t="shared" si="116"/>
        <v>#NAME?</v>
      </c>
      <c r="W136" s="120" t="str">
        <f t="shared" si="117"/>
        <v>:</v>
      </c>
      <c r="X136" s="120" t="str">
        <f t="shared" si="119"/>
        <v>:0</v>
      </c>
      <c r="Y136" s="250">
        <f t="array" aca="1" ref="Y136:AJ136" ca="1">VLOOKUP($D136&amp;":"&amp;$C136,tblPayRates,{3,4,5,6,7,8,9,10,11,12,13,14},0)</f>
        <v>0</v>
      </c>
      <c r="Z136" s="16" t="str">
        <f ca="1"/>
        <v>Nobody</v>
      </c>
      <c r="AA136" s="261" t="str">
        <f ca="1"/>
        <v>M</v>
      </c>
      <c r="AB136" s="77" t="str">
        <f ca="1"/>
        <v>Daily</v>
      </c>
      <c r="AC136" s="77">
        <f ca="1"/>
        <v>0</v>
      </c>
      <c r="AD136" s="77">
        <f ca="1"/>
        <v>0</v>
      </c>
      <c r="AE136" s="77">
        <f ca="1"/>
        <v>0</v>
      </c>
      <c r="AF136" s="77">
        <f ca="1"/>
        <v>0</v>
      </c>
      <c r="AG136" s="261" t="str">
        <f ca="1"/>
        <v>N</v>
      </c>
      <c r="AH136" s="261">
        <f ca="1"/>
        <v>1</v>
      </c>
      <c r="AI136" s="261">
        <f ca="1"/>
        <v>1</v>
      </c>
      <c r="AJ136" s="262">
        <f ca="1"/>
        <v>0</v>
      </c>
    </row>
    <row r="137" spans="1:36" hidden="1" outlineLevel="1" x14ac:dyDescent="0.25">
      <c r="A137" s="120">
        <f t="shared" si="109"/>
        <v>0</v>
      </c>
      <c r="B137" s="231"/>
      <c r="C137" s="77"/>
      <c r="D137" s="238"/>
      <c r="E137" s="76" t="e">
        <f ca="1">SUMIF(payNonMonth,"="&amp;$X137,$E$362:OFFSET($E$362,ROWS(payNonMonth)-1,0))</f>
        <v>#NAME?</v>
      </c>
      <c r="F137" s="76"/>
      <c r="G137" s="77" t="e">
        <f t="shared" ca="1" si="110"/>
        <v>#NAME?</v>
      </c>
      <c r="H137" s="76" t="e">
        <f t="shared" ca="1" si="111"/>
        <v>#NAME?</v>
      </c>
      <c r="I137" s="76" t="e">
        <f t="shared" ca="1" si="112"/>
        <v>#NAME?</v>
      </c>
      <c r="J137" s="233" t="e">
        <f t="shared" ca="1" si="103"/>
        <v>#NAME?</v>
      </c>
      <c r="K137" s="76" t="e">
        <f t="shared" si="104"/>
        <v>#NAME?</v>
      </c>
      <c r="L137" s="76" t="e">
        <f t="shared" ca="1" si="105"/>
        <v>#NAME?</v>
      </c>
      <c r="M137" s="76" t="e">
        <f t="shared" ca="1" si="113"/>
        <v>#VALUE!</v>
      </c>
      <c r="N137" s="76" t="e">
        <f t="shared" ca="1" si="106"/>
        <v>#NAME?</v>
      </c>
      <c r="O137" s="76" t="e">
        <f t="shared" ca="1" si="118"/>
        <v>#NAME?</v>
      </c>
      <c r="P137" s="76"/>
      <c r="Q137" s="76" t="e">
        <f t="shared" ca="1" si="114"/>
        <v>#NAME?</v>
      </c>
      <c r="R137" s="76" t="e">
        <f t="shared" ca="1" si="92"/>
        <v>#VALUE!</v>
      </c>
      <c r="S137" s="76" t="e">
        <f t="shared" ca="1" si="115"/>
        <v>#NAME?</v>
      </c>
      <c r="T137" s="232" t="e">
        <f t="shared" ca="1" si="107"/>
        <v>#NAME?</v>
      </c>
      <c r="V137" s="120" t="e">
        <f t="shared" si="116"/>
        <v>#NAME?</v>
      </c>
      <c r="W137" s="120" t="str">
        <f t="shared" si="117"/>
        <v>:</v>
      </c>
      <c r="X137" s="120" t="str">
        <f t="shared" si="119"/>
        <v>:0</v>
      </c>
      <c r="Y137" s="250">
        <f t="array" aca="1" ref="Y137:AJ137" ca="1">VLOOKUP($D137&amp;":"&amp;$C137,tblPayRates,{3,4,5,6,7,8,9,10,11,12,13,14},0)</f>
        <v>0</v>
      </c>
      <c r="Z137" s="16" t="str">
        <f ca="1"/>
        <v>Nobody</v>
      </c>
      <c r="AA137" s="261" t="str">
        <f ca="1"/>
        <v>M</v>
      </c>
      <c r="AB137" s="77" t="str">
        <f ca="1"/>
        <v>Daily</v>
      </c>
      <c r="AC137" s="77">
        <f ca="1"/>
        <v>0</v>
      </c>
      <c r="AD137" s="77">
        <f ca="1"/>
        <v>0</v>
      </c>
      <c r="AE137" s="77">
        <f ca="1"/>
        <v>0</v>
      </c>
      <c r="AF137" s="77">
        <f ca="1"/>
        <v>0</v>
      </c>
      <c r="AG137" s="261" t="str">
        <f ca="1"/>
        <v>N</v>
      </c>
      <c r="AH137" s="261">
        <f ca="1"/>
        <v>1</v>
      </c>
      <c r="AI137" s="261">
        <f ca="1"/>
        <v>1</v>
      </c>
      <c r="AJ137" s="262">
        <f ca="1"/>
        <v>0</v>
      </c>
    </row>
    <row r="138" spans="1:36" hidden="1" outlineLevel="1" x14ac:dyDescent="0.25">
      <c r="A138" s="120">
        <f t="shared" si="109"/>
        <v>0</v>
      </c>
      <c r="B138" s="231"/>
      <c r="C138" s="77"/>
      <c r="D138" s="238"/>
      <c r="E138" s="76" t="e">
        <f ca="1">SUMIF(payNonMonth,"="&amp;$X138,$E$362:OFFSET($E$362,ROWS(payNonMonth)-1,0))</f>
        <v>#NAME?</v>
      </c>
      <c r="F138" s="76"/>
      <c r="G138" s="77" t="e">
        <f t="shared" ca="1" si="110"/>
        <v>#NAME?</v>
      </c>
      <c r="H138" s="76" t="e">
        <f t="shared" ca="1" si="111"/>
        <v>#NAME?</v>
      </c>
      <c r="I138" s="76" t="e">
        <f t="shared" ca="1" si="112"/>
        <v>#NAME?</v>
      </c>
      <c r="J138" s="233" t="e">
        <f t="shared" ca="1" si="103"/>
        <v>#NAME?</v>
      </c>
      <c r="K138" s="76" t="e">
        <f t="shared" si="104"/>
        <v>#NAME?</v>
      </c>
      <c r="L138" s="76" t="e">
        <f t="shared" ca="1" si="105"/>
        <v>#NAME?</v>
      </c>
      <c r="M138" s="76" t="e">
        <f t="shared" ca="1" si="113"/>
        <v>#VALUE!</v>
      </c>
      <c r="N138" s="76" t="e">
        <f t="shared" ca="1" si="106"/>
        <v>#NAME?</v>
      </c>
      <c r="O138" s="76" t="e">
        <f t="shared" ca="1" si="118"/>
        <v>#NAME?</v>
      </c>
      <c r="P138" s="76"/>
      <c r="Q138" s="76" t="e">
        <f t="shared" ca="1" si="114"/>
        <v>#NAME?</v>
      </c>
      <c r="R138" s="76" t="e">
        <f t="shared" ca="1" si="92"/>
        <v>#VALUE!</v>
      </c>
      <c r="S138" s="76" t="e">
        <f t="shared" ca="1" si="115"/>
        <v>#NAME?</v>
      </c>
      <c r="T138" s="232" t="e">
        <f t="shared" ca="1" si="107"/>
        <v>#NAME?</v>
      </c>
      <c r="V138" s="120" t="e">
        <f t="shared" si="116"/>
        <v>#NAME?</v>
      </c>
      <c r="W138" s="120" t="str">
        <f t="shared" si="117"/>
        <v>:</v>
      </c>
      <c r="X138" s="120" t="str">
        <f t="shared" si="119"/>
        <v>:0</v>
      </c>
      <c r="Y138" s="250">
        <f t="array" aca="1" ref="Y138:AJ138" ca="1">VLOOKUP($D138&amp;":"&amp;$C138,tblPayRates,{3,4,5,6,7,8,9,10,11,12,13,14},0)</f>
        <v>0</v>
      </c>
      <c r="Z138" s="16" t="str">
        <f ca="1"/>
        <v>Nobody</v>
      </c>
      <c r="AA138" s="261" t="str">
        <f ca="1"/>
        <v>M</v>
      </c>
      <c r="AB138" s="77" t="str">
        <f ca="1"/>
        <v>Daily</v>
      </c>
      <c r="AC138" s="77">
        <f ca="1"/>
        <v>0</v>
      </c>
      <c r="AD138" s="77">
        <f ca="1"/>
        <v>0</v>
      </c>
      <c r="AE138" s="77">
        <f ca="1"/>
        <v>0</v>
      </c>
      <c r="AF138" s="77">
        <f ca="1"/>
        <v>0</v>
      </c>
      <c r="AG138" s="261" t="str">
        <f ca="1"/>
        <v>N</v>
      </c>
      <c r="AH138" s="261">
        <f ca="1"/>
        <v>1</v>
      </c>
      <c r="AI138" s="261">
        <f ca="1"/>
        <v>1</v>
      </c>
      <c r="AJ138" s="262">
        <f ca="1"/>
        <v>0</v>
      </c>
    </row>
    <row r="139" spans="1:36" hidden="1" outlineLevel="1" x14ac:dyDescent="0.25">
      <c r="A139" s="120">
        <f t="shared" si="109"/>
        <v>0</v>
      </c>
      <c r="B139" s="231"/>
      <c r="C139" s="77"/>
      <c r="D139" s="238"/>
      <c r="E139" s="76" t="e">
        <f ca="1">SUMIF(payNonMonth,"="&amp;$X139,$E$362:OFFSET($E$362,ROWS(payNonMonth)-1,0))</f>
        <v>#NAME?</v>
      </c>
      <c r="F139" s="76"/>
      <c r="G139" s="77" t="e">
        <f t="shared" ca="1" si="110"/>
        <v>#NAME?</v>
      </c>
      <c r="H139" s="76" t="e">
        <f t="shared" ca="1" si="111"/>
        <v>#NAME?</v>
      </c>
      <c r="I139" s="76" t="e">
        <f t="shared" ca="1" si="112"/>
        <v>#NAME?</v>
      </c>
      <c r="J139" s="233" t="e">
        <f t="shared" ca="1" si="103"/>
        <v>#NAME?</v>
      </c>
      <c r="K139" s="76" t="e">
        <f t="shared" si="104"/>
        <v>#NAME?</v>
      </c>
      <c r="L139" s="76" t="e">
        <f t="shared" ca="1" si="105"/>
        <v>#NAME?</v>
      </c>
      <c r="M139" s="76" t="e">
        <f t="shared" ca="1" si="113"/>
        <v>#VALUE!</v>
      </c>
      <c r="N139" s="76" t="e">
        <f t="shared" ca="1" si="106"/>
        <v>#NAME?</v>
      </c>
      <c r="O139" s="76" t="e">
        <f t="shared" ca="1" si="118"/>
        <v>#NAME?</v>
      </c>
      <c r="P139" s="76"/>
      <c r="Q139" s="76" t="e">
        <f t="shared" ca="1" si="114"/>
        <v>#NAME?</v>
      </c>
      <c r="R139" s="76" t="e">
        <f t="shared" ca="1" si="92"/>
        <v>#VALUE!</v>
      </c>
      <c r="S139" s="76" t="e">
        <f t="shared" ca="1" si="115"/>
        <v>#NAME?</v>
      </c>
      <c r="T139" s="232" t="e">
        <f t="shared" ca="1" si="107"/>
        <v>#NAME?</v>
      </c>
      <c r="V139" s="120" t="e">
        <f t="shared" si="116"/>
        <v>#NAME?</v>
      </c>
      <c r="W139" s="120" t="str">
        <f t="shared" si="117"/>
        <v>:</v>
      </c>
      <c r="X139" s="120" t="str">
        <f t="shared" si="119"/>
        <v>:0</v>
      </c>
      <c r="Y139" s="250">
        <f t="array" aca="1" ref="Y139:AJ139" ca="1">VLOOKUP($D139&amp;":"&amp;$C139,tblPayRates,{3,4,5,6,7,8,9,10,11,12,13,14},0)</f>
        <v>0</v>
      </c>
      <c r="Z139" s="16" t="str">
        <f ca="1"/>
        <v>Nobody</v>
      </c>
      <c r="AA139" s="261" t="str">
        <f ca="1"/>
        <v>M</v>
      </c>
      <c r="AB139" s="77" t="str">
        <f ca="1"/>
        <v>Daily</v>
      </c>
      <c r="AC139" s="77">
        <f ca="1"/>
        <v>0</v>
      </c>
      <c r="AD139" s="77">
        <f ca="1"/>
        <v>0</v>
      </c>
      <c r="AE139" s="77">
        <f ca="1"/>
        <v>0</v>
      </c>
      <c r="AF139" s="77">
        <f ca="1"/>
        <v>0</v>
      </c>
      <c r="AG139" s="261" t="str">
        <f ca="1"/>
        <v>N</v>
      </c>
      <c r="AH139" s="261">
        <f ca="1"/>
        <v>1</v>
      </c>
      <c r="AI139" s="261">
        <f ca="1"/>
        <v>1</v>
      </c>
      <c r="AJ139" s="262">
        <f ca="1"/>
        <v>0</v>
      </c>
    </row>
    <row r="140" spans="1:36" hidden="1" outlineLevel="1" x14ac:dyDescent="0.25">
      <c r="A140" s="120">
        <f t="shared" si="109"/>
        <v>0</v>
      </c>
      <c r="B140" s="231"/>
      <c r="C140" s="77"/>
      <c r="D140" s="238"/>
      <c r="E140" s="76" t="e">
        <f ca="1">SUMIF(payNonMonth,"="&amp;$X140,$E$362:OFFSET($E$362,ROWS(payNonMonth)-1,0))</f>
        <v>#NAME?</v>
      </c>
      <c r="F140" s="76"/>
      <c r="G140" s="77" t="e">
        <f t="shared" ca="1" si="110"/>
        <v>#NAME?</v>
      </c>
      <c r="H140" s="76" t="e">
        <f t="shared" ca="1" si="111"/>
        <v>#NAME?</v>
      </c>
      <c r="I140" s="76" t="e">
        <f t="shared" ca="1" si="112"/>
        <v>#NAME?</v>
      </c>
      <c r="J140" s="233" t="e">
        <f t="shared" ca="1" si="103"/>
        <v>#NAME?</v>
      </c>
      <c r="K140" s="76" t="e">
        <f t="shared" si="104"/>
        <v>#NAME?</v>
      </c>
      <c r="L140" s="76" t="e">
        <f t="shared" ca="1" si="105"/>
        <v>#NAME?</v>
      </c>
      <c r="M140" s="76" t="e">
        <f t="shared" ca="1" si="113"/>
        <v>#VALUE!</v>
      </c>
      <c r="N140" s="76" t="e">
        <f t="shared" ca="1" si="106"/>
        <v>#NAME?</v>
      </c>
      <c r="O140" s="76" t="e">
        <f t="shared" ca="1" si="118"/>
        <v>#NAME?</v>
      </c>
      <c r="P140" s="76"/>
      <c r="Q140" s="76" t="e">
        <f t="shared" ca="1" si="114"/>
        <v>#NAME?</v>
      </c>
      <c r="R140" s="76" t="e">
        <f t="shared" ca="1" si="92"/>
        <v>#VALUE!</v>
      </c>
      <c r="S140" s="76" t="e">
        <f t="shared" ca="1" si="115"/>
        <v>#NAME?</v>
      </c>
      <c r="T140" s="232" t="e">
        <f t="shared" ca="1" si="107"/>
        <v>#NAME?</v>
      </c>
      <c r="V140" s="120" t="e">
        <f t="shared" si="116"/>
        <v>#NAME?</v>
      </c>
      <c r="W140" s="120" t="str">
        <f t="shared" si="117"/>
        <v>:</v>
      </c>
      <c r="X140" s="120" t="str">
        <f t="shared" si="119"/>
        <v>:0</v>
      </c>
      <c r="Y140" s="250">
        <f t="array" aca="1" ref="Y140:AJ140" ca="1">VLOOKUP($D140&amp;":"&amp;$C140,tblPayRates,{3,4,5,6,7,8,9,10,11,12,13,14},0)</f>
        <v>0</v>
      </c>
      <c r="Z140" s="16" t="str">
        <f ca="1"/>
        <v>Nobody</v>
      </c>
      <c r="AA140" s="261" t="str">
        <f ca="1"/>
        <v>M</v>
      </c>
      <c r="AB140" s="77" t="str">
        <f ca="1"/>
        <v>Daily</v>
      </c>
      <c r="AC140" s="77">
        <f ca="1"/>
        <v>0</v>
      </c>
      <c r="AD140" s="77">
        <f ca="1"/>
        <v>0</v>
      </c>
      <c r="AE140" s="77">
        <f ca="1"/>
        <v>0</v>
      </c>
      <c r="AF140" s="77">
        <f ca="1"/>
        <v>0</v>
      </c>
      <c r="AG140" s="261" t="str">
        <f ca="1"/>
        <v>N</v>
      </c>
      <c r="AH140" s="261">
        <f ca="1"/>
        <v>1</v>
      </c>
      <c r="AI140" s="261">
        <f ca="1"/>
        <v>1</v>
      </c>
      <c r="AJ140" s="262">
        <f ca="1"/>
        <v>0</v>
      </c>
    </row>
    <row r="141" spans="1:36" hidden="1" outlineLevel="1" x14ac:dyDescent="0.25">
      <c r="A141" s="120">
        <f t="shared" si="109"/>
        <v>0</v>
      </c>
      <c r="B141" s="231"/>
      <c r="C141" s="77"/>
      <c r="D141" s="238"/>
      <c r="E141" s="76" t="e">
        <f ca="1">SUMIF(payNonMonth,"="&amp;$X141,$E$362:OFFSET($E$362,ROWS(payNonMonth)-1,0))</f>
        <v>#NAME?</v>
      </c>
      <c r="F141" s="76"/>
      <c r="G141" s="77" t="e">
        <f t="shared" ca="1" si="110"/>
        <v>#NAME?</v>
      </c>
      <c r="H141" s="76" t="e">
        <f t="shared" ca="1" si="111"/>
        <v>#NAME?</v>
      </c>
      <c r="I141" s="76" t="e">
        <f t="shared" ca="1" si="112"/>
        <v>#NAME?</v>
      </c>
      <c r="J141" s="233" t="e">
        <f t="shared" ca="1" si="103"/>
        <v>#NAME?</v>
      </c>
      <c r="K141" s="76" t="e">
        <f t="shared" si="104"/>
        <v>#NAME?</v>
      </c>
      <c r="L141" s="76" t="e">
        <f t="shared" ca="1" si="105"/>
        <v>#NAME?</v>
      </c>
      <c r="M141" s="76" t="e">
        <f t="shared" ca="1" si="113"/>
        <v>#VALUE!</v>
      </c>
      <c r="N141" s="76" t="e">
        <f t="shared" ca="1" si="106"/>
        <v>#NAME?</v>
      </c>
      <c r="O141" s="76" t="e">
        <f t="shared" ca="1" si="118"/>
        <v>#NAME?</v>
      </c>
      <c r="P141" s="76"/>
      <c r="Q141" s="76" t="e">
        <f t="shared" ca="1" si="114"/>
        <v>#NAME?</v>
      </c>
      <c r="R141" s="76" t="e">
        <f t="shared" ca="1" si="92"/>
        <v>#VALUE!</v>
      </c>
      <c r="S141" s="76" t="e">
        <f t="shared" ca="1" si="115"/>
        <v>#NAME?</v>
      </c>
      <c r="T141" s="232" t="e">
        <f t="shared" ca="1" si="107"/>
        <v>#NAME?</v>
      </c>
      <c r="V141" s="120" t="e">
        <f t="shared" si="116"/>
        <v>#NAME?</v>
      </c>
      <c r="W141" s="120" t="str">
        <f t="shared" si="117"/>
        <v>:</v>
      </c>
      <c r="X141" s="120" t="str">
        <f t="shared" si="119"/>
        <v>:0</v>
      </c>
      <c r="Y141" s="250">
        <f t="array" aca="1" ref="Y141:AJ141" ca="1">VLOOKUP($D141&amp;":"&amp;$C141,tblPayRates,{3,4,5,6,7,8,9,10,11,12,13,14},0)</f>
        <v>0</v>
      </c>
      <c r="Z141" s="16" t="str">
        <f ca="1"/>
        <v>Nobody</v>
      </c>
      <c r="AA141" s="261" t="str">
        <f ca="1"/>
        <v>M</v>
      </c>
      <c r="AB141" s="77" t="str">
        <f ca="1"/>
        <v>Daily</v>
      </c>
      <c r="AC141" s="77">
        <f ca="1"/>
        <v>0</v>
      </c>
      <c r="AD141" s="77">
        <f ca="1"/>
        <v>0</v>
      </c>
      <c r="AE141" s="77">
        <f ca="1"/>
        <v>0</v>
      </c>
      <c r="AF141" s="77">
        <f ca="1"/>
        <v>0</v>
      </c>
      <c r="AG141" s="261" t="str">
        <f ca="1"/>
        <v>N</v>
      </c>
      <c r="AH141" s="261">
        <f ca="1"/>
        <v>1</v>
      </c>
      <c r="AI141" s="261">
        <f ca="1"/>
        <v>1</v>
      </c>
      <c r="AJ141" s="262">
        <f ca="1"/>
        <v>0</v>
      </c>
    </row>
    <row r="142" spans="1:36" hidden="1" outlineLevel="1" x14ac:dyDescent="0.25">
      <c r="A142" s="120">
        <f t="shared" si="109"/>
        <v>0</v>
      </c>
      <c r="B142" s="231"/>
      <c r="C142" s="77"/>
      <c r="D142" s="238"/>
      <c r="E142" s="76" t="e">
        <f ca="1">SUMIF(payNonMonth,"="&amp;$X142,$E$362:OFFSET($E$362,ROWS(payNonMonth)-1,0))</f>
        <v>#NAME?</v>
      </c>
      <c r="F142" s="76"/>
      <c r="G142" s="77" t="e">
        <f t="shared" ca="1" si="110"/>
        <v>#NAME?</v>
      </c>
      <c r="H142" s="76" t="e">
        <f t="shared" ca="1" si="111"/>
        <v>#NAME?</v>
      </c>
      <c r="I142" s="76" t="e">
        <f t="shared" ca="1" si="112"/>
        <v>#NAME?</v>
      </c>
      <c r="J142" s="233" t="e">
        <f t="shared" ca="1" si="103"/>
        <v>#NAME?</v>
      </c>
      <c r="K142" s="76" t="e">
        <f t="shared" si="104"/>
        <v>#NAME?</v>
      </c>
      <c r="L142" s="76" t="e">
        <f t="shared" ca="1" si="105"/>
        <v>#NAME?</v>
      </c>
      <c r="M142" s="76" t="e">
        <f t="shared" ca="1" si="113"/>
        <v>#VALUE!</v>
      </c>
      <c r="N142" s="76" t="e">
        <f t="shared" ca="1" si="106"/>
        <v>#NAME?</v>
      </c>
      <c r="O142" s="76" t="e">
        <f t="shared" ca="1" si="118"/>
        <v>#NAME?</v>
      </c>
      <c r="P142" s="76"/>
      <c r="Q142" s="76" t="e">
        <f t="shared" ca="1" si="114"/>
        <v>#NAME?</v>
      </c>
      <c r="R142" s="76" t="e">
        <f t="shared" ca="1" si="92"/>
        <v>#VALUE!</v>
      </c>
      <c r="S142" s="76" t="e">
        <f t="shared" ca="1" si="115"/>
        <v>#NAME?</v>
      </c>
      <c r="T142" s="232" t="e">
        <f t="shared" ca="1" si="107"/>
        <v>#NAME?</v>
      </c>
      <c r="V142" s="120" t="e">
        <f t="shared" si="116"/>
        <v>#NAME?</v>
      </c>
      <c r="W142" s="120" t="str">
        <f t="shared" si="117"/>
        <v>:</v>
      </c>
      <c r="X142" s="120" t="str">
        <f t="shared" si="119"/>
        <v>:0</v>
      </c>
      <c r="Y142" s="250">
        <f t="array" aca="1" ref="Y142:AJ142" ca="1">VLOOKUP($D142&amp;":"&amp;$C142,tblPayRates,{3,4,5,6,7,8,9,10,11,12,13,14},0)</f>
        <v>0</v>
      </c>
      <c r="Z142" s="16" t="str">
        <f ca="1"/>
        <v>Nobody</v>
      </c>
      <c r="AA142" s="261" t="str">
        <f ca="1"/>
        <v>M</v>
      </c>
      <c r="AB142" s="77" t="str">
        <f ca="1"/>
        <v>Daily</v>
      </c>
      <c r="AC142" s="77">
        <f ca="1"/>
        <v>0</v>
      </c>
      <c r="AD142" s="77">
        <f ca="1"/>
        <v>0</v>
      </c>
      <c r="AE142" s="77">
        <f ca="1"/>
        <v>0</v>
      </c>
      <c r="AF142" s="77">
        <f ca="1"/>
        <v>0</v>
      </c>
      <c r="AG142" s="261" t="str">
        <f ca="1"/>
        <v>N</v>
      </c>
      <c r="AH142" s="261">
        <f ca="1"/>
        <v>1</v>
      </c>
      <c r="AI142" s="261">
        <f ca="1"/>
        <v>1</v>
      </c>
      <c r="AJ142" s="262">
        <f ca="1"/>
        <v>0</v>
      </c>
    </row>
    <row r="143" spans="1:36" hidden="1" outlineLevel="1" x14ac:dyDescent="0.25">
      <c r="A143" s="120">
        <f t="shared" si="109"/>
        <v>0</v>
      </c>
      <c r="B143" s="231"/>
      <c r="C143" s="77"/>
      <c r="D143" s="238"/>
      <c r="E143" s="76" t="e">
        <f ca="1">SUMIF(payNonMonth,"="&amp;$X143,$E$362:OFFSET($E$362,ROWS(payNonMonth)-1,0))</f>
        <v>#NAME?</v>
      </c>
      <c r="F143" s="76"/>
      <c r="G143" s="77" t="e">
        <f t="shared" ca="1" si="110"/>
        <v>#NAME?</v>
      </c>
      <c r="H143" s="76" t="e">
        <f t="shared" ca="1" si="111"/>
        <v>#NAME?</v>
      </c>
      <c r="I143" s="76" t="e">
        <f t="shared" ca="1" si="112"/>
        <v>#NAME?</v>
      </c>
      <c r="J143" s="233" t="e">
        <f t="shared" ca="1" si="103"/>
        <v>#NAME?</v>
      </c>
      <c r="K143" s="76" t="e">
        <f t="shared" si="104"/>
        <v>#NAME?</v>
      </c>
      <c r="L143" s="76" t="e">
        <f t="shared" ca="1" si="105"/>
        <v>#NAME?</v>
      </c>
      <c r="M143" s="76" t="e">
        <f t="shared" ca="1" si="113"/>
        <v>#VALUE!</v>
      </c>
      <c r="N143" s="76" t="e">
        <f t="shared" ca="1" si="106"/>
        <v>#NAME?</v>
      </c>
      <c r="O143" s="76" t="e">
        <f t="shared" ca="1" si="118"/>
        <v>#NAME?</v>
      </c>
      <c r="P143" s="76"/>
      <c r="Q143" s="76" t="e">
        <f t="shared" ca="1" si="114"/>
        <v>#NAME?</v>
      </c>
      <c r="R143" s="76" t="e">
        <f t="shared" ca="1" si="92"/>
        <v>#VALUE!</v>
      </c>
      <c r="S143" s="76" t="e">
        <f t="shared" ca="1" si="115"/>
        <v>#NAME?</v>
      </c>
      <c r="T143" s="232" t="e">
        <f t="shared" ca="1" si="107"/>
        <v>#NAME?</v>
      </c>
      <c r="V143" s="120" t="e">
        <f t="shared" si="116"/>
        <v>#NAME?</v>
      </c>
      <c r="W143" s="120" t="str">
        <f t="shared" si="117"/>
        <v>:</v>
      </c>
      <c r="X143" s="120" t="str">
        <f t="shared" si="119"/>
        <v>:0</v>
      </c>
      <c r="Y143" s="250">
        <f t="array" aca="1" ref="Y143:AJ143" ca="1">VLOOKUP($D143&amp;":"&amp;$C143,tblPayRates,{3,4,5,6,7,8,9,10,11,12,13,14},0)</f>
        <v>0</v>
      </c>
      <c r="Z143" s="16" t="str">
        <f ca="1"/>
        <v>Nobody</v>
      </c>
      <c r="AA143" s="261" t="str">
        <f ca="1"/>
        <v>M</v>
      </c>
      <c r="AB143" s="77" t="str">
        <f ca="1"/>
        <v>Daily</v>
      </c>
      <c r="AC143" s="77">
        <f ca="1"/>
        <v>0</v>
      </c>
      <c r="AD143" s="77">
        <f ca="1"/>
        <v>0</v>
      </c>
      <c r="AE143" s="77">
        <f ca="1"/>
        <v>0</v>
      </c>
      <c r="AF143" s="77">
        <f ca="1"/>
        <v>0</v>
      </c>
      <c r="AG143" s="261" t="str">
        <f ca="1"/>
        <v>N</v>
      </c>
      <c r="AH143" s="261">
        <f ca="1"/>
        <v>1</v>
      </c>
      <c r="AI143" s="261">
        <f ca="1"/>
        <v>1</v>
      </c>
      <c r="AJ143" s="262">
        <f ca="1"/>
        <v>0</v>
      </c>
    </row>
    <row r="144" spans="1:36" hidden="1" outlineLevel="1" x14ac:dyDescent="0.25">
      <c r="A144" s="120">
        <f t="shared" si="109"/>
        <v>0</v>
      </c>
      <c r="B144" s="231"/>
      <c r="C144" s="77"/>
      <c r="D144" s="238"/>
      <c r="E144" s="76" t="e">
        <f ca="1">SUMIF(payNonMonth,"="&amp;$X144,$E$362:OFFSET($E$362,ROWS(payNonMonth)-1,0))</f>
        <v>#NAME?</v>
      </c>
      <c r="F144" s="76"/>
      <c r="G144" s="77" t="e">
        <f t="shared" ca="1" si="110"/>
        <v>#NAME?</v>
      </c>
      <c r="H144" s="76" t="e">
        <f t="shared" ca="1" si="111"/>
        <v>#NAME?</v>
      </c>
      <c r="I144" s="76" t="e">
        <f t="shared" ca="1" si="112"/>
        <v>#NAME?</v>
      </c>
      <c r="J144" s="233" t="e">
        <f t="shared" ca="1" si="103"/>
        <v>#NAME?</v>
      </c>
      <c r="K144" s="76" t="e">
        <f t="shared" si="104"/>
        <v>#NAME?</v>
      </c>
      <c r="L144" s="76" t="e">
        <f t="shared" ca="1" si="105"/>
        <v>#NAME?</v>
      </c>
      <c r="M144" s="76" t="e">
        <f t="shared" ca="1" si="113"/>
        <v>#VALUE!</v>
      </c>
      <c r="N144" s="76" t="e">
        <f t="shared" ca="1" si="106"/>
        <v>#NAME?</v>
      </c>
      <c r="O144" s="76" t="e">
        <f t="shared" ca="1" si="118"/>
        <v>#NAME?</v>
      </c>
      <c r="P144" s="76"/>
      <c r="Q144" s="76" t="e">
        <f t="shared" ca="1" si="114"/>
        <v>#NAME?</v>
      </c>
      <c r="R144" s="76" t="e">
        <f t="shared" ca="1" si="92"/>
        <v>#VALUE!</v>
      </c>
      <c r="S144" s="76" t="e">
        <f t="shared" ca="1" si="115"/>
        <v>#NAME?</v>
      </c>
      <c r="T144" s="232" t="e">
        <f t="shared" ca="1" si="107"/>
        <v>#NAME?</v>
      </c>
      <c r="V144" s="120" t="e">
        <f t="shared" si="116"/>
        <v>#NAME?</v>
      </c>
      <c r="W144" s="120" t="str">
        <f t="shared" si="117"/>
        <v>:</v>
      </c>
      <c r="X144" s="120" t="str">
        <f t="shared" si="119"/>
        <v>:0</v>
      </c>
      <c r="Y144" s="250">
        <f t="array" aca="1" ref="Y144:AJ144" ca="1">VLOOKUP($D144&amp;":"&amp;$C144,tblPayRates,{3,4,5,6,7,8,9,10,11,12,13,14},0)</f>
        <v>0</v>
      </c>
      <c r="Z144" s="16" t="str">
        <f ca="1"/>
        <v>Nobody</v>
      </c>
      <c r="AA144" s="261" t="str">
        <f ca="1"/>
        <v>M</v>
      </c>
      <c r="AB144" s="77" t="str">
        <f ca="1"/>
        <v>Daily</v>
      </c>
      <c r="AC144" s="77">
        <f ca="1"/>
        <v>0</v>
      </c>
      <c r="AD144" s="77">
        <f ca="1"/>
        <v>0</v>
      </c>
      <c r="AE144" s="77">
        <f ca="1"/>
        <v>0</v>
      </c>
      <c r="AF144" s="77">
        <f ca="1"/>
        <v>0</v>
      </c>
      <c r="AG144" s="261" t="str">
        <f ca="1"/>
        <v>N</v>
      </c>
      <c r="AH144" s="261">
        <f ca="1"/>
        <v>1</v>
      </c>
      <c r="AI144" s="261">
        <f ca="1"/>
        <v>1</v>
      </c>
      <c r="AJ144" s="262">
        <f ca="1"/>
        <v>0</v>
      </c>
    </row>
    <row r="145" spans="1:36" hidden="1" outlineLevel="1" x14ac:dyDescent="0.25">
      <c r="A145" s="120">
        <f t="shared" si="109"/>
        <v>0</v>
      </c>
      <c r="B145" s="231"/>
      <c r="C145" s="77"/>
      <c r="D145" s="238"/>
      <c r="E145" s="76" t="e">
        <f ca="1">SUMIF(payNonMonth,"="&amp;$X145,$E$362:OFFSET($E$362,ROWS(payNonMonth)-1,0))</f>
        <v>#NAME?</v>
      </c>
      <c r="F145" s="76"/>
      <c r="G145" s="77" t="e">
        <f t="shared" ca="1" si="110"/>
        <v>#NAME?</v>
      </c>
      <c r="H145" s="76" t="e">
        <f t="shared" ca="1" si="111"/>
        <v>#NAME?</v>
      </c>
      <c r="I145" s="76" t="e">
        <f t="shared" ca="1" si="112"/>
        <v>#NAME?</v>
      </c>
      <c r="J145" s="233" t="e">
        <f t="shared" ca="1" si="103"/>
        <v>#NAME?</v>
      </c>
      <c r="K145" s="76" t="e">
        <f t="shared" si="104"/>
        <v>#NAME?</v>
      </c>
      <c r="L145" s="76" t="e">
        <f t="shared" ca="1" si="105"/>
        <v>#NAME?</v>
      </c>
      <c r="M145" s="76" t="e">
        <f t="shared" ca="1" si="113"/>
        <v>#VALUE!</v>
      </c>
      <c r="N145" s="76" t="e">
        <f t="shared" ca="1" si="106"/>
        <v>#NAME?</v>
      </c>
      <c r="O145" s="76" t="e">
        <f t="shared" ca="1" si="118"/>
        <v>#NAME?</v>
      </c>
      <c r="P145" s="76"/>
      <c r="Q145" s="76" t="e">
        <f t="shared" ca="1" si="114"/>
        <v>#NAME?</v>
      </c>
      <c r="R145" s="76" t="e">
        <f t="shared" ca="1" si="92"/>
        <v>#VALUE!</v>
      </c>
      <c r="S145" s="76" t="e">
        <f t="shared" ca="1" si="115"/>
        <v>#NAME?</v>
      </c>
      <c r="T145" s="232" t="e">
        <f t="shared" ca="1" si="107"/>
        <v>#NAME?</v>
      </c>
      <c r="V145" s="120" t="e">
        <f t="shared" si="116"/>
        <v>#NAME?</v>
      </c>
      <c r="W145" s="120" t="str">
        <f t="shared" si="117"/>
        <v>:</v>
      </c>
      <c r="X145" s="120" t="str">
        <f t="shared" si="119"/>
        <v>:0</v>
      </c>
      <c r="Y145" s="250">
        <f t="array" aca="1" ref="Y145:AJ145" ca="1">VLOOKUP($D145&amp;":"&amp;$C145,tblPayRates,{3,4,5,6,7,8,9,10,11,12,13,14},0)</f>
        <v>0</v>
      </c>
      <c r="Z145" s="16" t="str">
        <f ca="1"/>
        <v>Nobody</v>
      </c>
      <c r="AA145" s="261" t="str">
        <f ca="1"/>
        <v>M</v>
      </c>
      <c r="AB145" s="77" t="str">
        <f ca="1"/>
        <v>Daily</v>
      </c>
      <c r="AC145" s="77">
        <f ca="1"/>
        <v>0</v>
      </c>
      <c r="AD145" s="77">
        <f ca="1"/>
        <v>0</v>
      </c>
      <c r="AE145" s="77">
        <f ca="1"/>
        <v>0</v>
      </c>
      <c r="AF145" s="77">
        <f ca="1"/>
        <v>0</v>
      </c>
      <c r="AG145" s="261" t="str">
        <f ca="1"/>
        <v>N</v>
      </c>
      <c r="AH145" s="261">
        <f ca="1"/>
        <v>1</v>
      </c>
      <c r="AI145" s="261">
        <f ca="1"/>
        <v>1</v>
      </c>
      <c r="AJ145" s="262">
        <f ca="1"/>
        <v>0</v>
      </c>
    </row>
    <row r="146" spans="1:36" hidden="1" outlineLevel="1" x14ac:dyDescent="0.25">
      <c r="A146" s="120">
        <f t="shared" si="109"/>
        <v>0</v>
      </c>
      <c r="B146" s="231"/>
      <c r="C146" s="77"/>
      <c r="D146" s="238"/>
      <c r="E146" s="76" t="e">
        <f ca="1">SUMIF(payNonMonth,"="&amp;$X146,$E$362:OFFSET($E$362,ROWS(payNonMonth)-1,0))</f>
        <v>#NAME?</v>
      </c>
      <c r="F146" s="76"/>
      <c r="G146" s="77" t="e">
        <f t="shared" ca="1" si="110"/>
        <v>#NAME?</v>
      </c>
      <c r="H146" s="76" t="e">
        <f t="shared" ca="1" si="111"/>
        <v>#NAME?</v>
      </c>
      <c r="I146" s="76" t="e">
        <f t="shared" ca="1" si="112"/>
        <v>#NAME?</v>
      </c>
      <c r="J146" s="233" t="e">
        <f t="shared" ca="1" si="103"/>
        <v>#NAME?</v>
      </c>
      <c r="K146" s="76" t="e">
        <f t="shared" si="104"/>
        <v>#NAME?</v>
      </c>
      <c r="L146" s="76" t="e">
        <f t="shared" ca="1" si="105"/>
        <v>#NAME?</v>
      </c>
      <c r="M146" s="76" t="e">
        <f t="shared" ca="1" si="113"/>
        <v>#VALUE!</v>
      </c>
      <c r="N146" s="76" t="e">
        <f t="shared" ca="1" si="106"/>
        <v>#NAME?</v>
      </c>
      <c r="O146" s="76" t="e">
        <f t="shared" ca="1" si="118"/>
        <v>#NAME?</v>
      </c>
      <c r="P146" s="76"/>
      <c r="Q146" s="76" t="e">
        <f t="shared" ca="1" si="114"/>
        <v>#NAME?</v>
      </c>
      <c r="R146" s="76" t="e">
        <f t="shared" ca="1" si="92"/>
        <v>#VALUE!</v>
      </c>
      <c r="S146" s="76" t="e">
        <f t="shared" ca="1" si="115"/>
        <v>#NAME?</v>
      </c>
      <c r="T146" s="232" t="e">
        <f t="shared" ca="1" si="107"/>
        <v>#NAME?</v>
      </c>
      <c r="V146" s="120" t="e">
        <f t="shared" si="116"/>
        <v>#NAME?</v>
      </c>
      <c r="W146" s="120" t="str">
        <f t="shared" si="117"/>
        <v>:</v>
      </c>
      <c r="X146" s="120" t="str">
        <f t="shared" si="119"/>
        <v>:0</v>
      </c>
      <c r="Y146" s="250">
        <f t="array" aca="1" ref="Y146:AJ146" ca="1">VLOOKUP($D146&amp;":"&amp;$C146,tblPayRates,{3,4,5,6,7,8,9,10,11,12,13,14},0)</f>
        <v>0</v>
      </c>
      <c r="Z146" s="16" t="str">
        <f ca="1"/>
        <v>Nobody</v>
      </c>
      <c r="AA146" s="261" t="str">
        <f ca="1"/>
        <v>M</v>
      </c>
      <c r="AB146" s="77" t="str">
        <f ca="1"/>
        <v>Daily</v>
      </c>
      <c r="AC146" s="77">
        <f ca="1"/>
        <v>0</v>
      </c>
      <c r="AD146" s="77">
        <f ca="1"/>
        <v>0</v>
      </c>
      <c r="AE146" s="77">
        <f ca="1"/>
        <v>0</v>
      </c>
      <c r="AF146" s="77">
        <f ca="1"/>
        <v>0</v>
      </c>
      <c r="AG146" s="261" t="str">
        <f ca="1"/>
        <v>N</v>
      </c>
      <c r="AH146" s="261">
        <f ca="1"/>
        <v>1</v>
      </c>
      <c r="AI146" s="261">
        <f ca="1"/>
        <v>1</v>
      </c>
      <c r="AJ146" s="262">
        <f ca="1"/>
        <v>0</v>
      </c>
    </row>
    <row r="147" spans="1:36" hidden="1" outlineLevel="1" x14ac:dyDescent="0.25">
      <c r="A147" s="120">
        <f t="shared" si="109"/>
        <v>0</v>
      </c>
      <c r="B147" s="231"/>
      <c r="C147" s="77"/>
      <c r="D147" s="238"/>
      <c r="E147" s="76" t="e">
        <f ca="1">SUMIF(payNonMonth,"="&amp;$X147,$E$362:OFFSET($E$362,ROWS(payNonMonth)-1,0))</f>
        <v>#NAME?</v>
      </c>
      <c r="F147" s="76"/>
      <c r="G147" s="77" t="e">
        <f t="shared" ca="1" si="110"/>
        <v>#NAME?</v>
      </c>
      <c r="H147" s="76" t="e">
        <f t="shared" ca="1" si="111"/>
        <v>#NAME?</v>
      </c>
      <c r="I147" s="76" t="e">
        <f t="shared" ca="1" si="112"/>
        <v>#NAME?</v>
      </c>
      <c r="J147" s="233" t="e">
        <f t="shared" ca="1" si="103"/>
        <v>#NAME?</v>
      </c>
      <c r="K147" s="76" t="e">
        <f t="shared" si="104"/>
        <v>#NAME?</v>
      </c>
      <c r="L147" s="76" t="e">
        <f t="shared" ca="1" si="105"/>
        <v>#NAME?</v>
      </c>
      <c r="M147" s="76" t="e">
        <f t="shared" ca="1" si="113"/>
        <v>#VALUE!</v>
      </c>
      <c r="N147" s="76" t="e">
        <f t="shared" ca="1" si="106"/>
        <v>#NAME?</v>
      </c>
      <c r="O147" s="76" t="e">
        <f t="shared" ca="1" si="118"/>
        <v>#NAME?</v>
      </c>
      <c r="P147" s="76"/>
      <c r="Q147" s="76" t="e">
        <f t="shared" ca="1" si="114"/>
        <v>#NAME?</v>
      </c>
      <c r="R147" s="76" t="e">
        <f t="shared" ca="1" si="92"/>
        <v>#VALUE!</v>
      </c>
      <c r="S147" s="76" t="e">
        <f t="shared" ca="1" si="115"/>
        <v>#NAME?</v>
      </c>
      <c r="T147" s="232" t="e">
        <f t="shared" ca="1" si="107"/>
        <v>#NAME?</v>
      </c>
      <c r="V147" s="120" t="e">
        <f t="shared" si="116"/>
        <v>#NAME?</v>
      </c>
      <c r="W147" s="120" t="str">
        <f t="shared" si="117"/>
        <v>:</v>
      </c>
      <c r="X147" s="120" t="str">
        <f t="shared" si="119"/>
        <v>:0</v>
      </c>
      <c r="Y147" s="250">
        <f t="array" aca="1" ref="Y147:AJ147" ca="1">VLOOKUP($D147&amp;":"&amp;$C147,tblPayRates,{3,4,5,6,7,8,9,10,11,12,13,14},0)</f>
        <v>0</v>
      </c>
      <c r="Z147" s="16" t="str">
        <f ca="1"/>
        <v>Nobody</v>
      </c>
      <c r="AA147" s="261" t="str">
        <f ca="1"/>
        <v>M</v>
      </c>
      <c r="AB147" s="77" t="str">
        <f ca="1"/>
        <v>Daily</v>
      </c>
      <c r="AC147" s="77">
        <f ca="1"/>
        <v>0</v>
      </c>
      <c r="AD147" s="77">
        <f ca="1"/>
        <v>0</v>
      </c>
      <c r="AE147" s="77">
        <f ca="1"/>
        <v>0</v>
      </c>
      <c r="AF147" s="77">
        <f ca="1"/>
        <v>0</v>
      </c>
      <c r="AG147" s="261" t="str">
        <f ca="1"/>
        <v>N</v>
      </c>
      <c r="AH147" s="261">
        <f ca="1"/>
        <v>1</v>
      </c>
      <c r="AI147" s="261">
        <f ca="1"/>
        <v>1</v>
      </c>
      <c r="AJ147" s="262">
        <f ca="1"/>
        <v>0</v>
      </c>
    </row>
    <row r="148" spans="1:36" hidden="1" outlineLevel="1" x14ac:dyDescent="0.25">
      <c r="A148" s="120">
        <f t="shared" si="109"/>
        <v>0</v>
      </c>
      <c r="B148" s="231"/>
      <c r="C148" s="77"/>
      <c r="D148" s="238"/>
      <c r="E148" s="76" t="e">
        <f ca="1">SUMIF(payNonMonth,"="&amp;$X148,$E$362:OFFSET($E$362,ROWS(payNonMonth)-1,0))</f>
        <v>#NAME?</v>
      </c>
      <c r="F148" s="76"/>
      <c r="G148" s="77" t="e">
        <f t="shared" ca="1" si="110"/>
        <v>#NAME?</v>
      </c>
      <c r="H148" s="76" t="e">
        <f t="shared" ca="1" si="111"/>
        <v>#NAME?</v>
      </c>
      <c r="I148" s="76" t="e">
        <f t="shared" ca="1" si="112"/>
        <v>#NAME?</v>
      </c>
      <c r="J148" s="233" t="e">
        <f t="shared" ca="1" si="103"/>
        <v>#NAME?</v>
      </c>
      <c r="K148" s="76" t="e">
        <f t="shared" si="104"/>
        <v>#NAME?</v>
      </c>
      <c r="L148" s="76" t="e">
        <f t="shared" ca="1" si="105"/>
        <v>#NAME?</v>
      </c>
      <c r="M148" s="76" t="e">
        <f t="shared" ca="1" si="113"/>
        <v>#VALUE!</v>
      </c>
      <c r="N148" s="76" t="e">
        <f t="shared" ca="1" si="106"/>
        <v>#NAME?</v>
      </c>
      <c r="O148" s="76" t="e">
        <f t="shared" ca="1" si="118"/>
        <v>#NAME?</v>
      </c>
      <c r="P148" s="76"/>
      <c r="Q148" s="76" t="e">
        <f t="shared" ca="1" si="114"/>
        <v>#NAME?</v>
      </c>
      <c r="R148" s="76" t="e">
        <f t="shared" ca="1" si="92"/>
        <v>#VALUE!</v>
      </c>
      <c r="S148" s="76" t="e">
        <f t="shared" ca="1" si="115"/>
        <v>#NAME?</v>
      </c>
      <c r="T148" s="232" t="e">
        <f t="shared" ca="1" si="107"/>
        <v>#NAME?</v>
      </c>
      <c r="V148" s="120" t="e">
        <f t="shared" si="116"/>
        <v>#NAME?</v>
      </c>
      <c r="W148" s="120" t="str">
        <f t="shared" si="117"/>
        <v>:</v>
      </c>
      <c r="X148" s="120" t="str">
        <f t="shared" si="119"/>
        <v>:0</v>
      </c>
      <c r="Y148" s="250">
        <f t="array" aca="1" ref="Y148:AJ148" ca="1">VLOOKUP($D148&amp;":"&amp;$C148,tblPayRates,{3,4,5,6,7,8,9,10,11,12,13,14},0)</f>
        <v>0</v>
      </c>
      <c r="Z148" s="16" t="str">
        <f ca="1"/>
        <v>Nobody</v>
      </c>
      <c r="AA148" s="261" t="str">
        <f ca="1"/>
        <v>M</v>
      </c>
      <c r="AB148" s="77" t="str">
        <f ca="1"/>
        <v>Daily</v>
      </c>
      <c r="AC148" s="77">
        <f ca="1"/>
        <v>0</v>
      </c>
      <c r="AD148" s="77">
        <f ca="1"/>
        <v>0</v>
      </c>
      <c r="AE148" s="77">
        <f ca="1"/>
        <v>0</v>
      </c>
      <c r="AF148" s="77">
        <f ca="1"/>
        <v>0</v>
      </c>
      <c r="AG148" s="261" t="str">
        <f ca="1"/>
        <v>N</v>
      </c>
      <c r="AH148" s="261">
        <f ca="1"/>
        <v>1</v>
      </c>
      <c r="AI148" s="261">
        <f ca="1"/>
        <v>1</v>
      </c>
      <c r="AJ148" s="262">
        <f ca="1"/>
        <v>0</v>
      </c>
    </row>
    <row r="149" spans="1:36" hidden="1" outlineLevel="1" x14ac:dyDescent="0.25">
      <c r="A149" s="120">
        <f t="shared" si="109"/>
        <v>0</v>
      </c>
      <c r="B149" s="231"/>
      <c r="C149" s="77"/>
      <c r="D149" s="238"/>
      <c r="E149" s="76" t="e">
        <f ca="1">SUMIF(payNonMonth,"="&amp;$X149,$E$362:OFFSET($E$362,ROWS(payNonMonth)-1,0))</f>
        <v>#NAME?</v>
      </c>
      <c r="F149" s="76"/>
      <c r="G149" s="77" t="e">
        <f t="shared" ca="1" si="110"/>
        <v>#NAME?</v>
      </c>
      <c r="H149" s="76" t="e">
        <f t="shared" ca="1" si="111"/>
        <v>#NAME?</v>
      </c>
      <c r="I149" s="76" t="e">
        <f t="shared" ca="1" si="112"/>
        <v>#NAME?</v>
      </c>
      <c r="J149" s="233" t="e">
        <f t="shared" ca="1" si="103"/>
        <v>#NAME?</v>
      </c>
      <c r="K149" s="76" t="e">
        <f t="shared" si="104"/>
        <v>#NAME?</v>
      </c>
      <c r="L149" s="76" t="e">
        <f t="shared" ca="1" si="105"/>
        <v>#NAME?</v>
      </c>
      <c r="M149" s="76" t="e">
        <f t="shared" ca="1" si="113"/>
        <v>#VALUE!</v>
      </c>
      <c r="N149" s="76" t="e">
        <f t="shared" ca="1" si="106"/>
        <v>#NAME?</v>
      </c>
      <c r="O149" s="76" t="e">
        <f t="shared" ca="1" si="118"/>
        <v>#NAME?</v>
      </c>
      <c r="P149" s="76"/>
      <c r="Q149" s="76" t="e">
        <f t="shared" ca="1" si="114"/>
        <v>#NAME?</v>
      </c>
      <c r="R149" s="76" t="e">
        <f t="shared" ca="1" si="92"/>
        <v>#VALUE!</v>
      </c>
      <c r="S149" s="76" t="e">
        <f t="shared" ca="1" si="115"/>
        <v>#NAME?</v>
      </c>
      <c r="T149" s="232" t="e">
        <f t="shared" ca="1" si="107"/>
        <v>#NAME?</v>
      </c>
      <c r="V149" s="120" t="e">
        <f t="shared" si="116"/>
        <v>#NAME?</v>
      </c>
      <c r="W149" s="120" t="str">
        <f t="shared" si="117"/>
        <v>:</v>
      </c>
      <c r="X149" s="120" t="str">
        <f t="shared" si="119"/>
        <v>:0</v>
      </c>
      <c r="Y149" s="250">
        <f t="array" aca="1" ref="Y149:AJ149" ca="1">VLOOKUP($D149&amp;":"&amp;$C149,tblPayRates,{3,4,5,6,7,8,9,10,11,12,13,14},0)</f>
        <v>0</v>
      </c>
      <c r="Z149" s="16" t="str">
        <f ca="1"/>
        <v>Nobody</v>
      </c>
      <c r="AA149" s="261" t="str">
        <f ca="1"/>
        <v>M</v>
      </c>
      <c r="AB149" s="77" t="str">
        <f ca="1"/>
        <v>Daily</v>
      </c>
      <c r="AC149" s="77">
        <f ca="1"/>
        <v>0</v>
      </c>
      <c r="AD149" s="77">
        <f ca="1"/>
        <v>0</v>
      </c>
      <c r="AE149" s="77">
        <f ca="1"/>
        <v>0</v>
      </c>
      <c r="AF149" s="77">
        <f ca="1"/>
        <v>0</v>
      </c>
      <c r="AG149" s="261" t="str">
        <f ca="1"/>
        <v>N</v>
      </c>
      <c r="AH149" s="261">
        <f ca="1"/>
        <v>1</v>
      </c>
      <c r="AI149" s="261">
        <f ca="1"/>
        <v>1</v>
      </c>
      <c r="AJ149" s="262">
        <f ca="1"/>
        <v>0</v>
      </c>
    </row>
    <row r="150" spans="1:36" hidden="1" outlineLevel="1" x14ac:dyDescent="0.25">
      <c r="A150" s="120">
        <f t="shared" si="109"/>
        <v>0</v>
      </c>
      <c r="B150" s="231"/>
      <c r="C150" s="77"/>
      <c r="D150" s="238"/>
      <c r="E150" s="76" t="e">
        <f ca="1">SUMIF(payNonMonth,"="&amp;$X150,$E$362:OFFSET($E$362,ROWS(payNonMonth)-1,0))</f>
        <v>#NAME?</v>
      </c>
      <c r="F150" s="76"/>
      <c r="G150" s="77" t="e">
        <f t="shared" ca="1" si="110"/>
        <v>#NAME?</v>
      </c>
      <c r="H150" s="76" t="e">
        <f t="shared" ca="1" si="111"/>
        <v>#NAME?</v>
      </c>
      <c r="I150" s="76" t="e">
        <f t="shared" ca="1" si="112"/>
        <v>#NAME?</v>
      </c>
      <c r="J150" s="233" t="e">
        <f t="shared" ca="1" si="103"/>
        <v>#NAME?</v>
      </c>
      <c r="K150" s="76" t="e">
        <f t="shared" si="104"/>
        <v>#NAME?</v>
      </c>
      <c r="L150" s="76" t="e">
        <f t="shared" ca="1" si="105"/>
        <v>#NAME?</v>
      </c>
      <c r="M150" s="76" t="e">
        <f t="shared" ca="1" si="113"/>
        <v>#VALUE!</v>
      </c>
      <c r="N150" s="76" t="e">
        <f t="shared" ca="1" si="106"/>
        <v>#NAME?</v>
      </c>
      <c r="O150" s="76" t="e">
        <f t="shared" ca="1" si="118"/>
        <v>#NAME?</v>
      </c>
      <c r="P150" s="76"/>
      <c r="Q150" s="76" t="e">
        <f t="shared" ca="1" si="114"/>
        <v>#NAME?</v>
      </c>
      <c r="R150" s="76" t="e">
        <f t="shared" ca="1" si="92"/>
        <v>#VALUE!</v>
      </c>
      <c r="S150" s="76" t="e">
        <f t="shared" ca="1" si="115"/>
        <v>#NAME?</v>
      </c>
      <c r="T150" s="232" t="e">
        <f t="shared" ca="1" si="107"/>
        <v>#NAME?</v>
      </c>
      <c r="V150" s="120" t="e">
        <f t="shared" si="116"/>
        <v>#NAME?</v>
      </c>
      <c r="W150" s="120" t="str">
        <f t="shared" si="117"/>
        <v>:</v>
      </c>
      <c r="X150" s="120" t="str">
        <f t="shared" si="119"/>
        <v>:0</v>
      </c>
      <c r="Y150" s="250">
        <f t="array" aca="1" ref="Y150:AJ150" ca="1">VLOOKUP($D150&amp;":"&amp;$C150,tblPayRates,{3,4,5,6,7,8,9,10,11,12,13,14},0)</f>
        <v>0</v>
      </c>
      <c r="Z150" s="16" t="str">
        <f ca="1"/>
        <v>Nobody</v>
      </c>
      <c r="AA150" s="261" t="str">
        <f ca="1"/>
        <v>M</v>
      </c>
      <c r="AB150" s="77" t="str">
        <f ca="1"/>
        <v>Daily</v>
      </c>
      <c r="AC150" s="77">
        <f ca="1"/>
        <v>0</v>
      </c>
      <c r="AD150" s="77">
        <f ca="1"/>
        <v>0</v>
      </c>
      <c r="AE150" s="77">
        <f ca="1"/>
        <v>0</v>
      </c>
      <c r="AF150" s="77">
        <f ca="1"/>
        <v>0</v>
      </c>
      <c r="AG150" s="261" t="str">
        <f ca="1"/>
        <v>N</v>
      </c>
      <c r="AH150" s="261">
        <f ca="1"/>
        <v>1</v>
      </c>
      <c r="AI150" s="261">
        <f ca="1"/>
        <v>1</v>
      </c>
      <c r="AJ150" s="262">
        <f ca="1"/>
        <v>0</v>
      </c>
    </row>
    <row r="151" spans="1:36" hidden="1" outlineLevel="1" x14ac:dyDescent="0.25">
      <c r="A151" s="120">
        <f t="shared" si="109"/>
        <v>0</v>
      </c>
      <c r="B151" s="231"/>
      <c r="C151" s="77"/>
      <c r="D151" s="238"/>
      <c r="E151" s="76"/>
      <c r="F151" s="76"/>
      <c r="G151" s="77"/>
      <c r="H151" s="76"/>
      <c r="I151" s="76"/>
      <c r="J151" s="233"/>
      <c r="K151" s="76"/>
      <c r="L151" s="76"/>
      <c r="M151" s="76"/>
      <c r="N151" s="76"/>
      <c r="O151" s="76"/>
      <c r="P151" s="76"/>
      <c r="Q151" s="76"/>
      <c r="R151" s="76"/>
      <c r="S151" s="76"/>
      <c r="T151" s="232"/>
      <c r="V151" s="120"/>
      <c r="W151" s="120"/>
      <c r="X151" s="120"/>
      <c r="Y151" s="250"/>
      <c r="Z151" s="16"/>
      <c r="AA151" s="261"/>
      <c r="AB151" s="77"/>
      <c r="AC151" s="77"/>
      <c r="AD151" s="77"/>
      <c r="AE151" s="77"/>
      <c r="AF151" s="77"/>
      <c r="AG151" s="261"/>
      <c r="AH151" s="261"/>
      <c r="AI151" s="261"/>
      <c r="AJ151" s="262"/>
    </row>
    <row r="152" spans="1:36" hidden="1" x14ac:dyDescent="0.25">
      <c r="F152"/>
      <c r="J152" s="2"/>
    </row>
    <row r="153" spans="1:36" ht="22.8" x14ac:dyDescent="0.4">
      <c r="A153" s="254"/>
      <c r="B153" s="255"/>
      <c r="C153" s="256" t="e">
        <f>EmpID</f>
        <v>#NAME?</v>
      </c>
      <c r="D153" s="255"/>
      <c r="E153" s="219"/>
      <c r="F153" s="145"/>
      <c r="G153" s="255"/>
      <c r="H153" s="219"/>
      <c r="I153" s="66"/>
      <c r="J153" s="221" t="s">
        <v>507</v>
      </c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V153" s="66" t="s">
        <v>465</v>
      </c>
      <c r="Y153" s="224"/>
      <c r="Z153" s="224"/>
      <c r="AA153" s="224"/>
    </row>
    <row r="154" spans="1:36" s="224" customFormat="1" ht="13.8" thickBot="1" x14ac:dyDescent="0.3">
      <c r="A154" s="222"/>
      <c r="B154" s="156"/>
      <c r="C154" s="263" t="e">
        <f>EmpID</f>
        <v>#NAME?</v>
      </c>
      <c r="D154" s="156"/>
      <c r="E154" s="156"/>
      <c r="F154" s="380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 t="s">
        <v>460</v>
      </c>
      <c r="V154" s="222" t="s">
        <v>508</v>
      </c>
      <c r="Y154" s="22"/>
      <c r="Z154" s="22"/>
      <c r="AA154" s="22"/>
    </row>
    <row r="155" spans="1:36" s="22" customFormat="1" hidden="1" outlineLevel="1" x14ac:dyDescent="0.25">
      <c r="A155" s="120">
        <f t="shared" ref="A155:A186" si="120">GETPAYMONTH(B155)</f>
        <v>0</v>
      </c>
      <c r="B155" s="231"/>
      <c r="C155" s="231"/>
      <c r="D155" s="231"/>
      <c r="E155" s="231"/>
      <c r="F155" s="231"/>
      <c r="G155" s="231"/>
      <c r="H155" s="76"/>
      <c r="I155" s="232"/>
      <c r="J155" s="76">
        <f t="shared" ref="J155:J186" si="121">SUM(K155:T155)</f>
        <v>0</v>
      </c>
      <c r="K155" s="76">
        <f t="shared" ref="K155:K186" si="122">ROUND($H155/11*10,2)</f>
        <v>0</v>
      </c>
      <c r="L155" s="76"/>
      <c r="M155" s="76"/>
      <c r="N155" s="76"/>
      <c r="O155" s="76"/>
      <c r="P155" s="76"/>
      <c r="Q155" s="76"/>
      <c r="R155" s="76"/>
      <c r="S155" s="76"/>
      <c r="T155" s="76"/>
      <c r="V155" s="120">
        <f t="shared" ref="V155:V186" si="123">$C155</f>
        <v>0</v>
      </c>
      <c r="Y155" s="35"/>
      <c r="Z155" s="35"/>
      <c r="AA155" s="35"/>
    </row>
    <row r="156" spans="1:36" s="22" customFormat="1" hidden="1" outlineLevel="1" x14ac:dyDescent="0.25">
      <c r="A156" s="120">
        <f t="shared" si="120"/>
        <v>1</v>
      </c>
      <c r="B156" s="231">
        <v>43658</v>
      </c>
      <c r="C156" s="231" t="s">
        <v>669</v>
      </c>
      <c r="D156" s="231"/>
      <c r="E156" s="231"/>
      <c r="F156" s="231"/>
      <c r="G156" s="231"/>
      <c r="H156" s="76"/>
      <c r="I156" s="232"/>
      <c r="J156" s="76">
        <f t="shared" si="121"/>
        <v>2348.06</v>
      </c>
      <c r="K156" s="76">
        <f t="shared" si="122"/>
        <v>0</v>
      </c>
      <c r="L156" s="76"/>
      <c r="M156" s="76"/>
      <c r="N156" s="76"/>
      <c r="O156" s="76"/>
      <c r="P156" s="76"/>
      <c r="Q156" s="76"/>
      <c r="R156" s="76"/>
      <c r="S156" s="76">
        <v>2348.06</v>
      </c>
      <c r="T156" s="76"/>
      <c r="V156" s="120" t="str">
        <f t="shared" si="123"/>
        <v>DP</v>
      </c>
      <c r="Y156" s="35"/>
      <c r="Z156" s="35"/>
      <c r="AA156" s="35"/>
    </row>
    <row r="157" spans="1:36" s="22" customFormat="1" hidden="1" outlineLevel="1" x14ac:dyDescent="0.25">
      <c r="A157" s="120">
        <f t="shared" si="120"/>
        <v>1</v>
      </c>
      <c r="B157" s="231">
        <v>43658</v>
      </c>
      <c r="C157" s="231" t="s">
        <v>678</v>
      </c>
      <c r="D157" s="231"/>
      <c r="E157" s="231"/>
      <c r="F157" s="231"/>
      <c r="G157" s="231"/>
      <c r="H157" s="76"/>
      <c r="I157" s="232"/>
      <c r="J157" s="76">
        <f t="shared" si="121"/>
        <v>2348.06</v>
      </c>
      <c r="K157" s="76">
        <f t="shared" si="122"/>
        <v>0</v>
      </c>
      <c r="L157" s="76"/>
      <c r="M157" s="76"/>
      <c r="N157" s="76"/>
      <c r="O157" s="76"/>
      <c r="P157" s="76"/>
      <c r="Q157" s="76"/>
      <c r="R157" s="76"/>
      <c r="S157" s="76">
        <v>2348.06</v>
      </c>
      <c r="T157" s="76"/>
      <c r="V157" s="120" t="str">
        <f t="shared" si="123"/>
        <v>ANK</v>
      </c>
      <c r="Y157" s="35"/>
      <c r="Z157" s="35"/>
      <c r="AA157" s="35"/>
    </row>
    <row r="158" spans="1:36" s="22" customFormat="1" hidden="1" outlineLevel="1" x14ac:dyDescent="0.25">
      <c r="A158" s="120">
        <f t="shared" si="120"/>
        <v>1</v>
      </c>
      <c r="B158" s="231">
        <v>43659</v>
      </c>
      <c r="C158" s="231" t="s">
        <v>57</v>
      </c>
      <c r="D158" s="231"/>
      <c r="E158" s="231"/>
      <c r="F158" s="231"/>
      <c r="G158" s="231"/>
      <c r="H158" s="76"/>
      <c r="I158" s="232"/>
      <c r="J158" s="76">
        <f t="shared" si="121"/>
        <v>8176.46</v>
      </c>
      <c r="K158" s="76">
        <f t="shared" si="122"/>
        <v>0</v>
      </c>
      <c r="L158" s="76"/>
      <c r="M158" s="76"/>
      <c r="N158" s="76"/>
      <c r="O158" s="76"/>
      <c r="P158" s="76"/>
      <c r="Q158" s="76"/>
      <c r="R158" s="76"/>
      <c r="S158" s="76">
        <v>5182.46</v>
      </c>
      <c r="T158" s="76">
        <v>2994</v>
      </c>
      <c r="V158" s="120" t="str">
        <f t="shared" si="123"/>
        <v>CRP</v>
      </c>
      <c r="Y158" s="35"/>
      <c r="Z158" s="35"/>
      <c r="AA158" s="35"/>
    </row>
    <row r="159" spans="1:36" s="22" customFormat="1" hidden="1" outlineLevel="1" x14ac:dyDescent="0.25">
      <c r="A159" s="120">
        <f t="shared" si="120"/>
        <v>1</v>
      </c>
      <c r="B159" s="231">
        <v>43659</v>
      </c>
      <c r="C159" s="231" t="s">
        <v>58</v>
      </c>
      <c r="D159" s="231"/>
      <c r="E159" s="231"/>
      <c r="F159" s="231"/>
      <c r="G159" s="231"/>
      <c r="H159" s="76"/>
      <c r="I159" s="232"/>
      <c r="J159" s="76">
        <f t="shared" si="121"/>
        <v>7237.1</v>
      </c>
      <c r="K159" s="76">
        <f t="shared" si="122"/>
        <v>0</v>
      </c>
      <c r="L159" s="76"/>
      <c r="M159" s="76"/>
      <c r="N159" s="76"/>
      <c r="O159" s="76"/>
      <c r="P159" s="76"/>
      <c r="Q159" s="76"/>
      <c r="R159" s="76"/>
      <c r="S159" s="76">
        <v>6188.1</v>
      </c>
      <c r="T159" s="76">
        <v>1049</v>
      </c>
      <c r="V159" s="120" t="str">
        <f t="shared" si="123"/>
        <v>SM</v>
      </c>
      <c r="Y159" s="35"/>
      <c r="Z159" s="35"/>
      <c r="AA159" s="35"/>
    </row>
    <row r="160" spans="1:36" s="22" customFormat="1" outlineLevel="1" x14ac:dyDescent="0.25">
      <c r="A160" s="120">
        <f t="shared" si="120"/>
        <v>1</v>
      </c>
      <c r="B160" s="231">
        <v>43659</v>
      </c>
      <c r="C160" s="231" t="s">
        <v>657</v>
      </c>
      <c r="D160" s="231"/>
      <c r="E160" s="231"/>
      <c r="F160" s="231"/>
      <c r="G160" s="231"/>
      <c r="H160" s="76"/>
      <c r="I160" s="232"/>
      <c r="J160" s="76">
        <f t="shared" si="121"/>
        <v>7141.1900000000005</v>
      </c>
      <c r="K160" s="76">
        <f t="shared" si="122"/>
        <v>0</v>
      </c>
      <c r="L160" s="76"/>
      <c r="M160" s="76"/>
      <c r="N160" s="76"/>
      <c r="O160" s="76"/>
      <c r="P160" s="76"/>
      <c r="Q160" s="76"/>
      <c r="R160" s="76"/>
      <c r="S160" s="76">
        <v>6904.39</v>
      </c>
      <c r="T160" s="76">
        <v>236.8</v>
      </c>
      <c r="V160" s="120" t="str">
        <f t="shared" si="123"/>
        <v>VAK</v>
      </c>
      <c r="Y160" s="35"/>
      <c r="Z160" s="35"/>
      <c r="AA160" s="35"/>
    </row>
    <row r="161" spans="1:27" s="22" customFormat="1" hidden="1" outlineLevel="1" x14ac:dyDescent="0.25">
      <c r="A161" s="120">
        <f t="shared" si="120"/>
        <v>1</v>
      </c>
      <c r="B161" s="231">
        <v>43659</v>
      </c>
      <c r="C161" s="231" t="s">
        <v>658</v>
      </c>
      <c r="D161" s="231"/>
      <c r="E161" s="231"/>
      <c r="F161" s="231"/>
      <c r="G161" s="231"/>
      <c r="H161" s="76"/>
      <c r="I161" s="232"/>
      <c r="J161" s="76">
        <f t="shared" si="121"/>
        <v>4626.0200000000004</v>
      </c>
      <c r="K161" s="76">
        <f t="shared" si="122"/>
        <v>0</v>
      </c>
      <c r="L161" s="76"/>
      <c r="M161" s="76"/>
      <c r="N161" s="76"/>
      <c r="O161" s="76"/>
      <c r="P161" s="76"/>
      <c r="Q161" s="76"/>
      <c r="R161" s="76"/>
      <c r="S161" s="76">
        <v>4569.0200000000004</v>
      </c>
      <c r="T161" s="76">
        <v>57</v>
      </c>
      <c r="V161" s="120" t="str">
        <f t="shared" si="123"/>
        <v>ASW</v>
      </c>
      <c r="Y161" s="35"/>
      <c r="Z161" s="35"/>
      <c r="AA161" s="35"/>
    </row>
    <row r="162" spans="1:27" s="22" customFormat="1" hidden="1" outlineLevel="1" x14ac:dyDescent="0.25">
      <c r="A162" s="120">
        <f t="shared" si="120"/>
        <v>1</v>
      </c>
      <c r="B162" s="231">
        <v>43659</v>
      </c>
      <c r="C162" s="231" t="s">
        <v>622</v>
      </c>
      <c r="D162" s="231"/>
      <c r="E162" s="231"/>
      <c r="F162" s="231"/>
      <c r="G162" s="231"/>
      <c r="H162" s="76"/>
      <c r="I162" s="232"/>
      <c r="J162" s="76">
        <f t="shared" si="121"/>
        <v>7179.2</v>
      </c>
      <c r="K162" s="76">
        <f t="shared" si="122"/>
        <v>0</v>
      </c>
      <c r="L162" s="76"/>
      <c r="M162" s="76"/>
      <c r="N162" s="76"/>
      <c r="O162" s="76"/>
      <c r="P162" s="76"/>
      <c r="Q162" s="76"/>
      <c r="R162" s="76"/>
      <c r="S162" s="76">
        <v>7000.3</v>
      </c>
      <c r="T162" s="76">
        <v>178.9</v>
      </c>
      <c r="V162" s="120" t="str">
        <f t="shared" si="123"/>
        <v>GEO</v>
      </c>
      <c r="Y162" s="35"/>
      <c r="Z162" s="35"/>
      <c r="AA162" s="35"/>
    </row>
    <row r="163" spans="1:27" s="22" customFormat="1" hidden="1" outlineLevel="1" x14ac:dyDescent="0.25">
      <c r="A163" s="120">
        <f t="shared" si="120"/>
        <v>1</v>
      </c>
      <c r="B163" s="231">
        <v>43672</v>
      </c>
      <c r="C163" s="231" t="s">
        <v>669</v>
      </c>
      <c r="D163" s="231"/>
      <c r="E163" s="231"/>
      <c r="F163" s="231"/>
      <c r="G163" s="231"/>
      <c r="H163" s="76"/>
      <c r="I163" s="232"/>
      <c r="J163" s="76">
        <f t="shared" si="121"/>
        <v>3544.59</v>
      </c>
      <c r="K163" s="76">
        <f t="shared" si="122"/>
        <v>0</v>
      </c>
      <c r="L163" s="76"/>
      <c r="M163" s="76"/>
      <c r="N163" s="76"/>
      <c r="O163" s="76"/>
      <c r="P163" s="76"/>
      <c r="Q163" s="76"/>
      <c r="R163" s="76"/>
      <c r="S163" s="76">
        <v>3544.59</v>
      </c>
      <c r="T163" s="76"/>
      <c r="V163" s="120" t="str">
        <f t="shared" si="123"/>
        <v>DP</v>
      </c>
      <c r="Y163" s="35"/>
      <c r="Z163" s="35"/>
      <c r="AA163" s="35"/>
    </row>
    <row r="164" spans="1:27" s="22" customFormat="1" hidden="1" outlineLevel="1" x14ac:dyDescent="0.25">
      <c r="A164" s="120">
        <f t="shared" si="120"/>
        <v>1</v>
      </c>
      <c r="B164" s="231">
        <v>43672</v>
      </c>
      <c r="C164" s="231" t="s">
        <v>678</v>
      </c>
      <c r="D164" s="231"/>
      <c r="E164" s="231"/>
      <c r="F164" s="231"/>
      <c r="G164" s="231"/>
      <c r="H164" s="76"/>
      <c r="I164" s="232"/>
      <c r="J164" s="76">
        <f t="shared" si="121"/>
        <v>3544.59</v>
      </c>
      <c r="K164" s="76">
        <f t="shared" si="122"/>
        <v>0</v>
      </c>
      <c r="L164" s="76"/>
      <c r="M164" s="76"/>
      <c r="N164" s="76"/>
      <c r="O164" s="76"/>
      <c r="P164" s="76"/>
      <c r="Q164" s="76"/>
      <c r="R164" s="76"/>
      <c r="S164" s="76">
        <v>3544.59</v>
      </c>
      <c r="T164" s="76"/>
      <c r="V164" s="120" t="str">
        <f t="shared" si="123"/>
        <v>ANK</v>
      </c>
      <c r="Y164" s="35"/>
      <c r="Z164" s="35"/>
      <c r="AA164" s="35"/>
    </row>
    <row r="165" spans="1:27" s="22" customFormat="1" hidden="1" outlineLevel="1" x14ac:dyDescent="0.25">
      <c r="A165" s="120">
        <f>GETPAYMONTH(B165)</f>
        <v>2</v>
      </c>
      <c r="B165" s="231">
        <v>43686</v>
      </c>
      <c r="C165" s="231" t="s">
        <v>669</v>
      </c>
      <c r="D165" s="231"/>
      <c r="E165" s="231"/>
      <c r="F165" s="231"/>
      <c r="G165" s="231"/>
      <c r="H165" s="76"/>
      <c r="I165" s="232"/>
      <c r="J165" s="76">
        <f>SUM(K165:T165)</f>
        <v>3785.72</v>
      </c>
      <c r="K165" s="76">
        <f>ROUND($H165/11*10,2)</f>
        <v>0</v>
      </c>
      <c r="L165" s="76"/>
      <c r="M165" s="76"/>
      <c r="N165" s="76"/>
      <c r="O165" s="76"/>
      <c r="P165" s="76"/>
      <c r="Q165" s="76"/>
      <c r="R165" s="76"/>
      <c r="S165" s="76">
        <v>3116.72</v>
      </c>
      <c r="T165" s="76">
        <v>669</v>
      </c>
      <c r="V165" s="120" t="str">
        <f>$C165</f>
        <v>DP</v>
      </c>
      <c r="Y165" s="35"/>
      <c r="Z165" s="35"/>
      <c r="AA165" s="35"/>
    </row>
    <row r="166" spans="1:27" s="22" customFormat="1" hidden="1" outlineLevel="1" x14ac:dyDescent="0.25">
      <c r="A166" s="120">
        <f t="shared" si="120"/>
        <v>2</v>
      </c>
      <c r="B166" s="231">
        <v>43686</v>
      </c>
      <c r="C166" s="231" t="s">
        <v>678</v>
      </c>
      <c r="D166" s="231"/>
      <c r="E166" s="231"/>
      <c r="F166" s="231"/>
      <c r="G166" s="231"/>
      <c r="H166" s="76"/>
      <c r="I166" s="232"/>
      <c r="J166" s="76">
        <f t="shared" si="121"/>
        <v>3791.59</v>
      </c>
      <c r="K166" s="76">
        <f t="shared" si="122"/>
        <v>0</v>
      </c>
      <c r="L166" s="76"/>
      <c r="M166" s="76"/>
      <c r="N166" s="76"/>
      <c r="O166" s="76"/>
      <c r="P166" s="76"/>
      <c r="Q166" s="76"/>
      <c r="R166" s="76"/>
      <c r="S166" s="76">
        <v>3111.59</v>
      </c>
      <c r="T166" s="76">
        <v>680</v>
      </c>
      <c r="V166" s="120" t="str">
        <f t="shared" si="123"/>
        <v>ANK</v>
      </c>
      <c r="Y166" s="35"/>
      <c r="Z166" s="35"/>
      <c r="AA166" s="35"/>
    </row>
    <row r="167" spans="1:27" s="22" customFormat="1" hidden="1" outlineLevel="1" x14ac:dyDescent="0.25">
      <c r="A167" s="120">
        <f t="shared" si="120"/>
        <v>2</v>
      </c>
      <c r="B167" s="231">
        <v>43691</v>
      </c>
      <c r="C167" s="231" t="s">
        <v>57</v>
      </c>
      <c r="D167" s="231"/>
      <c r="E167" s="231"/>
      <c r="F167" s="231"/>
      <c r="G167" s="231"/>
      <c r="H167" s="76"/>
      <c r="I167" s="232"/>
      <c r="J167" s="76">
        <f t="shared" si="121"/>
        <v>9647.3799999999992</v>
      </c>
      <c r="K167" s="76">
        <f t="shared" si="122"/>
        <v>0</v>
      </c>
      <c r="L167" s="76"/>
      <c r="M167" s="76"/>
      <c r="N167" s="76"/>
      <c r="O167" s="76"/>
      <c r="P167" s="76"/>
      <c r="Q167" s="76"/>
      <c r="R167" s="76"/>
      <c r="S167" s="76">
        <v>8642.3799999999992</v>
      </c>
      <c r="T167" s="76">
        <v>1005</v>
      </c>
      <c r="V167" s="120" t="str">
        <f t="shared" si="123"/>
        <v>CRP</v>
      </c>
      <c r="Y167" s="35"/>
      <c r="Z167" s="35"/>
      <c r="AA167" s="35"/>
    </row>
    <row r="168" spans="1:27" s="22" customFormat="1" hidden="1" outlineLevel="1" x14ac:dyDescent="0.25">
      <c r="A168" s="120">
        <f t="shared" si="120"/>
        <v>2</v>
      </c>
      <c r="B168" s="231">
        <v>43691</v>
      </c>
      <c r="C168" s="231" t="s">
        <v>58</v>
      </c>
      <c r="D168" s="231"/>
      <c r="E168" s="231"/>
      <c r="F168" s="231"/>
      <c r="G168" s="231"/>
      <c r="H168" s="76"/>
      <c r="I168" s="232"/>
      <c r="J168" s="76">
        <f t="shared" si="121"/>
        <v>7902.88</v>
      </c>
      <c r="K168" s="76">
        <f t="shared" si="122"/>
        <v>0</v>
      </c>
      <c r="L168" s="76"/>
      <c r="M168" s="76"/>
      <c r="N168" s="76"/>
      <c r="O168" s="76"/>
      <c r="P168" s="76"/>
      <c r="Q168" s="76"/>
      <c r="R168" s="76"/>
      <c r="S168" s="76">
        <v>6874.88</v>
      </c>
      <c r="T168" s="76">
        <v>1028</v>
      </c>
      <c r="V168" s="120" t="str">
        <f t="shared" si="123"/>
        <v>SM</v>
      </c>
      <c r="Y168" s="35"/>
      <c r="Z168" s="35"/>
      <c r="AA168" s="35"/>
    </row>
    <row r="169" spans="1:27" s="22" customFormat="1" outlineLevel="1" x14ac:dyDescent="0.25">
      <c r="A169" s="120">
        <f t="shared" si="120"/>
        <v>2</v>
      </c>
      <c r="B169" s="231">
        <v>43691</v>
      </c>
      <c r="C169" s="231" t="s">
        <v>657</v>
      </c>
      <c r="D169" s="231"/>
      <c r="E169" s="231"/>
      <c r="F169" s="231"/>
      <c r="G169" s="231"/>
      <c r="H169" s="76"/>
      <c r="I169" s="232"/>
      <c r="J169" s="76">
        <f t="shared" si="121"/>
        <v>6940.02</v>
      </c>
      <c r="K169" s="76">
        <f t="shared" si="122"/>
        <v>0</v>
      </c>
      <c r="L169" s="76"/>
      <c r="M169" s="76"/>
      <c r="N169" s="76"/>
      <c r="O169" s="76"/>
      <c r="P169" s="76"/>
      <c r="Q169" s="76"/>
      <c r="R169" s="76"/>
      <c r="S169" s="76">
        <v>6813.92</v>
      </c>
      <c r="T169" s="76">
        <v>126.1</v>
      </c>
      <c r="V169" s="120" t="str">
        <f t="shared" si="123"/>
        <v>VAK</v>
      </c>
      <c r="Y169" s="35"/>
      <c r="Z169" s="35"/>
      <c r="AA169" s="35"/>
    </row>
    <row r="170" spans="1:27" s="22" customFormat="1" hidden="1" outlineLevel="1" x14ac:dyDescent="0.25">
      <c r="A170" s="120">
        <f t="shared" si="120"/>
        <v>2</v>
      </c>
      <c r="B170" s="231">
        <v>43691</v>
      </c>
      <c r="C170" s="231" t="s">
        <v>658</v>
      </c>
      <c r="D170" s="231"/>
      <c r="E170" s="231"/>
      <c r="F170" s="231"/>
      <c r="G170" s="231"/>
      <c r="H170" s="76"/>
      <c r="I170" s="232"/>
      <c r="J170" s="76">
        <f t="shared" si="121"/>
        <v>4617.4500000000007</v>
      </c>
      <c r="K170" s="76">
        <f t="shared" si="122"/>
        <v>0</v>
      </c>
      <c r="L170" s="76"/>
      <c r="M170" s="76"/>
      <c r="N170" s="76"/>
      <c r="O170" s="76"/>
      <c r="P170" s="76"/>
      <c r="Q170" s="76"/>
      <c r="R170" s="76"/>
      <c r="S170" s="76">
        <v>4555.8500000000004</v>
      </c>
      <c r="T170" s="76">
        <v>61.6</v>
      </c>
      <c r="V170" s="120" t="str">
        <f t="shared" si="123"/>
        <v>ASW</v>
      </c>
      <c r="Y170" s="35"/>
      <c r="Z170" s="35"/>
      <c r="AA170" s="35"/>
    </row>
    <row r="171" spans="1:27" s="22" customFormat="1" hidden="1" outlineLevel="1" x14ac:dyDescent="0.25">
      <c r="A171" s="120">
        <f t="shared" si="120"/>
        <v>2</v>
      </c>
      <c r="B171" s="231">
        <v>43691</v>
      </c>
      <c r="C171" s="231" t="s">
        <v>622</v>
      </c>
      <c r="D171" s="231"/>
      <c r="E171" s="231"/>
      <c r="F171" s="231"/>
      <c r="G171" s="231"/>
      <c r="H171" s="76"/>
      <c r="I171" s="232"/>
      <c r="J171" s="76">
        <f t="shared" si="121"/>
        <v>8280.9</v>
      </c>
      <c r="K171" s="76">
        <f t="shared" si="122"/>
        <v>0</v>
      </c>
      <c r="L171" s="76"/>
      <c r="M171" s="76"/>
      <c r="N171" s="76"/>
      <c r="O171" s="76"/>
      <c r="P171" s="76"/>
      <c r="Q171" s="76"/>
      <c r="R171" s="76"/>
      <c r="S171" s="76">
        <v>8102</v>
      </c>
      <c r="T171" s="76">
        <v>178.9</v>
      </c>
      <c r="V171" s="120" t="str">
        <f t="shared" si="123"/>
        <v>GEO</v>
      </c>
      <c r="Y171" s="35"/>
      <c r="Z171" s="35"/>
      <c r="AA171" s="35"/>
    </row>
    <row r="172" spans="1:27" s="22" customFormat="1" hidden="1" outlineLevel="1" x14ac:dyDescent="0.25">
      <c r="A172" s="120">
        <f t="shared" si="120"/>
        <v>2</v>
      </c>
      <c r="B172" s="231">
        <v>43700</v>
      </c>
      <c r="C172" s="231" t="s">
        <v>669</v>
      </c>
      <c r="D172" s="231"/>
      <c r="E172" s="231"/>
      <c r="F172" s="231"/>
      <c r="G172" s="231"/>
      <c r="H172" s="76"/>
      <c r="I172" s="232"/>
      <c r="J172" s="76">
        <f t="shared" si="121"/>
        <v>3048.32</v>
      </c>
      <c r="K172" s="76">
        <f t="shared" si="122"/>
        <v>0</v>
      </c>
      <c r="L172" s="76"/>
      <c r="M172" s="76"/>
      <c r="N172" s="76"/>
      <c r="O172" s="76"/>
      <c r="P172" s="76"/>
      <c r="Q172" s="76"/>
      <c r="R172" s="76"/>
      <c r="S172" s="76">
        <v>3048.32</v>
      </c>
      <c r="T172" s="76"/>
      <c r="V172" s="120" t="str">
        <f t="shared" si="123"/>
        <v>DP</v>
      </c>
      <c r="Y172" s="35"/>
      <c r="Z172" s="35"/>
      <c r="AA172" s="35"/>
    </row>
    <row r="173" spans="1:27" s="22" customFormat="1" hidden="1" outlineLevel="1" x14ac:dyDescent="0.25">
      <c r="A173" s="120">
        <f t="shared" si="120"/>
        <v>2</v>
      </c>
      <c r="B173" s="231">
        <v>43700</v>
      </c>
      <c r="C173" s="231" t="s">
        <v>678</v>
      </c>
      <c r="D173" s="231"/>
      <c r="E173" s="231"/>
      <c r="F173" s="231"/>
      <c r="G173" s="231"/>
      <c r="H173" s="76"/>
      <c r="I173" s="232"/>
      <c r="J173" s="76">
        <f t="shared" si="121"/>
        <v>3046.41</v>
      </c>
      <c r="K173" s="76">
        <f t="shared" si="122"/>
        <v>0</v>
      </c>
      <c r="L173" s="76"/>
      <c r="M173" s="76"/>
      <c r="N173" s="76"/>
      <c r="O173" s="76"/>
      <c r="P173" s="76"/>
      <c r="Q173" s="76"/>
      <c r="R173" s="76"/>
      <c r="S173" s="76">
        <v>3046.41</v>
      </c>
      <c r="T173" s="76"/>
      <c r="V173" s="120" t="str">
        <f t="shared" si="123"/>
        <v>ANK</v>
      </c>
      <c r="Y173" s="35"/>
      <c r="Z173" s="35"/>
      <c r="AA173" s="35"/>
    </row>
    <row r="174" spans="1:27" s="22" customFormat="1" hidden="1" outlineLevel="1" x14ac:dyDescent="0.25">
      <c r="A174" s="120">
        <f t="shared" si="120"/>
        <v>3</v>
      </c>
      <c r="B174" s="231">
        <v>43713</v>
      </c>
      <c r="C174" s="231" t="s">
        <v>669</v>
      </c>
      <c r="D174" s="231"/>
      <c r="E174" s="231"/>
      <c r="F174" s="231"/>
      <c r="G174" s="231"/>
      <c r="H174" s="76"/>
      <c r="I174" s="232"/>
      <c r="J174" s="76">
        <f t="shared" si="121"/>
        <v>3948.24</v>
      </c>
      <c r="K174" s="76">
        <f t="shared" si="122"/>
        <v>0</v>
      </c>
      <c r="L174" s="76"/>
      <c r="M174" s="76"/>
      <c r="N174" s="76"/>
      <c r="O174" s="76"/>
      <c r="P174" s="76"/>
      <c r="Q174" s="76"/>
      <c r="R174" s="76"/>
      <c r="S174" s="76">
        <v>3373.24</v>
      </c>
      <c r="T174" s="76">
        <v>575</v>
      </c>
      <c r="V174" s="120" t="str">
        <f t="shared" si="123"/>
        <v>DP</v>
      </c>
      <c r="Y174" s="35"/>
      <c r="Z174" s="35"/>
      <c r="AA174" s="35"/>
    </row>
    <row r="175" spans="1:27" s="22" customFormat="1" hidden="1" outlineLevel="1" x14ac:dyDescent="0.25">
      <c r="A175" s="120">
        <f t="shared" si="120"/>
        <v>3</v>
      </c>
      <c r="B175" s="231">
        <v>43713</v>
      </c>
      <c r="C175" s="231" t="s">
        <v>678</v>
      </c>
      <c r="D175" s="231"/>
      <c r="E175" s="231"/>
      <c r="F175" s="231"/>
      <c r="G175" s="231"/>
      <c r="H175" s="76"/>
      <c r="I175" s="232"/>
      <c r="J175" s="76">
        <f t="shared" si="121"/>
        <v>3935.9700000000003</v>
      </c>
      <c r="K175" s="76">
        <f t="shared" si="122"/>
        <v>0</v>
      </c>
      <c r="L175" s="76"/>
      <c r="M175" s="76"/>
      <c r="N175" s="76"/>
      <c r="O175" s="76"/>
      <c r="P175" s="76"/>
      <c r="Q175" s="76"/>
      <c r="R175" s="76"/>
      <c r="S175" s="76">
        <v>3384.9700000000003</v>
      </c>
      <c r="T175" s="76">
        <v>551</v>
      </c>
      <c r="V175" s="120" t="str">
        <f t="shared" si="123"/>
        <v>ANK</v>
      </c>
      <c r="Y175" s="35"/>
      <c r="Z175" s="35"/>
      <c r="AA175" s="35"/>
    </row>
    <row r="176" spans="1:27" s="22" customFormat="1" hidden="1" outlineLevel="1" x14ac:dyDescent="0.25">
      <c r="A176" s="120">
        <f t="shared" si="120"/>
        <v>0</v>
      </c>
      <c r="B176" s="231"/>
      <c r="C176" s="231"/>
      <c r="D176" s="231"/>
      <c r="E176" s="231"/>
      <c r="F176" s="231"/>
      <c r="G176" s="231"/>
      <c r="H176" s="76"/>
      <c r="I176" s="232"/>
      <c r="J176" s="76">
        <f t="shared" si="121"/>
        <v>0</v>
      </c>
      <c r="K176" s="76">
        <f t="shared" si="122"/>
        <v>0</v>
      </c>
      <c r="L176" s="76"/>
      <c r="M176" s="76"/>
      <c r="N176" s="76"/>
      <c r="O176" s="76"/>
      <c r="P176" s="76"/>
      <c r="Q176" s="76"/>
      <c r="R176" s="76"/>
      <c r="S176" s="76"/>
      <c r="T176" s="76"/>
      <c r="V176" s="120">
        <f t="shared" si="123"/>
        <v>0</v>
      </c>
      <c r="Y176" s="35"/>
      <c r="Z176" s="35"/>
      <c r="AA176" s="35"/>
    </row>
    <row r="177" spans="1:27" s="22" customFormat="1" hidden="1" outlineLevel="1" x14ac:dyDescent="0.25">
      <c r="A177" s="120">
        <f t="shared" si="120"/>
        <v>0</v>
      </c>
      <c r="B177" s="231"/>
      <c r="C177" s="231"/>
      <c r="D177" s="231"/>
      <c r="E177" s="231"/>
      <c r="F177" s="231"/>
      <c r="G177" s="231"/>
      <c r="H177" s="76"/>
      <c r="I177" s="232"/>
      <c r="J177" s="76">
        <f t="shared" si="121"/>
        <v>0</v>
      </c>
      <c r="K177" s="76">
        <f t="shared" si="122"/>
        <v>0</v>
      </c>
      <c r="L177" s="76"/>
      <c r="M177" s="76"/>
      <c r="N177" s="76"/>
      <c r="O177" s="76"/>
      <c r="P177" s="76"/>
      <c r="Q177" s="76"/>
      <c r="R177" s="76"/>
      <c r="S177" s="76"/>
      <c r="T177" s="76"/>
      <c r="V177" s="120">
        <f t="shared" si="123"/>
        <v>0</v>
      </c>
      <c r="Y177" s="35"/>
      <c r="Z177" s="35"/>
      <c r="AA177" s="35"/>
    </row>
    <row r="178" spans="1:27" s="22" customFormat="1" hidden="1" outlineLevel="1" x14ac:dyDescent="0.25">
      <c r="A178" s="120">
        <f t="shared" si="120"/>
        <v>0</v>
      </c>
      <c r="B178" s="231"/>
      <c r="C178" s="231"/>
      <c r="D178" s="231"/>
      <c r="E178" s="231"/>
      <c r="F178" s="231"/>
      <c r="G178" s="231"/>
      <c r="H178" s="76"/>
      <c r="I178" s="232"/>
      <c r="J178" s="76">
        <f t="shared" si="121"/>
        <v>0</v>
      </c>
      <c r="K178" s="76">
        <f t="shared" si="122"/>
        <v>0</v>
      </c>
      <c r="L178" s="76"/>
      <c r="M178" s="76"/>
      <c r="N178" s="76"/>
      <c r="O178" s="76"/>
      <c r="P178" s="76"/>
      <c r="Q178" s="76"/>
      <c r="R178" s="76"/>
      <c r="S178" s="76"/>
      <c r="T178" s="76"/>
      <c r="V178" s="120">
        <f t="shared" si="123"/>
        <v>0</v>
      </c>
      <c r="Y178" s="35"/>
      <c r="Z178" s="35"/>
      <c r="AA178" s="35"/>
    </row>
    <row r="179" spans="1:27" s="22" customFormat="1" hidden="1" outlineLevel="1" x14ac:dyDescent="0.25">
      <c r="A179" s="120">
        <f t="shared" si="120"/>
        <v>0</v>
      </c>
      <c r="B179" s="231"/>
      <c r="C179" s="231"/>
      <c r="D179" s="231"/>
      <c r="E179" s="231"/>
      <c r="F179" s="231"/>
      <c r="G179" s="231"/>
      <c r="H179" s="76"/>
      <c r="I179" s="232"/>
      <c r="J179" s="76">
        <f t="shared" si="121"/>
        <v>0</v>
      </c>
      <c r="K179" s="76">
        <f t="shared" si="122"/>
        <v>0</v>
      </c>
      <c r="L179" s="76"/>
      <c r="M179" s="76"/>
      <c r="N179" s="76"/>
      <c r="O179" s="76"/>
      <c r="P179" s="76"/>
      <c r="Q179" s="76"/>
      <c r="R179" s="76"/>
      <c r="S179" s="76"/>
      <c r="T179" s="76"/>
      <c r="V179" s="120">
        <f t="shared" si="123"/>
        <v>0</v>
      </c>
      <c r="Y179" s="35"/>
      <c r="Z179" s="35"/>
      <c r="AA179" s="35"/>
    </row>
    <row r="180" spans="1:27" s="22" customFormat="1" hidden="1" outlineLevel="1" x14ac:dyDescent="0.25">
      <c r="A180" s="120">
        <f t="shared" si="120"/>
        <v>0</v>
      </c>
      <c r="B180" s="231"/>
      <c r="C180" s="231"/>
      <c r="D180" s="231"/>
      <c r="E180" s="231"/>
      <c r="F180" s="336"/>
      <c r="G180" s="231"/>
      <c r="H180" s="76"/>
      <c r="I180" s="232"/>
      <c r="J180" s="76">
        <f t="shared" si="121"/>
        <v>0</v>
      </c>
      <c r="K180" s="76">
        <f t="shared" si="122"/>
        <v>0</v>
      </c>
      <c r="L180" s="76"/>
      <c r="M180" s="76"/>
      <c r="N180" s="76"/>
      <c r="O180" s="76"/>
      <c r="P180" s="76"/>
      <c r="Q180" s="76"/>
      <c r="R180" s="76"/>
      <c r="S180" s="76"/>
      <c r="T180" s="76"/>
      <c r="V180" s="120">
        <f t="shared" si="123"/>
        <v>0</v>
      </c>
      <c r="W180" s="120" t="str">
        <f t="shared" ref="W180" si="124">$C180 &amp;":"&amp; $B180</f>
        <v>:</v>
      </c>
      <c r="X180" s="120" t="str">
        <f t="shared" ref="X180" si="125">C180 &amp;":"&amp; B180</f>
        <v>:</v>
      </c>
      <c r="Y180" s="35"/>
      <c r="Z180" s="35"/>
      <c r="AA180" s="35"/>
    </row>
    <row r="181" spans="1:27" s="22" customFormat="1" hidden="1" outlineLevel="1" x14ac:dyDescent="0.25">
      <c r="A181" s="120">
        <f t="shared" si="120"/>
        <v>0</v>
      </c>
      <c r="B181" s="231"/>
      <c r="C181" s="231"/>
      <c r="D181" s="231"/>
      <c r="E181" s="231"/>
      <c r="F181" s="231"/>
      <c r="G181" s="231"/>
      <c r="H181" s="76"/>
      <c r="I181" s="232"/>
      <c r="J181" s="76">
        <f t="shared" si="121"/>
        <v>0</v>
      </c>
      <c r="K181" s="76">
        <f t="shared" si="122"/>
        <v>0</v>
      </c>
      <c r="L181" s="76"/>
      <c r="M181" s="76"/>
      <c r="N181" s="76"/>
      <c r="O181" s="76"/>
      <c r="P181" s="76"/>
      <c r="Q181" s="76"/>
      <c r="R181" s="76"/>
      <c r="S181" s="76"/>
      <c r="T181" s="76"/>
      <c r="V181" s="120">
        <f t="shared" si="123"/>
        <v>0</v>
      </c>
      <c r="Y181" s="35"/>
      <c r="Z181" s="35"/>
      <c r="AA181" s="35"/>
    </row>
    <row r="182" spans="1:27" s="22" customFormat="1" hidden="1" outlineLevel="1" x14ac:dyDescent="0.25">
      <c r="A182" s="120">
        <f t="shared" si="120"/>
        <v>0</v>
      </c>
      <c r="B182" s="231"/>
      <c r="C182" s="231"/>
      <c r="D182" s="231"/>
      <c r="E182" s="231"/>
      <c r="F182" s="231"/>
      <c r="G182" s="231"/>
      <c r="H182" s="76"/>
      <c r="I182" s="232"/>
      <c r="J182" s="76">
        <f t="shared" si="121"/>
        <v>0</v>
      </c>
      <c r="K182" s="76">
        <f t="shared" si="122"/>
        <v>0</v>
      </c>
      <c r="L182" s="76"/>
      <c r="M182" s="76"/>
      <c r="N182" s="76"/>
      <c r="O182" s="76"/>
      <c r="P182" s="76"/>
      <c r="Q182" s="76"/>
      <c r="R182" s="76"/>
      <c r="S182" s="76"/>
      <c r="T182" s="76"/>
      <c r="V182" s="120">
        <f t="shared" si="123"/>
        <v>0</v>
      </c>
      <c r="Y182" s="35"/>
      <c r="Z182" s="35"/>
      <c r="AA182" s="35"/>
    </row>
    <row r="183" spans="1:27" s="22" customFormat="1" hidden="1" outlineLevel="1" x14ac:dyDescent="0.25">
      <c r="A183" s="120">
        <f t="shared" si="120"/>
        <v>0</v>
      </c>
      <c r="B183" s="231"/>
      <c r="C183" s="231"/>
      <c r="D183" s="231"/>
      <c r="E183" s="231"/>
      <c r="F183" s="231"/>
      <c r="G183" s="231"/>
      <c r="H183" s="76"/>
      <c r="I183" s="232"/>
      <c r="J183" s="76">
        <f t="shared" si="121"/>
        <v>0</v>
      </c>
      <c r="K183" s="76">
        <f t="shared" si="122"/>
        <v>0</v>
      </c>
      <c r="L183" s="76"/>
      <c r="M183" s="76"/>
      <c r="N183" s="76"/>
      <c r="O183" s="76"/>
      <c r="P183" s="76"/>
      <c r="Q183" s="76"/>
      <c r="R183" s="76"/>
      <c r="S183" s="76"/>
      <c r="T183" s="76"/>
      <c r="V183" s="120">
        <f t="shared" si="123"/>
        <v>0</v>
      </c>
      <c r="Y183" s="35"/>
      <c r="Z183" s="35"/>
      <c r="AA183" s="35"/>
    </row>
    <row r="184" spans="1:27" s="22" customFormat="1" hidden="1" outlineLevel="1" x14ac:dyDescent="0.25">
      <c r="A184" s="120">
        <f t="shared" si="120"/>
        <v>0</v>
      </c>
      <c r="B184" s="231"/>
      <c r="C184" s="231"/>
      <c r="D184" s="231"/>
      <c r="E184" s="231"/>
      <c r="F184" s="231"/>
      <c r="G184" s="231"/>
      <c r="H184" s="76"/>
      <c r="I184" s="232"/>
      <c r="J184" s="76">
        <f t="shared" si="121"/>
        <v>0</v>
      </c>
      <c r="K184" s="76">
        <f t="shared" si="122"/>
        <v>0</v>
      </c>
      <c r="L184" s="76"/>
      <c r="M184" s="76"/>
      <c r="N184" s="76"/>
      <c r="O184" s="76"/>
      <c r="P184" s="76"/>
      <c r="Q184" s="76"/>
      <c r="R184" s="76"/>
      <c r="S184" s="76"/>
      <c r="T184" s="76"/>
      <c r="V184" s="120">
        <f t="shared" si="123"/>
        <v>0</v>
      </c>
      <c r="Y184" s="35"/>
      <c r="Z184" s="35"/>
      <c r="AA184" s="35"/>
    </row>
    <row r="185" spans="1:27" s="22" customFormat="1" hidden="1" outlineLevel="1" x14ac:dyDescent="0.25">
      <c r="A185" s="120">
        <f t="shared" si="120"/>
        <v>0</v>
      </c>
      <c r="B185" s="231"/>
      <c r="C185" s="231"/>
      <c r="D185" s="231"/>
      <c r="E185" s="231"/>
      <c r="F185" s="231"/>
      <c r="G185" s="231"/>
      <c r="H185" s="76"/>
      <c r="I185" s="232"/>
      <c r="J185" s="76">
        <f t="shared" si="121"/>
        <v>0</v>
      </c>
      <c r="K185" s="76">
        <f t="shared" si="122"/>
        <v>0</v>
      </c>
      <c r="L185" s="76"/>
      <c r="M185" s="76"/>
      <c r="N185" s="76"/>
      <c r="O185" s="76"/>
      <c r="P185" s="76"/>
      <c r="Q185" s="76"/>
      <c r="R185" s="76"/>
      <c r="S185" s="76"/>
      <c r="T185" s="76"/>
      <c r="V185" s="120">
        <f t="shared" si="123"/>
        <v>0</v>
      </c>
      <c r="Y185" s="35"/>
      <c r="Z185" s="35"/>
      <c r="AA185" s="35"/>
    </row>
    <row r="186" spans="1:27" s="22" customFormat="1" hidden="1" outlineLevel="1" x14ac:dyDescent="0.25">
      <c r="A186" s="120">
        <f t="shared" si="120"/>
        <v>0</v>
      </c>
      <c r="B186" s="231"/>
      <c r="C186" s="231"/>
      <c r="D186" s="231"/>
      <c r="E186" s="231"/>
      <c r="F186" s="231"/>
      <c r="G186" s="231"/>
      <c r="H186" s="76"/>
      <c r="I186" s="232"/>
      <c r="J186" s="76">
        <f t="shared" si="121"/>
        <v>0</v>
      </c>
      <c r="K186" s="76">
        <f t="shared" si="122"/>
        <v>0</v>
      </c>
      <c r="L186" s="76"/>
      <c r="M186" s="76"/>
      <c r="N186" s="76"/>
      <c r="O186" s="76"/>
      <c r="P186" s="76"/>
      <c r="Q186" s="76"/>
      <c r="R186" s="76"/>
      <c r="S186" s="76"/>
      <c r="T186" s="76"/>
      <c r="V186" s="120">
        <f t="shared" si="123"/>
        <v>0</v>
      </c>
      <c r="Y186" s="35"/>
      <c r="Z186" s="35"/>
      <c r="AA186" s="35"/>
    </row>
    <row r="187" spans="1:27" s="22" customFormat="1" hidden="1" outlineLevel="1" x14ac:dyDescent="0.25">
      <c r="A187" s="120">
        <f t="shared" ref="A187:A217" si="126">GETPAYMONTH(B187)</f>
        <v>0</v>
      </c>
      <c r="B187" s="231"/>
      <c r="C187" s="231"/>
      <c r="D187" s="231"/>
      <c r="E187" s="231"/>
      <c r="F187" s="231"/>
      <c r="G187" s="231"/>
      <c r="H187" s="76"/>
      <c r="I187" s="232"/>
      <c r="J187" s="76">
        <f t="shared" ref="J187:J217" si="127">SUM(K187:T187)</f>
        <v>0</v>
      </c>
      <c r="K187" s="76">
        <f t="shared" ref="K187:K217" si="128">ROUND($H187/11*10,2)</f>
        <v>0</v>
      </c>
      <c r="L187" s="76"/>
      <c r="M187" s="76"/>
      <c r="N187" s="76"/>
      <c r="O187" s="76"/>
      <c r="P187" s="76"/>
      <c r="Q187" s="76"/>
      <c r="R187" s="76"/>
      <c r="S187" s="76"/>
      <c r="T187" s="76"/>
      <c r="V187" s="120">
        <f t="shared" ref="V187:V217" si="129">$C187</f>
        <v>0</v>
      </c>
      <c r="W187" s="120" t="str">
        <f t="shared" ref="W187" si="130">$C187 &amp;":"&amp; $B187</f>
        <v>:</v>
      </c>
      <c r="X187" s="120" t="str">
        <f t="shared" ref="X187" si="131">C187 &amp;":"&amp; B187</f>
        <v>:</v>
      </c>
      <c r="Y187" s="35"/>
      <c r="Z187" s="35"/>
      <c r="AA187" s="35"/>
    </row>
    <row r="188" spans="1:27" s="22" customFormat="1" hidden="1" outlineLevel="1" x14ac:dyDescent="0.25">
      <c r="A188" s="120">
        <f t="shared" si="126"/>
        <v>0</v>
      </c>
      <c r="B188" s="231"/>
      <c r="C188" s="231"/>
      <c r="D188" s="231"/>
      <c r="E188" s="231"/>
      <c r="F188" s="231"/>
      <c r="G188" s="231"/>
      <c r="H188" s="76"/>
      <c r="I188" s="232"/>
      <c r="J188" s="76">
        <f t="shared" si="127"/>
        <v>0</v>
      </c>
      <c r="K188" s="76">
        <f t="shared" si="128"/>
        <v>0</v>
      </c>
      <c r="L188" s="76"/>
      <c r="M188" s="76"/>
      <c r="N188" s="76"/>
      <c r="O188" s="76"/>
      <c r="P188" s="76"/>
      <c r="Q188" s="76"/>
      <c r="R188" s="76"/>
      <c r="S188" s="76"/>
      <c r="T188" s="76"/>
      <c r="V188" s="120">
        <f t="shared" si="129"/>
        <v>0</v>
      </c>
      <c r="Y188" s="35"/>
      <c r="Z188" s="35"/>
      <c r="AA188" s="35"/>
    </row>
    <row r="189" spans="1:27" s="22" customFormat="1" hidden="1" outlineLevel="1" x14ac:dyDescent="0.25">
      <c r="A189" s="120">
        <f t="shared" si="126"/>
        <v>0</v>
      </c>
      <c r="B189" s="231"/>
      <c r="C189" s="231"/>
      <c r="D189" s="231"/>
      <c r="E189" s="231"/>
      <c r="F189" s="231"/>
      <c r="G189" s="231"/>
      <c r="H189" s="76"/>
      <c r="I189" s="232"/>
      <c r="J189" s="76">
        <f t="shared" si="127"/>
        <v>0</v>
      </c>
      <c r="K189" s="76">
        <f t="shared" si="128"/>
        <v>0</v>
      </c>
      <c r="L189" s="76"/>
      <c r="M189" s="76"/>
      <c r="N189" s="76"/>
      <c r="O189" s="76"/>
      <c r="P189" s="76"/>
      <c r="Q189" s="76"/>
      <c r="R189" s="76"/>
      <c r="S189" s="76"/>
      <c r="T189" s="76"/>
      <c r="V189" s="120">
        <f t="shared" si="129"/>
        <v>0</v>
      </c>
      <c r="W189" s="120" t="str">
        <f t="shared" ref="W189" si="132">$C189 &amp;":"&amp; $B189</f>
        <v>:</v>
      </c>
      <c r="X189" s="120" t="str">
        <f t="shared" ref="X189" si="133">C189 &amp;":"&amp; B189</f>
        <v>:</v>
      </c>
      <c r="Y189" s="35"/>
      <c r="Z189" s="35"/>
      <c r="AA189" s="35"/>
    </row>
    <row r="190" spans="1:27" s="22" customFormat="1" hidden="1" outlineLevel="1" x14ac:dyDescent="0.25">
      <c r="A190" s="120">
        <f t="shared" si="126"/>
        <v>0</v>
      </c>
      <c r="B190" s="231"/>
      <c r="C190" s="231"/>
      <c r="D190" s="231"/>
      <c r="E190" s="231"/>
      <c r="F190" s="231"/>
      <c r="G190" s="231"/>
      <c r="H190" s="76"/>
      <c r="I190" s="232"/>
      <c r="J190" s="76">
        <f t="shared" si="127"/>
        <v>0</v>
      </c>
      <c r="K190" s="76">
        <f t="shared" si="128"/>
        <v>0</v>
      </c>
      <c r="L190" s="76"/>
      <c r="M190" s="76"/>
      <c r="N190" s="76"/>
      <c r="O190" s="76"/>
      <c r="P190" s="76"/>
      <c r="Q190" s="76"/>
      <c r="R190" s="76"/>
      <c r="S190" s="76"/>
      <c r="T190" s="76"/>
      <c r="V190" s="120">
        <f t="shared" si="129"/>
        <v>0</v>
      </c>
      <c r="Y190" s="35"/>
      <c r="Z190" s="35"/>
      <c r="AA190" s="35"/>
    </row>
    <row r="191" spans="1:27" s="22" customFormat="1" hidden="1" outlineLevel="1" x14ac:dyDescent="0.25">
      <c r="A191" s="120">
        <f t="shared" si="126"/>
        <v>0</v>
      </c>
      <c r="B191" s="231"/>
      <c r="C191" s="231"/>
      <c r="D191" s="231"/>
      <c r="E191" s="231"/>
      <c r="F191" s="231"/>
      <c r="G191" s="231"/>
      <c r="H191" s="76"/>
      <c r="I191" s="232"/>
      <c r="J191" s="76">
        <f t="shared" si="127"/>
        <v>0</v>
      </c>
      <c r="K191" s="76">
        <f t="shared" si="128"/>
        <v>0</v>
      </c>
      <c r="L191" s="76"/>
      <c r="M191" s="76"/>
      <c r="N191" s="76"/>
      <c r="O191" s="76"/>
      <c r="P191" s="76"/>
      <c r="Q191" s="76"/>
      <c r="R191" s="76"/>
      <c r="S191" s="76"/>
      <c r="T191" s="76"/>
      <c r="V191" s="120">
        <f t="shared" si="129"/>
        <v>0</v>
      </c>
      <c r="W191" s="120" t="str">
        <f t="shared" ref="W191" si="134">$C191 &amp;":"&amp; $B191</f>
        <v>:</v>
      </c>
      <c r="X191" s="120" t="str">
        <f t="shared" ref="X191" si="135">C191 &amp;":"&amp; B191</f>
        <v>:</v>
      </c>
      <c r="Y191" s="35"/>
      <c r="Z191" s="35"/>
      <c r="AA191" s="35"/>
    </row>
    <row r="192" spans="1:27" s="22" customFormat="1" hidden="1" outlineLevel="1" x14ac:dyDescent="0.25">
      <c r="A192" s="120">
        <f t="shared" si="126"/>
        <v>0</v>
      </c>
      <c r="B192" s="231"/>
      <c r="C192" s="231"/>
      <c r="D192" s="231"/>
      <c r="E192" s="231"/>
      <c r="F192" s="231"/>
      <c r="G192" s="231"/>
      <c r="H192" s="76"/>
      <c r="I192" s="232"/>
      <c r="J192" s="76">
        <f t="shared" si="127"/>
        <v>0</v>
      </c>
      <c r="K192" s="76">
        <f t="shared" si="128"/>
        <v>0</v>
      </c>
      <c r="L192" s="76"/>
      <c r="M192" s="76"/>
      <c r="N192" s="76"/>
      <c r="O192" s="76"/>
      <c r="P192" s="76"/>
      <c r="Q192" s="76"/>
      <c r="R192" s="76"/>
      <c r="S192" s="76"/>
      <c r="T192" s="76"/>
      <c r="V192" s="120">
        <f t="shared" si="129"/>
        <v>0</v>
      </c>
      <c r="Y192" s="35"/>
      <c r="Z192" s="35"/>
      <c r="AA192" s="35"/>
    </row>
    <row r="193" spans="1:27" s="22" customFormat="1" hidden="1" outlineLevel="1" x14ac:dyDescent="0.25">
      <c r="A193" s="120">
        <f t="shared" si="126"/>
        <v>0</v>
      </c>
      <c r="B193" s="231"/>
      <c r="C193" s="231"/>
      <c r="D193" s="231"/>
      <c r="E193" s="231"/>
      <c r="F193" s="231"/>
      <c r="G193" s="231"/>
      <c r="H193" s="76"/>
      <c r="I193" s="232"/>
      <c r="J193" s="76">
        <f t="shared" si="127"/>
        <v>0</v>
      </c>
      <c r="K193" s="76">
        <f t="shared" si="128"/>
        <v>0</v>
      </c>
      <c r="L193" s="76"/>
      <c r="M193" s="76"/>
      <c r="N193" s="76"/>
      <c r="O193" s="76"/>
      <c r="P193" s="76"/>
      <c r="Q193" s="76"/>
      <c r="R193" s="76"/>
      <c r="S193" s="76"/>
      <c r="T193" s="76"/>
      <c r="V193" s="120">
        <f t="shared" si="129"/>
        <v>0</v>
      </c>
      <c r="Y193" s="35"/>
      <c r="Z193" s="35"/>
      <c r="AA193" s="35"/>
    </row>
    <row r="194" spans="1:27" s="22" customFormat="1" hidden="1" outlineLevel="1" x14ac:dyDescent="0.25">
      <c r="A194" s="120">
        <f t="shared" si="126"/>
        <v>0</v>
      </c>
      <c r="B194" s="231"/>
      <c r="C194" s="231"/>
      <c r="D194" s="231"/>
      <c r="E194" s="231"/>
      <c r="F194" s="231"/>
      <c r="G194" s="231"/>
      <c r="H194" s="76"/>
      <c r="I194" s="232"/>
      <c r="J194" s="76">
        <f t="shared" si="127"/>
        <v>0</v>
      </c>
      <c r="K194" s="76">
        <f t="shared" si="128"/>
        <v>0</v>
      </c>
      <c r="L194" s="76"/>
      <c r="M194" s="76"/>
      <c r="N194" s="76"/>
      <c r="O194" s="76"/>
      <c r="P194" s="76"/>
      <c r="Q194" s="76"/>
      <c r="R194" s="76"/>
      <c r="S194" s="76"/>
      <c r="T194" s="76"/>
      <c r="V194" s="120">
        <f t="shared" si="129"/>
        <v>0</v>
      </c>
      <c r="Y194" s="35"/>
      <c r="Z194" s="35"/>
      <c r="AA194" s="35"/>
    </row>
    <row r="195" spans="1:27" s="22" customFormat="1" hidden="1" outlineLevel="1" x14ac:dyDescent="0.25">
      <c r="A195" s="120">
        <f t="shared" si="126"/>
        <v>0</v>
      </c>
      <c r="B195" s="231"/>
      <c r="C195" s="231"/>
      <c r="D195" s="231"/>
      <c r="E195" s="231"/>
      <c r="F195" s="231"/>
      <c r="G195" s="231"/>
      <c r="H195" s="76"/>
      <c r="I195" s="232"/>
      <c r="J195" s="76">
        <f t="shared" si="127"/>
        <v>0</v>
      </c>
      <c r="K195" s="76">
        <f t="shared" si="128"/>
        <v>0</v>
      </c>
      <c r="L195" s="76"/>
      <c r="M195" s="76"/>
      <c r="N195" s="76"/>
      <c r="O195" s="76"/>
      <c r="P195" s="76"/>
      <c r="Q195" s="76"/>
      <c r="R195" s="76"/>
      <c r="S195" s="76"/>
      <c r="T195" s="76"/>
      <c r="V195" s="120">
        <f t="shared" si="129"/>
        <v>0</v>
      </c>
      <c r="Y195" s="35"/>
      <c r="Z195" s="35"/>
      <c r="AA195" s="35"/>
    </row>
    <row r="196" spans="1:27" s="22" customFormat="1" hidden="1" outlineLevel="1" x14ac:dyDescent="0.25">
      <c r="A196" s="120">
        <f t="shared" si="126"/>
        <v>0</v>
      </c>
      <c r="B196" s="231"/>
      <c r="C196" s="231"/>
      <c r="D196" s="231"/>
      <c r="E196" s="231"/>
      <c r="F196" s="231"/>
      <c r="G196" s="231"/>
      <c r="H196" s="76"/>
      <c r="I196" s="232"/>
      <c r="J196" s="76">
        <f t="shared" si="127"/>
        <v>0</v>
      </c>
      <c r="K196" s="76">
        <f t="shared" si="128"/>
        <v>0</v>
      </c>
      <c r="L196" s="76"/>
      <c r="M196" s="76"/>
      <c r="N196" s="76"/>
      <c r="O196" s="76"/>
      <c r="P196" s="76"/>
      <c r="Q196" s="76"/>
      <c r="R196" s="76"/>
      <c r="S196" s="76"/>
      <c r="T196" s="76"/>
      <c r="V196" s="120">
        <f t="shared" si="129"/>
        <v>0</v>
      </c>
      <c r="Y196" s="35"/>
      <c r="Z196" s="35"/>
      <c r="AA196" s="35"/>
    </row>
    <row r="197" spans="1:27" s="22" customFormat="1" hidden="1" outlineLevel="1" x14ac:dyDescent="0.25">
      <c r="A197" s="120">
        <f t="shared" si="126"/>
        <v>0</v>
      </c>
      <c r="B197" s="231"/>
      <c r="C197" s="231"/>
      <c r="D197" s="231"/>
      <c r="E197" s="231"/>
      <c r="F197" s="231"/>
      <c r="G197" s="231"/>
      <c r="H197" s="76"/>
      <c r="I197" s="232"/>
      <c r="J197" s="76">
        <f t="shared" si="127"/>
        <v>0</v>
      </c>
      <c r="K197" s="76">
        <f t="shared" si="128"/>
        <v>0</v>
      </c>
      <c r="L197" s="76"/>
      <c r="M197" s="76"/>
      <c r="N197" s="76"/>
      <c r="O197" s="76"/>
      <c r="P197" s="76"/>
      <c r="Q197" s="76"/>
      <c r="R197" s="76"/>
      <c r="S197" s="76"/>
      <c r="T197" s="76"/>
      <c r="V197" s="120">
        <f t="shared" si="129"/>
        <v>0</v>
      </c>
      <c r="Y197" s="35"/>
      <c r="Z197" s="35"/>
      <c r="AA197" s="35"/>
    </row>
    <row r="198" spans="1:27" s="22" customFormat="1" hidden="1" outlineLevel="1" x14ac:dyDescent="0.25">
      <c r="A198" s="120">
        <f t="shared" si="126"/>
        <v>0</v>
      </c>
      <c r="B198" s="231"/>
      <c r="C198" s="231"/>
      <c r="D198" s="231"/>
      <c r="E198" s="231"/>
      <c r="F198" s="231"/>
      <c r="G198" s="231"/>
      <c r="H198" s="76"/>
      <c r="I198" s="232"/>
      <c r="J198" s="76">
        <f t="shared" si="127"/>
        <v>0</v>
      </c>
      <c r="K198" s="76">
        <f t="shared" si="128"/>
        <v>0</v>
      </c>
      <c r="L198" s="76"/>
      <c r="M198" s="76"/>
      <c r="N198" s="76"/>
      <c r="O198" s="76"/>
      <c r="P198" s="76"/>
      <c r="Q198" s="76"/>
      <c r="R198" s="76"/>
      <c r="S198" s="76"/>
      <c r="T198" s="76"/>
      <c r="V198" s="120">
        <f t="shared" si="129"/>
        <v>0</v>
      </c>
      <c r="W198" s="120" t="str">
        <f t="shared" ref="W198:W200" si="136">$C198 &amp;":"&amp; $B198</f>
        <v>:</v>
      </c>
      <c r="X198" s="120" t="str">
        <f t="shared" ref="X198" si="137">C198 &amp;":"&amp; B198</f>
        <v>:</v>
      </c>
      <c r="Y198" s="35"/>
      <c r="Z198" s="35"/>
      <c r="AA198" s="35"/>
    </row>
    <row r="199" spans="1:27" s="22" customFormat="1" hidden="1" outlineLevel="1" x14ac:dyDescent="0.25">
      <c r="A199" s="120">
        <f t="shared" si="126"/>
        <v>0</v>
      </c>
      <c r="B199" s="231"/>
      <c r="C199" s="231"/>
      <c r="D199" s="231"/>
      <c r="E199" s="231"/>
      <c r="F199" s="231"/>
      <c r="G199" s="231"/>
      <c r="H199" s="76"/>
      <c r="I199" s="232"/>
      <c r="J199" s="76">
        <f t="shared" si="127"/>
        <v>0</v>
      </c>
      <c r="K199" s="76">
        <f t="shared" si="128"/>
        <v>0</v>
      </c>
      <c r="L199" s="76"/>
      <c r="M199" s="76"/>
      <c r="N199" s="76"/>
      <c r="O199" s="76"/>
      <c r="P199" s="76"/>
      <c r="Q199" s="76"/>
      <c r="R199" s="76"/>
      <c r="S199" s="76"/>
      <c r="T199" s="76"/>
      <c r="V199" s="120">
        <f t="shared" si="129"/>
        <v>0</v>
      </c>
      <c r="Y199" s="35"/>
      <c r="Z199" s="35"/>
      <c r="AA199" s="35"/>
    </row>
    <row r="200" spans="1:27" s="22" customFormat="1" hidden="1" outlineLevel="1" x14ac:dyDescent="0.25">
      <c r="A200" s="120">
        <f t="shared" si="126"/>
        <v>0</v>
      </c>
      <c r="B200" s="231"/>
      <c r="C200" s="231"/>
      <c r="D200" s="231"/>
      <c r="E200" s="231"/>
      <c r="F200" s="231"/>
      <c r="G200" s="231"/>
      <c r="H200" s="76"/>
      <c r="I200" s="232"/>
      <c r="J200" s="76">
        <f t="shared" si="127"/>
        <v>0</v>
      </c>
      <c r="K200" s="76">
        <f t="shared" si="128"/>
        <v>0</v>
      </c>
      <c r="L200" s="76"/>
      <c r="M200" s="76"/>
      <c r="N200" s="76"/>
      <c r="O200" s="76"/>
      <c r="P200" s="76"/>
      <c r="Q200" s="76"/>
      <c r="R200" s="76"/>
      <c r="S200" s="76"/>
      <c r="T200" s="76"/>
      <c r="V200" s="120">
        <f t="shared" si="129"/>
        <v>0</v>
      </c>
      <c r="W200" s="120" t="str">
        <f t="shared" si="136"/>
        <v>:</v>
      </c>
      <c r="Y200" s="35"/>
      <c r="Z200" s="35"/>
      <c r="AA200" s="35"/>
    </row>
    <row r="201" spans="1:27" s="22" customFormat="1" hidden="1" outlineLevel="1" x14ac:dyDescent="0.25">
      <c r="A201" s="120">
        <f t="shared" si="126"/>
        <v>0</v>
      </c>
      <c r="B201" s="231"/>
      <c r="C201" s="231"/>
      <c r="D201" s="231"/>
      <c r="E201" s="231"/>
      <c r="F201" s="231"/>
      <c r="G201" s="231"/>
      <c r="H201" s="76"/>
      <c r="I201" s="232"/>
      <c r="J201" s="76">
        <f t="shared" si="127"/>
        <v>0</v>
      </c>
      <c r="K201" s="76">
        <f t="shared" si="128"/>
        <v>0</v>
      </c>
      <c r="L201" s="76"/>
      <c r="M201" s="76"/>
      <c r="N201" s="76"/>
      <c r="O201" s="76"/>
      <c r="P201" s="76"/>
      <c r="Q201" s="76"/>
      <c r="R201" s="76"/>
      <c r="S201" s="76"/>
      <c r="T201" s="76"/>
      <c r="V201" s="120">
        <f t="shared" si="129"/>
        <v>0</v>
      </c>
      <c r="Y201" s="35"/>
      <c r="Z201" s="35"/>
      <c r="AA201" s="35"/>
    </row>
    <row r="202" spans="1:27" s="22" customFormat="1" hidden="1" outlineLevel="1" x14ac:dyDescent="0.25">
      <c r="A202" s="120">
        <f t="shared" si="126"/>
        <v>0</v>
      </c>
      <c r="B202" s="231"/>
      <c r="C202" s="231"/>
      <c r="D202" s="231"/>
      <c r="E202" s="231"/>
      <c r="F202" s="231"/>
      <c r="G202" s="231"/>
      <c r="H202" s="76"/>
      <c r="I202" s="232"/>
      <c r="J202" s="76">
        <f t="shared" si="127"/>
        <v>0</v>
      </c>
      <c r="K202" s="76">
        <f t="shared" si="128"/>
        <v>0</v>
      </c>
      <c r="L202" s="76"/>
      <c r="M202" s="76"/>
      <c r="N202" s="76"/>
      <c r="O202" s="76"/>
      <c r="P202" s="76"/>
      <c r="Q202" s="76"/>
      <c r="R202" s="76"/>
      <c r="S202" s="76"/>
      <c r="T202" s="76"/>
      <c r="V202" s="120">
        <f t="shared" si="129"/>
        <v>0</v>
      </c>
      <c r="Y202" s="35"/>
      <c r="Z202" s="35"/>
      <c r="AA202" s="35"/>
    </row>
    <row r="203" spans="1:27" s="22" customFormat="1" hidden="1" outlineLevel="1" x14ac:dyDescent="0.25">
      <c r="A203" s="120">
        <f t="shared" si="126"/>
        <v>0</v>
      </c>
      <c r="B203" s="231"/>
      <c r="C203" s="231"/>
      <c r="D203" s="231"/>
      <c r="E203" s="231"/>
      <c r="F203" s="231"/>
      <c r="G203" s="231"/>
      <c r="H203" s="76"/>
      <c r="I203" s="232"/>
      <c r="J203" s="76">
        <f t="shared" si="127"/>
        <v>0</v>
      </c>
      <c r="K203" s="76">
        <f t="shared" si="128"/>
        <v>0</v>
      </c>
      <c r="L203" s="76"/>
      <c r="M203" s="76"/>
      <c r="N203" s="76"/>
      <c r="O203" s="76"/>
      <c r="P203" s="76"/>
      <c r="Q203" s="76"/>
      <c r="R203" s="76"/>
      <c r="S203" s="76"/>
      <c r="T203" s="76"/>
      <c r="V203" s="120">
        <f t="shared" si="129"/>
        <v>0</v>
      </c>
      <c r="Y203" s="35"/>
      <c r="Z203" s="35"/>
      <c r="AA203" s="35"/>
    </row>
    <row r="204" spans="1:27" s="22" customFormat="1" hidden="1" outlineLevel="1" x14ac:dyDescent="0.25">
      <c r="A204" s="120">
        <f t="shared" si="126"/>
        <v>0</v>
      </c>
      <c r="B204" s="231"/>
      <c r="C204" s="231"/>
      <c r="D204" s="231"/>
      <c r="E204" s="231"/>
      <c r="F204" s="231"/>
      <c r="G204" s="231"/>
      <c r="H204" s="76"/>
      <c r="I204" s="232"/>
      <c r="J204" s="76">
        <f t="shared" si="127"/>
        <v>0</v>
      </c>
      <c r="K204" s="76">
        <f t="shared" si="128"/>
        <v>0</v>
      </c>
      <c r="L204" s="76"/>
      <c r="M204" s="76"/>
      <c r="N204" s="76"/>
      <c r="O204" s="76"/>
      <c r="P204" s="76"/>
      <c r="Q204" s="76"/>
      <c r="R204" s="76"/>
      <c r="S204" s="76"/>
      <c r="T204" s="76"/>
      <c r="V204" s="120">
        <f t="shared" si="129"/>
        <v>0</v>
      </c>
      <c r="Y204" s="35"/>
      <c r="Z204" s="35"/>
      <c r="AA204" s="35"/>
    </row>
    <row r="205" spans="1:27" s="22" customFormat="1" hidden="1" outlineLevel="1" x14ac:dyDescent="0.25">
      <c r="A205" s="120">
        <f t="shared" si="126"/>
        <v>0</v>
      </c>
      <c r="B205" s="231"/>
      <c r="C205" s="231"/>
      <c r="D205" s="231"/>
      <c r="E205" s="231"/>
      <c r="F205" s="231"/>
      <c r="G205" s="231"/>
      <c r="H205" s="76"/>
      <c r="I205" s="232"/>
      <c r="J205" s="76">
        <f t="shared" si="127"/>
        <v>0</v>
      </c>
      <c r="K205" s="76">
        <f t="shared" si="128"/>
        <v>0</v>
      </c>
      <c r="L205" s="76"/>
      <c r="M205" s="76"/>
      <c r="N205" s="76"/>
      <c r="O205" s="76"/>
      <c r="P205" s="76"/>
      <c r="Q205" s="76"/>
      <c r="R205" s="76"/>
      <c r="S205" s="76"/>
      <c r="T205" s="76"/>
      <c r="V205" s="120">
        <f t="shared" si="129"/>
        <v>0</v>
      </c>
      <c r="Y205" s="35"/>
      <c r="Z205" s="35"/>
      <c r="AA205" s="35"/>
    </row>
    <row r="206" spans="1:27" s="22" customFormat="1" hidden="1" outlineLevel="1" x14ac:dyDescent="0.25">
      <c r="A206" s="120">
        <f t="shared" si="126"/>
        <v>0</v>
      </c>
      <c r="B206" s="231"/>
      <c r="C206" s="231"/>
      <c r="D206" s="231"/>
      <c r="E206" s="231"/>
      <c r="F206" s="231"/>
      <c r="G206" s="231"/>
      <c r="H206" s="76"/>
      <c r="I206" s="232"/>
      <c r="J206" s="76">
        <f t="shared" si="127"/>
        <v>0</v>
      </c>
      <c r="K206" s="76">
        <f t="shared" si="128"/>
        <v>0</v>
      </c>
      <c r="L206" s="76"/>
      <c r="M206" s="76"/>
      <c r="N206" s="76"/>
      <c r="O206" s="76"/>
      <c r="P206" s="76"/>
      <c r="Q206" s="76"/>
      <c r="R206" s="76"/>
      <c r="S206" s="76"/>
      <c r="T206" s="76"/>
      <c r="V206" s="120">
        <f t="shared" si="129"/>
        <v>0</v>
      </c>
      <c r="Y206" s="35"/>
      <c r="Z206" s="35"/>
      <c r="AA206" s="35"/>
    </row>
    <row r="207" spans="1:27" s="22" customFormat="1" hidden="1" outlineLevel="1" x14ac:dyDescent="0.25">
      <c r="A207" s="120">
        <f t="shared" si="126"/>
        <v>0</v>
      </c>
      <c r="B207" s="231"/>
      <c r="C207" s="231"/>
      <c r="D207" s="231"/>
      <c r="E207" s="231"/>
      <c r="F207" s="231"/>
      <c r="G207" s="231"/>
      <c r="H207" s="76"/>
      <c r="I207" s="232"/>
      <c r="J207" s="76">
        <f t="shared" si="127"/>
        <v>0</v>
      </c>
      <c r="K207" s="76">
        <f t="shared" si="128"/>
        <v>0</v>
      </c>
      <c r="L207" s="76"/>
      <c r="M207" s="76"/>
      <c r="N207" s="76"/>
      <c r="O207" s="76"/>
      <c r="P207" s="76"/>
      <c r="Q207" s="76"/>
      <c r="R207" s="76"/>
      <c r="S207" s="76"/>
      <c r="T207" s="76"/>
      <c r="V207" s="120">
        <f t="shared" si="129"/>
        <v>0</v>
      </c>
      <c r="Y207" s="35"/>
      <c r="Z207" s="35"/>
      <c r="AA207" s="35"/>
    </row>
    <row r="208" spans="1:27" s="22" customFormat="1" hidden="1" outlineLevel="1" x14ac:dyDescent="0.25">
      <c r="A208" s="120">
        <f t="shared" si="126"/>
        <v>0</v>
      </c>
      <c r="B208" s="231"/>
      <c r="C208" s="231"/>
      <c r="D208" s="231"/>
      <c r="E208" s="231"/>
      <c r="F208" s="231"/>
      <c r="G208" s="231"/>
      <c r="H208" s="76"/>
      <c r="I208" s="232"/>
      <c r="J208" s="76">
        <f t="shared" si="127"/>
        <v>0</v>
      </c>
      <c r="K208" s="76">
        <f t="shared" si="128"/>
        <v>0</v>
      </c>
      <c r="L208" s="76"/>
      <c r="M208" s="76"/>
      <c r="N208" s="76"/>
      <c r="O208" s="76"/>
      <c r="P208" s="76"/>
      <c r="Q208" s="76"/>
      <c r="R208" s="76"/>
      <c r="S208" s="76"/>
      <c r="T208" s="76"/>
      <c r="V208" s="120">
        <f t="shared" si="129"/>
        <v>0</v>
      </c>
      <c r="Y208" s="35"/>
      <c r="Z208" s="35"/>
      <c r="AA208" s="35"/>
    </row>
    <row r="209" spans="1:27" s="22" customFormat="1" hidden="1" outlineLevel="1" x14ac:dyDescent="0.25">
      <c r="A209" s="120">
        <f t="shared" si="126"/>
        <v>0</v>
      </c>
      <c r="B209" s="231"/>
      <c r="C209" s="231"/>
      <c r="D209" s="231"/>
      <c r="E209" s="231"/>
      <c r="F209" s="231"/>
      <c r="G209" s="231"/>
      <c r="H209" s="76"/>
      <c r="I209" s="232"/>
      <c r="J209" s="76">
        <f t="shared" si="127"/>
        <v>0</v>
      </c>
      <c r="K209" s="76">
        <f t="shared" si="128"/>
        <v>0</v>
      </c>
      <c r="L209" s="76"/>
      <c r="M209" s="76"/>
      <c r="N209" s="76"/>
      <c r="O209" s="76"/>
      <c r="P209" s="76"/>
      <c r="Q209" s="76"/>
      <c r="R209" s="76"/>
      <c r="S209" s="76"/>
      <c r="T209" s="76"/>
      <c r="V209" s="120">
        <f t="shared" si="129"/>
        <v>0</v>
      </c>
      <c r="Y209" s="35"/>
      <c r="Z209" s="35"/>
      <c r="AA209" s="35"/>
    </row>
    <row r="210" spans="1:27" s="22" customFormat="1" hidden="1" outlineLevel="1" x14ac:dyDescent="0.25">
      <c r="A210" s="120">
        <f t="shared" si="126"/>
        <v>0</v>
      </c>
      <c r="B210" s="231"/>
      <c r="C210" s="231"/>
      <c r="D210" s="231"/>
      <c r="E210" s="231"/>
      <c r="F210" s="231"/>
      <c r="G210" s="231"/>
      <c r="H210" s="76"/>
      <c r="I210" s="232"/>
      <c r="J210" s="76">
        <f t="shared" si="127"/>
        <v>0</v>
      </c>
      <c r="K210" s="76">
        <f t="shared" si="128"/>
        <v>0</v>
      </c>
      <c r="L210" s="76"/>
      <c r="M210" s="76"/>
      <c r="N210" s="76"/>
      <c r="O210" s="76"/>
      <c r="P210" s="76"/>
      <c r="Q210" s="76"/>
      <c r="R210" s="76"/>
      <c r="S210" s="76"/>
      <c r="T210" s="76"/>
      <c r="V210" s="120">
        <f t="shared" si="129"/>
        <v>0</v>
      </c>
      <c r="Y210" s="35"/>
      <c r="Z210" s="35"/>
      <c r="AA210" s="35"/>
    </row>
    <row r="211" spans="1:27" s="22" customFormat="1" hidden="1" outlineLevel="1" x14ac:dyDescent="0.25">
      <c r="A211" s="120">
        <f t="shared" si="126"/>
        <v>0</v>
      </c>
      <c r="B211" s="231"/>
      <c r="C211" s="231"/>
      <c r="D211" s="231"/>
      <c r="E211" s="231"/>
      <c r="F211" s="231"/>
      <c r="G211" s="231"/>
      <c r="H211" s="76"/>
      <c r="I211" s="232"/>
      <c r="J211" s="76">
        <f t="shared" si="127"/>
        <v>0</v>
      </c>
      <c r="K211" s="76">
        <f t="shared" si="128"/>
        <v>0</v>
      </c>
      <c r="L211" s="76"/>
      <c r="M211" s="76"/>
      <c r="N211" s="76"/>
      <c r="O211" s="76"/>
      <c r="P211" s="76"/>
      <c r="Q211" s="76"/>
      <c r="R211" s="76"/>
      <c r="S211" s="76"/>
      <c r="T211" s="76"/>
      <c r="V211" s="120">
        <f t="shared" si="129"/>
        <v>0</v>
      </c>
      <c r="Y211" s="35"/>
      <c r="Z211" s="35"/>
      <c r="AA211" s="35"/>
    </row>
    <row r="212" spans="1:27" s="22" customFormat="1" hidden="1" outlineLevel="1" x14ac:dyDescent="0.25">
      <c r="A212" s="120">
        <f t="shared" si="126"/>
        <v>0</v>
      </c>
      <c r="B212" s="231"/>
      <c r="C212" s="231"/>
      <c r="D212" s="231"/>
      <c r="E212" s="231"/>
      <c r="F212" s="231"/>
      <c r="G212" s="231"/>
      <c r="H212" s="76"/>
      <c r="I212" s="232"/>
      <c r="J212" s="76">
        <f t="shared" si="127"/>
        <v>0</v>
      </c>
      <c r="K212" s="76">
        <f t="shared" si="128"/>
        <v>0</v>
      </c>
      <c r="L212" s="76"/>
      <c r="M212" s="76"/>
      <c r="N212" s="76"/>
      <c r="O212" s="76"/>
      <c r="P212" s="76"/>
      <c r="Q212" s="76"/>
      <c r="R212" s="76"/>
      <c r="S212" s="76"/>
      <c r="T212" s="76"/>
      <c r="V212" s="120">
        <f t="shared" si="129"/>
        <v>0</v>
      </c>
      <c r="W212" s="120" t="str">
        <f t="shared" ref="W212" si="138">$C212 &amp;":"&amp; $B212</f>
        <v>:</v>
      </c>
      <c r="Y212" s="35"/>
      <c r="Z212" s="35"/>
      <c r="AA212" s="35"/>
    </row>
    <row r="213" spans="1:27" s="22" customFormat="1" hidden="1" outlineLevel="1" x14ac:dyDescent="0.25">
      <c r="A213" s="120">
        <f t="shared" si="126"/>
        <v>0</v>
      </c>
      <c r="B213" s="231"/>
      <c r="C213" s="231"/>
      <c r="D213" s="231"/>
      <c r="E213" s="231"/>
      <c r="F213" s="231"/>
      <c r="G213" s="231"/>
      <c r="H213" s="76"/>
      <c r="I213" s="232"/>
      <c r="J213" s="76">
        <f t="shared" si="127"/>
        <v>0</v>
      </c>
      <c r="K213" s="76">
        <f t="shared" si="128"/>
        <v>0</v>
      </c>
      <c r="L213" s="76"/>
      <c r="M213" s="76"/>
      <c r="N213" s="76"/>
      <c r="O213" s="76"/>
      <c r="P213" s="76"/>
      <c r="Q213" s="76"/>
      <c r="R213" s="76"/>
      <c r="S213" s="76"/>
      <c r="T213" s="76"/>
      <c r="V213" s="120">
        <f t="shared" si="129"/>
        <v>0</v>
      </c>
      <c r="Y213" s="35"/>
      <c r="Z213" s="35"/>
      <c r="AA213" s="35"/>
    </row>
    <row r="214" spans="1:27" s="22" customFormat="1" hidden="1" outlineLevel="1" x14ac:dyDescent="0.25">
      <c r="A214" s="120">
        <f t="shared" si="126"/>
        <v>0</v>
      </c>
      <c r="B214" s="231"/>
      <c r="C214" s="231"/>
      <c r="D214" s="231"/>
      <c r="E214" s="231"/>
      <c r="F214" s="231"/>
      <c r="G214" s="231"/>
      <c r="H214" s="76"/>
      <c r="I214" s="232"/>
      <c r="J214" s="76">
        <f t="shared" si="127"/>
        <v>0</v>
      </c>
      <c r="K214" s="76">
        <f t="shared" si="128"/>
        <v>0</v>
      </c>
      <c r="L214" s="76"/>
      <c r="M214" s="76"/>
      <c r="N214" s="76"/>
      <c r="O214" s="76"/>
      <c r="P214" s="76"/>
      <c r="Q214" s="76"/>
      <c r="R214" s="76"/>
      <c r="S214" s="76"/>
      <c r="T214" s="76"/>
      <c r="V214" s="120">
        <f t="shared" si="129"/>
        <v>0</v>
      </c>
      <c r="W214" s="120" t="str">
        <f t="shared" ref="W214" si="139">$C214 &amp;":"&amp; $B214</f>
        <v>:</v>
      </c>
      <c r="Y214" s="35"/>
      <c r="Z214" s="35"/>
      <c r="AA214" s="35"/>
    </row>
    <row r="215" spans="1:27" s="22" customFormat="1" hidden="1" outlineLevel="1" x14ac:dyDescent="0.25">
      <c r="A215" s="120">
        <f t="shared" si="126"/>
        <v>0</v>
      </c>
      <c r="B215" s="231"/>
      <c r="C215" s="231"/>
      <c r="D215" s="231"/>
      <c r="E215" s="231"/>
      <c r="F215" s="231"/>
      <c r="G215" s="231"/>
      <c r="H215" s="76"/>
      <c r="I215" s="232"/>
      <c r="J215" s="76">
        <f t="shared" si="127"/>
        <v>0</v>
      </c>
      <c r="K215" s="76">
        <f t="shared" si="128"/>
        <v>0</v>
      </c>
      <c r="L215" s="76"/>
      <c r="M215" s="76"/>
      <c r="N215" s="76"/>
      <c r="O215" s="76"/>
      <c r="P215" s="76"/>
      <c r="Q215" s="76"/>
      <c r="R215" s="76"/>
      <c r="S215" s="76"/>
      <c r="T215" s="76"/>
      <c r="V215" s="120">
        <f t="shared" si="129"/>
        <v>0</v>
      </c>
      <c r="Y215" s="35"/>
      <c r="Z215" s="35"/>
      <c r="AA215" s="35"/>
    </row>
    <row r="216" spans="1:27" s="22" customFormat="1" hidden="1" outlineLevel="1" x14ac:dyDescent="0.25">
      <c r="A216" s="120">
        <f t="shared" si="126"/>
        <v>0</v>
      </c>
      <c r="B216" s="231"/>
      <c r="C216" s="231"/>
      <c r="D216" s="231"/>
      <c r="E216" s="231"/>
      <c r="F216" s="231"/>
      <c r="G216" s="231"/>
      <c r="H216" s="76"/>
      <c r="I216" s="232"/>
      <c r="J216" s="76">
        <f t="shared" si="127"/>
        <v>0</v>
      </c>
      <c r="K216" s="76">
        <f t="shared" si="128"/>
        <v>0</v>
      </c>
      <c r="L216" s="76"/>
      <c r="M216" s="76"/>
      <c r="N216" s="76"/>
      <c r="O216" s="76"/>
      <c r="P216" s="76"/>
      <c r="Q216" s="76"/>
      <c r="R216" s="76"/>
      <c r="S216" s="76"/>
      <c r="T216" s="76"/>
      <c r="V216" s="120">
        <f t="shared" si="129"/>
        <v>0</v>
      </c>
      <c r="W216" s="120" t="str">
        <f t="shared" ref="W216:W218" si="140">$C216 &amp;":"&amp; $B216</f>
        <v>:</v>
      </c>
      <c r="Y216" s="35"/>
      <c r="Z216" s="35"/>
      <c r="AA216" s="35"/>
    </row>
    <row r="217" spans="1:27" s="22" customFormat="1" hidden="1" outlineLevel="1" x14ac:dyDescent="0.25">
      <c r="A217" s="120">
        <f t="shared" si="126"/>
        <v>0</v>
      </c>
      <c r="B217" s="231"/>
      <c r="C217" s="231"/>
      <c r="D217" s="231"/>
      <c r="E217" s="231"/>
      <c r="F217" s="231"/>
      <c r="G217" s="231"/>
      <c r="H217" s="76"/>
      <c r="I217" s="232"/>
      <c r="J217" s="76">
        <f t="shared" si="127"/>
        <v>0</v>
      </c>
      <c r="K217" s="76">
        <f t="shared" si="128"/>
        <v>0</v>
      </c>
      <c r="L217" s="76"/>
      <c r="M217" s="76"/>
      <c r="N217" s="76"/>
      <c r="O217" s="76"/>
      <c r="P217" s="76"/>
      <c r="Q217" s="76"/>
      <c r="R217" s="76"/>
      <c r="S217" s="76"/>
      <c r="T217" s="76"/>
      <c r="V217" s="120">
        <f t="shared" si="129"/>
        <v>0</v>
      </c>
      <c r="Y217" s="35"/>
      <c r="Z217" s="35"/>
      <c r="AA217" s="35"/>
    </row>
    <row r="218" spans="1:27" s="22" customFormat="1" hidden="1" outlineLevel="1" x14ac:dyDescent="0.25">
      <c r="A218" s="120">
        <f t="shared" ref="A218:A263" si="141">GETPAYMONTH(B218)</f>
        <v>0</v>
      </c>
      <c r="B218" s="231"/>
      <c r="C218" s="231"/>
      <c r="D218" s="231"/>
      <c r="E218" s="231"/>
      <c r="F218" s="231"/>
      <c r="G218" s="231"/>
      <c r="H218" s="76"/>
      <c r="I218" s="232"/>
      <c r="J218" s="76">
        <f t="shared" ref="J218:J264" si="142">SUM(K218:T218)</f>
        <v>0</v>
      </c>
      <c r="K218" s="76">
        <f t="shared" ref="K218:K264" si="143">ROUND($H218/11*10,2)</f>
        <v>0</v>
      </c>
      <c r="L218" s="76"/>
      <c r="M218" s="76"/>
      <c r="N218" s="76"/>
      <c r="O218" s="76"/>
      <c r="P218" s="76"/>
      <c r="Q218" s="76"/>
      <c r="R218" s="76"/>
      <c r="S218" s="76"/>
      <c r="T218" s="76"/>
      <c r="V218" s="120">
        <f t="shared" ref="V218:V264" si="144">$C218</f>
        <v>0</v>
      </c>
      <c r="W218" s="120" t="str">
        <f t="shared" si="140"/>
        <v>:</v>
      </c>
      <c r="Y218" s="35"/>
      <c r="Z218" s="35"/>
      <c r="AA218" s="35"/>
    </row>
    <row r="219" spans="1:27" s="22" customFormat="1" hidden="1" outlineLevel="1" x14ac:dyDescent="0.25">
      <c r="A219" s="120">
        <f t="shared" si="141"/>
        <v>0</v>
      </c>
      <c r="B219" s="231"/>
      <c r="C219" s="231"/>
      <c r="D219" s="231"/>
      <c r="E219" s="231"/>
      <c r="F219" s="231"/>
      <c r="G219" s="231"/>
      <c r="H219" s="76"/>
      <c r="I219" s="232"/>
      <c r="J219" s="76">
        <f t="shared" si="142"/>
        <v>0</v>
      </c>
      <c r="K219" s="76">
        <f t="shared" si="143"/>
        <v>0</v>
      </c>
      <c r="L219" s="76"/>
      <c r="M219" s="76"/>
      <c r="N219" s="76"/>
      <c r="O219" s="76"/>
      <c r="P219" s="76"/>
      <c r="Q219" s="76"/>
      <c r="R219" s="76"/>
      <c r="S219" s="76"/>
      <c r="T219" s="76"/>
      <c r="V219" s="120">
        <f t="shared" si="144"/>
        <v>0</v>
      </c>
      <c r="Y219" s="35"/>
      <c r="Z219" s="35"/>
      <c r="AA219" s="35"/>
    </row>
    <row r="220" spans="1:27" s="22" customFormat="1" hidden="1" outlineLevel="1" x14ac:dyDescent="0.25">
      <c r="A220" s="120">
        <f t="shared" si="141"/>
        <v>0</v>
      </c>
      <c r="B220" s="231"/>
      <c r="C220" s="231"/>
      <c r="D220" s="231"/>
      <c r="E220" s="231"/>
      <c r="F220" s="231"/>
      <c r="G220" s="231"/>
      <c r="H220" s="76"/>
      <c r="I220" s="232"/>
      <c r="J220" s="76">
        <f t="shared" si="142"/>
        <v>0</v>
      </c>
      <c r="K220" s="76">
        <f t="shared" si="143"/>
        <v>0</v>
      </c>
      <c r="L220" s="76"/>
      <c r="M220" s="76"/>
      <c r="N220" s="76"/>
      <c r="O220" s="76"/>
      <c r="P220" s="76"/>
      <c r="Q220" s="76"/>
      <c r="R220" s="76"/>
      <c r="S220" s="76"/>
      <c r="T220" s="76"/>
      <c r="V220" s="120">
        <f t="shared" si="144"/>
        <v>0</v>
      </c>
      <c r="Y220" s="35"/>
      <c r="Z220" s="35"/>
      <c r="AA220" s="35"/>
    </row>
    <row r="221" spans="1:27" s="22" customFormat="1" hidden="1" outlineLevel="1" x14ac:dyDescent="0.25">
      <c r="A221" s="120">
        <f t="shared" si="141"/>
        <v>0</v>
      </c>
      <c r="B221" s="231"/>
      <c r="C221" s="231"/>
      <c r="D221" s="231"/>
      <c r="E221" s="231"/>
      <c r="F221" s="231"/>
      <c r="G221" s="231"/>
      <c r="H221" s="76"/>
      <c r="I221" s="232"/>
      <c r="J221" s="76">
        <f t="shared" si="142"/>
        <v>0</v>
      </c>
      <c r="K221" s="76">
        <f t="shared" si="143"/>
        <v>0</v>
      </c>
      <c r="L221" s="76"/>
      <c r="M221" s="76"/>
      <c r="N221" s="76"/>
      <c r="O221" s="76"/>
      <c r="P221" s="76"/>
      <c r="Q221" s="76"/>
      <c r="R221" s="76"/>
      <c r="S221" s="76"/>
      <c r="T221" s="76"/>
      <c r="V221" s="120">
        <f t="shared" si="144"/>
        <v>0</v>
      </c>
      <c r="Y221" s="35"/>
      <c r="Z221" s="35"/>
      <c r="AA221" s="35"/>
    </row>
    <row r="222" spans="1:27" s="22" customFormat="1" hidden="1" outlineLevel="1" x14ac:dyDescent="0.25">
      <c r="A222" s="120">
        <f t="shared" si="141"/>
        <v>0</v>
      </c>
      <c r="B222" s="231"/>
      <c r="C222" s="231"/>
      <c r="D222" s="231"/>
      <c r="E222" s="231"/>
      <c r="F222" s="231"/>
      <c r="G222" s="231"/>
      <c r="H222" s="76"/>
      <c r="I222" s="232"/>
      <c r="J222" s="76">
        <f t="shared" si="142"/>
        <v>0</v>
      </c>
      <c r="K222" s="76">
        <f t="shared" si="143"/>
        <v>0</v>
      </c>
      <c r="L222" s="76"/>
      <c r="M222" s="76"/>
      <c r="N222" s="76"/>
      <c r="O222" s="76"/>
      <c r="P222" s="76"/>
      <c r="Q222" s="76"/>
      <c r="R222" s="76"/>
      <c r="S222" s="76"/>
      <c r="T222" s="76"/>
      <c r="V222" s="120">
        <f t="shared" si="144"/>
        <v>0</v>
      </c>
      <c r="Y222" s="35"/>
      <c r="Z222" s="35"/>
      <c r="AA222" s="35"/>
    </row>
    <row r="223" spans="1:27" s="22" customFormat="1" hidden="1" outlineLevel="1" x14ac:dyDescent="0.25">
      <c r="A223" s="120">
        <f t="shared" si="141"/>
        <v>0</v>
      </c>
      <c r="B223" s="231"/>
      <c r="C223" s="231"/>
      <c r="D223" s="231"/>
      <c r="E223" s="231"/>
      <c r="F223" s="231"/>
      <c r="G223" s="231"/>
      <c r="H223" s="76"/>
      <c r="I223" s="232"/>
      <c r="J223" s="76">
        <f t="shared" si="142"/>
        <v>0</v>
      </c>
      <c r="K223" s="76">
        <f t="shared" si="143"/>
        <v>0</v>
      </c>
      <c r="L223" s="76"/>
      <c r="M223" s="76"/>
      <c r="N223" s="76"/>
      <c r="O223" s="76"/>
      <c r="P223" s="76"/>
      <c r="Q223" s="76"/>
      <c r="R223" s="76"/>
      <c r="S223" s="76"/>
      <c r="T223" s="76"/>
      <c r="V223" s="120">
        <f t="shared" si="144"/>
        <v>0</v>
      </c>
      <c r="Y223" s="35"/>
      <c r="Z223" s="35"/>
      <c r="AA223" s="35"/>
    </row>
    <row r="224" spans="1:27" s="22" customFormat="1" hidden="1" outlineLevel="1" x14ac:dyDescent="0.25">
      <c r="A224" s="120">
        <f t="shared" si="141"/>
        <v>0</v>
      </c>
      <c r="B224" s="231"/>
      <c r="C224" s="231"/>
      <c r="D224" s="231"/>
      <c r="E224" s="231"/>
      <c r="F224" s="231"/>
      <c r="G224" s="231"/>
      <c r="H224" s="76"/>
      <c r="I224" s="232"/>
      <c r="J224" s="76">
        <f t="shared" si="142"/>
        <v>0</v>
      </c>
      <c r="K224" s="76">
        <f t="shared" si="143"/>
        <v>0</v>
      </c>
      <c r="L224" s="76"/>
      <c r="M224" s="76"/>
      <c r="N224" s="76"/>
      <c r="O224" s="76"/>
      <c r="P224" s="76"/>
      <c r="Q224" s="76"/>
      <c r="R224" s="76"/>
      <c r="S224" s="76"/>
      <c r="T224" s="76"/>
      <c r="V224" s="120">
        <f t="shared" si="144"/>
        <v>0</v>
      </c>
      <c r="Y224" s="35"/>
      <c r="Z224" s="35"/>
      <c r="AA224" s="35"/>
    </row>
    <row r="225" spans="1:27" s="22" customFormat="1" hidden="1" outlineLevel="1" x14ac:dyDescent="0.25">
      <c r="A225" s="120">
        <f t="shared" si="141"/>
        <v>0</v>
      </c>
      <c r="B225" s="231"/>
      <c r="C225" s="231"/>
      <c r="D225" s="231"/>
      <c r="E225" s="231"/>
      <c r="F225" s="231"/>
      <c r="G225" s="231"/>
      <c r="H225" s="76"/>
      <c r="I225" s="232"/>
      <c r="J225" s="76">
        <f t="shared" si="142"/>
        <v>0</v>
      </c>
      <c r="K225" s="76">
        <f t="shared" si="143"/>
        <v>0</v>
      </c>
      <c r="L225" s="76"/>
      <c r="M225" s="76"/>
      <c r="N225" s="76"/>
      <c r="O225" s="76"/>
      <c r="P225" s="76"/>
      <c r="Q225" s="76"/>
      <c r="R225" s="76"/>
      <c r="S225" s="76"/>
      <c r="T225" s="76"/>
      <c r="V225" s="120">
        <f t="shared" si="144"/>
        <v>0</v>
      </c>
      <c r="W225" s="120" t="str">
        <f t="shared" ref="W225" si="145">$C225 &amp;":"&amp; $B225</f>
        <v>:</v>
      </c>
      <c r="Y225" s="35"/>
      <c r="Z225" s="35"/>
      <c r="AA225" s="35"/>
    </row>
    <row r="226" spans="1:27" s="22" customFormat="1" hidden="1" outlineLevel="1" x14ac:dyDescent="0.25">
      <c r="A226" s="120">
        <f t="shared" si="141"/>
        <v>0</v>
      </c>
      <c r="B226" s="231"/>
      <c r="C226" s="231"/>
      <c r="D226" s="231"/>
      <c r="E226" s="231"/>
      <c r="F226" s="231"/>
      <c r="G226" s="231"/>
      <c r="H226" s="76"/>
      <c r="I226" s="232"/>
      <c r="J226" s="76">
        <f t="shared" si="142"/>
        <v>0</v>
      </c>
      <c r="K226" s="76">
        <f t="shared" si="143"/>
        <v>0</v>
      </c>
      <c r="L226" s="76"/>
      <c r="M226" s="76"/>
      <c r="N226" s="76"/>
      <c r="O226" s="76"/>
      <c r="P226" s="76"/>
      <c r="Q226" s="76"/>
      <c r="R226" s="76"/>
      <c r="S226" s="76"/>
      <c r="T226" s="76"/>
      <c r="V226" s="120">
        <f t="shared" si="144"/>
        <v>0</v>
      </c>
      <c r="Y226" s="35"/>
      <c r="Z226" s="35"/>
      <c r="AA226" s="35"/>
    </row>
    <row r="227" spans="1:27" s="22" customFormat="1" hidden="1" outlineLevel="1" x14ac:dyDescent="0.25">
      <c r="A227" s="120">
        <f t="shared" si="141"/>
        <v>0</v>
      </c>
      <c r="B227" s="231"/>
      <c r="C227" s="231"/>
      <c r="D227" s="231"/>
      <c r="E227" s="231"/>
      <c r="F227" s="231"/>
      <c r="G227" s="231"/>
      <c r="H227" s="76"/>
      <c r="I227" s="232"/>
      <c r="J227" s="76">
        <f t="shared" si="142"/>
        <v>0</v>
      </c>
      <c r="K227" s="76">
        <f t="shared" si="143"/>
        <v>0</v>
      </c>
      <c r="L227" s="76"/>
      <c r="M227" s="76"/>
      <c r="N227" s="76"/>
      <c r="O227" s="76"/>
      <c r="P227" s="76"/>
      <c r="Q227" s="76"/>
      <c r="R227" s="76"/>
      <c r="S227" s="76"/>
      <c r="T227" s="76"/>
      <c r="V227" s="120">
        <f t="shared" si="144"/>
        <v>0</v>
      </c>
      <c r="W227" s="120" t="str">
        <f t="shared" ref="W227" si="146">$C227 &amp;":"&amp; $B227</f>
        <v>:</v>
      </c>
      <c r="Y227" s="35"/>
      <c r="Z227" s="35"/>
      <c r="AA227" s="35"/>
    </row>
    <row r="228" spans="1:27" s="22" customFormat="1" hidden="1" outlineLevel="1" x14ac:dyDescent="0.25">
      <c r="A228" s="120">
        <f t="shared" si="141"/>
        <v>0</v>
      </c>
      <c r="B228" s="231"/>
      <c r="C228" s="231"/>
      <c r="D228" s="231"/>
      <c r="E228" s="231"/>
      <c r="F228" s="231"/>
      <c r="G228" s="231"/>
      <c r="H228" s="76"/>
      <c r="I228" s="232"/>
      <c r="J228" s="76">
        <f t="shared" si="142"/>
        <v>0</v>
      </c>
      <c r="K228" s="76">
        <f t="shared" si="143"/>
        <v>0</v>
      </c>
      <c r="L228" s="76"/>
      <c r="M228" s="76"/>
      <c r="N228" s="76"/>
      <c r="O228" s="76"/>
      <c r="P228" s="76"/>
      <c r="Q228" s="76"/>
      <c r="R228" s="76"/>
      <c r="S228" s="76"/>
      <c r="T228" s="76"/>
      <c r="V228" s="120">
        <f t="shared" si="144"/>
        <v>0</v>
      </c>
      <c r="Y228" s="35"/>
      <c r="Z228" s="35"/>
      <c r="AA228" s="35"/>
    </row>
    <row r="229" spans="1:27" s="22" customFormat="1" hidden="1" outlineLevel="1" x14ac:dyDescent="0.25">
      <c r="A229" s="120">
        <f t="shared" si="141"/>
        <v>0</v>
      </c>
      <c r="B229" s="231"/>
      <c r="C229" s="231"/>
      <c r="D229" s="231"/>
      <c r="E229" s="231"/>
      <c r="F229" s="231"/>
      <c r="G229" s="231"/>
      <c r="H229" s="76"/>
      <c r="I229" s="232"/>
      <c r="J229" s="76">
        <f t="shared" si="142"/>
        <v>0</v>
      </c>
      <c r="K229" s="76">
        <f t="shared" si="143"/>
        <v>0</v>
      </c>
      <c r="L229" s="76"/>
      <c r="M229" s="76"/>
      <c r="N229" s="76"/>
      <c r="O229" s="76"/>
      <c r="P229" s="76"/>
      <c r="Q229" s="76"/>
      <c r="R229" s="76"/>
      <c r="S229" s="76"/>
      <c r="T229" s="76"/>
      <c r="V229" s="120">
        <f t="shared" si="144"/>
        <v>0</v>
      </c>
      <c r="Y229" s="35"/>
      <c r="Z229" s="35"/>
      <c r="AA229" s="35"/>
    </row>
    <row r="230" spans="1:27" s="22" customFormat="1" hidden="1" outlineLevel="1" x14ac:dyDescent="0.25">
      <c r="A230" s="120">
        <f t="shared" si="141"/>
        <v>0</v>
      </c>
      <c r="B230" s="231"/>
      <c r="C230" s="231"/>
      <c r="D230" s="231"/>
      <c r="E230" s="231"/>
      <c r="F230" s="231"/>
      <c r="G230" s="231"/>
      <c r="H230" s="76"/>
      <c r="I230" s="232"/>
      <c r="J230" s="76">
        <f t="shared" si="142"/>
        <v>0</v>
      </c>
      <c r="K230" s="76">
        <f t="shared" si="143"/>
        <v>0</v>
      </c>
      <c r="L230" s="76"/>
      <c r="M230" s="76"/>
      <c r="N230" s="76"/>
      <c r="O230" s="76"/>
      <c r="P230" s="76"/>
      <c r="Q230" s="76"/>
      <c r="R230" s="76"/>
      <c r="S230" s="76"/>
      <c r="T230" s="76"/>
      <c r="V230" s="120">
        <f t="shared" si="144"/>
        <v>0</v>
      </c>
      <c r="Y230" s="35"/>
      <c r="Z230" s="35"/>
      <c r="AA230" s="35"/>
    </row>
    <row r="231" spans="1:27" s="22" customFormat="1" hidden="1" outlineLevel="1" x14ac:dyDescent="0.25">
      <c r="A231" s="120">
        <f t="shared" si="141"/>
        <v>0</v>
      </c>
      <c r="B231" s="231"/>
      <c r="C231" s="231"/>
      <c r="D231" s="231"/>
      <c r="E231" s="231"/>
      <c r="F231" s="231"/>
      <c r="G231" s="231"/>
      <c r="H231" s="76"/>
      <c r="I231" s="232"/>
      <c r="J231" s="76">
        <f t="shared" si="142"/>
        <v>0</v>
      </c>
      <c r="K231" s="76">
        <f t="shared" si="143"/>
        <v>0</v>
      </c>
      <c r="L231" s="76"/>
      <c r="M231" s="76"/>
      <c r="N231" s="76"/>
      <c r="O231" s="76"/>
      <c r="P231" s="76"/>
      <c r="Q231" s="76"/>
      <c r="R231" s="76"/>
      <c r="S231" s="76"/>
      <c r="T231" s="76"/>
      <c r="V231" s="120">
        <f t="shared" si="144"/>
        <v>0</v>
      </c>
      <c r="Y231" s="35"/>
      <c r="Z231" s="35"/>
      <c r="AA231" s="35"/>
    </row>
    <row r="232" spans="1:27" s="22" customFormat="1" hidden="1" outlineLevel="1" x14ac:dyDescent="0.25">
      <c r="A232" s="120">
        <f t="shared" si="141"/>
        <v>0</v>
      </c>
      <c r="B232" s="231"/>
      <c r="C232" s="231"/>
      <c r="D232" s="231"/>
      <c r="E232" s="231"/>
      <c r="F232" s="231"/>
      <c r="G232" s="231"/>
      <c r="H232" s="76"/>
      <c r="I232" s="232"/>
      <c r="J232" s="76">
        <f t="shared" si="142"/>
        <v>0</v>
      </c>
      <c r="K232" s="76">
        <f t="shared" si="143"/>
        <v>0</v>
      </c>
      <c r="L232" s="76"/>
      <c r="M232" s="76"/>
      <c r="N232" s="76"/>
      <c r="O232" s="76"/>
      <c r="P232" s="76"/>
      <c r="Q232" s="76"/>
      <c r="R232" s="76"/>
      <c r="S232" s="76"/>
      <c r="T232" s="76"/>
      <c r="V232" s="120">
        <f t="shared" si="144"/>
        <v>0</v>
      </c>
      <c r="Y232" s="35"/>
      <c r="Z232" s="35"/>
      <c r="AA232" s="35"/>
    </row>
    <row r="233" spans="1:27" s="22" customFormat="1" hidden="1" outlineLevel="1" x14ac:dyDescent="0.25">
      <c r="A233" s="120">
        <f t="shared" si="141"/>
        <v>0</v>
      </c>
      <c r="B233" s="231"/>
      <c r="C233" s="231"/>
      <c r="D233" s="231"/>
      <c r="E233" s="231"/>
      <c r="F233" s="231"/>
      <c r="G233" s="231"/>
      <c r="H233" s="76"/>
      <c r="I233" s="232"/>
      <c r="J233" s="76">
        <f t="shared" si="142"/>
        <v>0</v>
      </c>
      <c r="K233" s="76">
        <f t="shared" si="143"/>
        <v>0</v>
      </c>
      <c r="L233" s="76"/>
      <c r="M233" s="76"/>
      <c r="N233" s="76"/>
      <c r="O233" s="76"/>
      <c r="P233" s="76"/>
      <c r="Q233" s="76"/>
      <c r="R233" s="76"/>
      <c r="S233" s="76"/>
      <c r="T233" s="76"/>
      <c r="V233" s="120">
        <f t="shared" si="144"/>
        <v>0</v>
      </c>
      <c r="Y233" s="35"/>
      <c r="Z233" s="35"/>
      <c r="AA233" s="35"/>
    </row>
    <row r="234" spans="1:27" s="22" customFormat="1" hidden="1" outlineLevel="1" x14ac:dyDescent="0.25">
      <c r="A234" s="120">
        <f t="shared" si="141"/>
        <v>0</v>
      </c>
      <c r="B234" s="231"/>
      <c r="C234" s="231"/>
      <c r="D234" s="231"/>
      <c r="E234" s="231"/>
      <c r="F234" s="231"/>
      <c r="G234" s="231"/>
      <c r="H234" s="76"/>
      <c r="I234" s="232"/>
      <c r="J234" s="76">
        <f t="shared" si="142"/>
        <v>0</v>
      </c>
      <c r="K234" s="76">
        <f t="shared" si="143"/>
        <v>0</v>
      </c>
      <c r="L234" s="76"/>
      <c r="M234" s="76"/>
      <c r="N234" s="76"/>
      <c r="O234" s="76"/>
      <c r="P234" s="76"/>
      <c r="Q234" s="76"/>
      <c r="R234" s="76"/>
      <c r="S234" s="76"/>
      <c r="T234" s="76"/>
      <c r="V234" s="120">
        <f t="shared" si="144"/>
        <v>0</v>
      </c>
      <c r="W234" s="120" t="str">
        <f t="shared" ref="W234" si="147">$C234 &amp;":"&amp; $B234</f>
        <v>:</v>
      </c>
      <c r="Y234" s="35"/>
      <c r="Z234" s="35"/>
      <c r="AA234" s="35"/>
    </row>
    <row r="235" spans="1:27" s="22" customFormat="1" hidden="1" outlineLevel="1" x14ac:dyDescent="0.25">
      <c r="A235" s="120">
        <f t="shared" si="141"/>
        <v>0</v>
      </c>
      <c r="B235" s="231"/>
      <c r="C235" s="231"/>
      <c r="D235" s="231"/>
      <c r="E235" s="231"/>
      <c r="F235" s="231"/>
      <c r="G235" s="231"/>
      <c r="H235" s="76"/>
      <c r="I235" s="232"/>
      <c r="J235" s="76">
        <f t="shared" si="142"/>
        <v>0</v>
      </c>
      <c r="K235" s="76">
        <f t="shared" si="143"/>
        <v>0</v>
      </c>
      <c r="L235" s="76"/>
      <c r="M235" s="76"/>
      <c r="N235" s="76"/>
      <c r="O235" s="76"/>
      <c r="P235" s="76"/>
      <c r="Q235" s="76"/>
      <c r="R235" s="76"/>
      <c r="S235" s="76"/>
      <c r="T235" s="76"/>
      <c r="V235" s="120">
        <f t="shared" si="144"/>
        <v>0</v>
      </c>
      <c r="Y235" s="35"/>
      <c r="Z235" s="35"/>
      <c r="AA235" s="35"/>
    </row>
    <row r="236" spans="1:27" s="22" customFormat="1" hidden="1" outlineLevel="1" x14ac:dyDescent="0.25">
      <c r="A236" s="120">
        <f t="shared" si="141"/>
        <v>0</v>
      </c>
      <c r="B236" s="231"/>
      <c r="C236" s="231"/>
      <c r="D236" s="231"/>
      <c r="E236" s="231"/>
      <c r="F236" s="231"/>
      <c r="G236" s="231"/>
      <c r="H236" s="76"/>
      <c r="I236" s="232"/>
      <c r="J236" s="76">
        <f t="shared" si="142"/>
        <v>0</v>
      </c>
      <c r="K236" s="76">
        <f t="shared" si="143"/>
        <v>0</v>
      </c>
      <c r="L236" s="76"/>
      <c r="M236" s="76"/>
      <c r="N236" s="76"/>
      <c r="O236" s="76"/>
      <c r="P236" s="76"/>
      <c r="Q236" s="76"/>
      <c r="R236" s="76"/>
      <c r="S236" s="76"/>
      <c r="T236" s="76"/>
      <c r="V236" s="120">
        <f t="shared" si="144"/>
        <v>0</v>
      </c>
      <c r="Y236" s="35"/>
      <c r="Z236" s="35"/>
      <c r="AA236" s="35"/>
    </row>
    <row r="237" spans="1:27" s="22" customFormat="1" hidden="1" outlineLevel="1" x14ac:dyDescent="0.25">
      <c r="A237" s="120">
        <f t="shared" si="141"/>
        <v>0</v>
      </c>
      <c r="B237" s="231"/>
      <c r="C237" s="231"/>
      <c r="D237" s="231"/>
      <c r="E237" s="231"/>
      <c r="F237" s="231"/>
      <c r="G237" s="231"/>
      <c r="H237" s="76"/>
      <c r="I237" s="232"/>
      <c r="J237" s="76">
        <f t="shared" si="142"/>
        <v>0</v>
      </c>
      <c r="K237" s="76">
        <f t="shared" si="143"/>
        <v>0</v>
      </c>
      <c r="L237" s="76"/>
      <c r="M237" s="76"/>
      <c r="N237" s="76"/>
      <c r="O237" s="76"/>
      <c r="P237" s="76"/>
      <c r="Q237" s="76"/>
      <c r="R237" s="76"/>
      <c r="S237" s="76"/>
      <c r="T237" s="232"/>
      <c r="V237" s="120">
        <f t="shared" si="144"/>
        <v>0</v>
      </c>
      <c r="Y237" s="35"/>
      <c r="Z237" s="35"/>
      <c r="AA237" s="35"/>
    </row>
    <row r="238" spans="1:27" s="22" customFormat="1" hidden="1" outlineLevel="1" x14ac:dyDescent="0.25">
      <c r="A238" s="120">
        <f t="shared" si="141"/>
        <v>0</v>
      </c>
      <c r="B238" s="231"/>
      <c r="C238" s="231"/>
      <c r="D238" s="231"/>
      <c r="E238" s="231"/>
      <c r="F238" s="231"/>
      <c r="G238" s="231"/>
      <c r="H238" s="76"/>
      <c r="I238" s="232"/>
      <c r="J238" s="76">
        <f t="shared" si="142"/>
        <v>0</v>
      </c>
      <c r="K238" s="76">
        <f t="shared" si="143"/>
        <v>0</v>
      </c>
      <c r="L238" s="76"/>
      <c r="M238" s="76"/>
      <c r="N238" s="76"/>
      <c r="O238" s="76"/>
      <c r="P238" s="76"/>
      <c r="Q238" s="76"/>
      <c r="R238" s="76"/>
      <c r="S238" s="76"/>
      <c r="T238" s="76"/>
      <c r="V238" s="120">
        <f t="shared" si="144"/>
        <v>0</v>
      </c>
      <c r="Y238" s="35"/>
      <c r="Z238" s="35"/>
      <c r="AA238" s="35"/>
    </row>
    <row r="239" spans="1:27" s="22" customFormat="1" hidden="1" outlineLevel="1" x14ac:dyDescent="0.25">
      <c r="A239" s="120">
        <f t="shared" si="141"/>
        <v>0</v>
      </c>
      <c r="B239" s="231"/>
      <c r="C239" s="231"/>
      <c r="D239" s="231"/>
      <c r="E239" s="231"/>
      <c r="F239" s="231"/>
      <c r="G239" s="231"/>
      <c r="H239" s="76"/>
      <c r="I239" s="232"/>
      <c r="J239" s="76">
        <f t="shared" si="142"/>
        <v>0</v>
      </c>
      <c r="K239" s="76">
        <f t="shared" si="143"/>
        <v>0</v>
      </c>
      <c r="L239" s="76"/>
      <c r="M239" s="76"/>
      <c r="N239" s="76"/>
      <c r="O239" s="76"/>
      <c r="P239" s="76"/>
      <c r="Q239" s="76"/>
      <c r="R239" s="76"/>
      <c r="S239" s="76"/>
      <c r="T239" s="76"/>
      <c r="V239" s="120">
        <f t="shared" si="144"/>
        <v>0</v>
      </c>
      <c r="Y239" s="35"/>
      <c r="Z239" s="35"/>
      <c r="AA239" s="35"/>
    </row>
    <row r="240" spans="1:27" s="22" customFormat="1" hidden="1" outlineLevel="1" x14ac:dyDescent="0.25">
      <c r="A240" s="120">
        <f t="shared" si="141"/>
        <v>0</v>
      </c>
      <c r="B240" s="231"/>
      <c r="C240" s="231"/>
      <c r="D240" s="231"/>
      <c r="E240" s="231"/>
      <c r="F240" s="231"/>
      <c r="G240" s="231"/>
      <c r="H240" s="76"/>
      <c r="I240" s="232"/>
      <c r="J240" s="76">
        <f t="shared" si="142"/>
        <v>0</v>
      </c>
      <c r="K240" s="76">
        <f t="shared" si="143"/>
        <v>0</v>
      </c>
      <c r="L240" s="76"/>
      <c r="M240" s="76"/>
      <c r="N240" s="76"/>
      <c r="O240" s="76"/>
      <c r="P240" s="76"/>
      <c r="Q240" s="76"/>
      <c r="R240" s="76"/>
      <c r="S240" s="76"/>
      <c r="T240" s="76"/>
      <c r="V240" s="120">
        <f t="shared" si="144"/>
        <v>0</v>
      </c>
      <c r="Y240" s="35"/>
      <c r="Z240" s="35"/>
      <c r="AA240" s="35"/>
    </row>
    <row r="241" spans="1:27" s="22" customFormat="1" hidden="1" outlineLevel="1" x14ac:dyDescent="0.25">
      <c r="A241" s="120">
        <f t="shared" si="141"/>
        <v>0</v>
      </c>
      <c r="B241" s="231"/>
      <c r="C241" s="231"/>
      <c r="D241" s="231"/>
      <c r="E241" s="231"/>
      <c r="F241" s="231"/>
      <c r="G241" s="231"/>
      <c r="H241" s="76"/>
      <c r="I241" s="232"/>
      <c r="J241" s="76">
        <f t="shared" si="142"/>
        <v>0</v>
      </c>
      <c r="K241" s="76">
        <f t="shared" si="143"/>
        <v>0</v>
      </c>
      <c r="L241" s="76"/>
      <c r="M241" s="76"/>
      <c r="N241" s="76"/>
      <c r="O241" s="76"/>
      <c r="P241" s="76"/>
      <c r="Q241" s="76"/>
      <c r="R241" s="76"/>
      <c r="S241" s="76"/>
      <c r="T241" s="76"/>
      <c r="V241" s="120">
        <f t="shared" si="144"/>
        <v>0</v>
      </c>
      <c r="Y241" s="35"/>
      <c r="Z241" s="35"/>
      <c r="AA241" s="35"/>
    </row>
    <row r="242" spans="1:27" s="22" customFormat="1" hidden="1" outlineLevel="1" x14ac:dyDescent="0.25">
      <c r="A242" s="120">
        <f t="shared" ref="A242:A245" si="148">GETPAYMONTH(B242)</f>
        <v>0</v>
      </c>
      <c r="B242" s="231"/>
      <c r="C242" s="231"/>
      <c r="D242" s="231"/>
      <c r="E242" s="231"/>
      <c r="F242" s="231"/>
      <c r="G242" s="231"/>
      <c r="H242" s="76"/>
      <c r="I242" s="232"/>
      <c r="J242" s="76">
        <f t="shared" ref="J242:J245" si="149">SUM(K242:T242)</f>
        <v>0</v>
      </c>
      <c r="K242" s="76">
        <f t="shared" si="143"/>
        <v>0</v>
      </c>
      <c r="L242" s="76"/>
      <c r="M242" s="76"/>
      <c r="N242" s="76"/>
      <c r="O242" s="76"/>
      <c r="P242" s="76"/>
      <c r="Q242" s="76"/>
      <c r="R242" s="76"/>
      <c r="S242" s="76"/>
      <c r="T242" s="76"/>
      <c r="V242" s="120">
        <f t="shared" si="144"/>
        <v>0</v>
      </c>
      <c r="Y242" s="35"/>
      <c r="Z242" s="35"/>
      <c r="AA242" s="35"/>
    </row>
    <row r="243" spans="1:27" s="22" customFormat="1" hidden="1" outlineLevel="1" x14ac:dyDescent="0.25">
      <c r="A243" s="120">
        <f t="shared" si="148"/>
        <v>0</v>
      </c>
      <c r="B243" s="231"/>
      <c r="C243" s="231"/>
      <c r="D243" s="231"/>
      <c r="E243" s="231"/>
      <c r="F243" s="231"/>
      <c r="G243" s="231"/>
      <c r="H243" s="76"/>
      <c r="I243" s="232"/>
      <c r="J243" s="76">
        <f t="shared" si="149"/>
        <v>0</v>
      </c>
      <c r="K243" s="76">
        <f t="shared" si="143"/>
        <v>0</v>
      </c>
      <c r="L243" s="76"/>
      <c r="M243" s="76"/>
      <c r="N243" s="76"/>
      <c r="O243" s="76"/>
      <c r="P243" s="76"/>
      <c r="Q243" s="76"/>
      <c r="R243" s="76"/>
      <c r="S243" s="76"/>
      <c r="T243" s="76"/>
      <c r="V243" s="120">
        <f t="shared" si="144"/>
        <v>0</v>
      </c>
      <c r="Y243" s="35"/>
      <c r="Z243" s="35"/>
      <c r="AA243" s="35"/>
    </row>
    <row r="244" spans="1:27" s="22" customFormat="1" hidden="1" outlineLevel="1" x14ac:dyDescent="0.25">
      <c r="A244" s="120">
        <f t="shared" si="148"/>
        <v>0</v>
      </c>
      <c r="B244" s="231"/>
      <c r="C244" s="231"/>
      <c r="D244" s="231"/>
      <c r="E244" s="231"/>
      <c r="F244" s="231"/>
      <c r="G244" s="231"/>
      <c r="H244" s="76"/>
      <c r="I244" s="232"/>
      <c r="J244" s="76">
        <f t="shared" si="149"/>
        <v>0</v>
      </c>
      <c r="K244" s="76">
        <f t="shared" si="143"/>
        <v>0</v>
      </c>
      <c r="L244" s="76"/>
      <c r="M244" s="76"/>
      <c r="N244" s="76"/>
      <c r="O244" s="76"/>
      <c r="P244" s="76"/>
      <c r="Q244" s="76"/>
      <c r="R244" s="76"/>
      <c r="S244" s="76"/>
      <c r="T244" s="76"/>
      <c r="V244" s="120">
        <f t="shared" si="144"/>
        <v>0</v>
      </c>
      <c r="Y244" s="35"/>
      <c r="Z244" s="35"/>
      <c r="AA244" s="35"/>
    </row>
    <row r="245" spans="1:27" s="22" customFormat="1" hidden="1" outlineLevel="1" x14ac:dyDescent="0.25">
      <c r="A245" s="120">
        <f t="shared" si="148"/>
        <v>0</v>
      </c>
      <c r="B245" s="231"/>
      <c r="C245" s="231"/>
      <c r="D245" s="231"/>
      <c r="E245" s="231"/>
      <c r="F245" s="231"/>
      <c r="G245" s="231"/>
      <c r="H245" s="76"/>
      <c r="I245" s="232"/>
      <c r="J245" s="76">
        <f t="shared" si="149"/>
        <v>0</v>
      </c>
      <c r="K245" s="76">
        <f t="shared" si="143"/>
        <v>0</v>
      </c>
      <c r="L245" s="76"/>
      <c r="M245" s="76"/>
      <c r="N245" s="76"/>
      <c r="O245" s="76"/>
      <c r="P245" s="76"/>
      <c r="Q245" s="76"/>
      <c r="R245" s="76"/>
      <c r="S245" s="76"/>
      <c r="T245" s="76"/>
      <c r="V245" s="120">
        <f t="shared" si="144"/>
        <v>0</v>
      </c>
      <c r="Y245" s="35"/>
      <c r="Z245" s="35"/>
      <c r="AA245" s="35"/>
    </row>
    <row r="246" spans="1:27" s="22" customFormat="1" hidden="1" outlineLevel="1" x14ac:dyDescent="0.25">
      <c r="A246" s="120">
        <f t="shared" ref="A246:A249" si="150">GETPAYMONTH(B246)</f>
        <v>0</v>
      </c>
      <c r="B246" s="231"/>
      <c r="C246" s="231"/>
      <c r="D246" s="231"/>
      <c r="E246" s="231"/>
      <c r="F246" s="231"/>
      <c r="G246" s="231"/>
      <c r="H246" s="76"/>
      <c r="I246" s="232"/>
      <c r="J246" s="76">
        <f t="shared" ref="J246:J249" si="151">SUM(K246:T246)</f>
        <v>0</v>
      </c>
      <c r="K246" s="76">
        <f t="shared" si="143"/>
        <v>0</v>
      </c>
      <c r="L246" s="76"/>
      <c r="M246" s="76"/>
      <c r="N246" s="76"/>
      <c r="O246" s="76"/>
      <c r="P246" s="76"/>
      <c r="Q246" s="76"/>
      <c r="R246" s="76"/>
      <c r="S246" s="76"/>
      <c r="T246" s="76"/>
      <c r="V246" s="120">
        <f t="shared" si="144"/>
        <v>0</v>
      </c>
      <c r="Y246" s="35"/>
      <c r="Z246" s="35"/>
      <c r="AA246" s="35"/>
    </row>
    <row r="247" spans="1:27" s="22" customFormat="1" hidden="1" outlineLevel="1" x14ac:dyDescent="0.25">
      <c r="A247" s="120">
        <f t="shared" si="150"/>
        <v>0</v>
      </c>
      <c r="B247" s="231"/>
      <c r="C247" s="231"/>
      <c r="D247" s="231"/>
      <c r="E247" s="231"/>
      <c r="F247" s="231"/>
      <c r="G247" s="231"/>
      <c r="H247" s="76"/>
      <c r="I247" s="232"/>
      <c r="J247" s="76">
        <f t="shared" si="151"/>
        <v>0</v>
      </c>
      <c r="K247" s="76">
        <f t="shared" si="143"/>
        <v>0</v>
      </c>
      <c r="L247" s="76"/>
      <c r="M247" s="76"/>
      <c r="N247" s="76"/>
      <c r="O247" s="76"/>
      <c r="P247" s="76"/>
      <c r="Q247" s="76"/>
      <c r="R247" s="76"/>
      <c r="S247" s="76"/>
      <c r="T247" s="76"/>
      <c r="V247" s="120">
        <f t="shared" si="144"/>
        <v>0</v>
      </c>
      <c r="Y247" s="35"/>
      <c r="Z247" s="35"/>
      <c r="AA247" s="35"/>
    </row>
    <row r="248" spans="1:27" s="22" customFormat="1" hidden="1" outlineLevel="1" x14ac:dyDescent="0.25">
      <c r="A248" s="120">
        <f t="shared" si="150"/>
        <v>0</v>
      </c>
      <c r="B248" s="231"/>
      <c r="C248" s="231"/>
      <c r="D248" s="231"/>
      <c r="E248" s="231"/>
      <c r="F248" s="231"/>
      <c r="G248" s="231"/>
      <c r="H248" s="76"/>
      <c r="I248" s="232"/>
      <c r="J248" s="76">
        <f t="shared" si="151"/>
        <v>0</v>
      </c>
      <c r="K248" s="76">
        <f t="shared" si="143"/>
        <v>0</v>
      </c>
      <c r="L248" s="76"/>
      <c r="M248" s="76"/>
      <c r="N248" s="76"/>
      <c r="O248" s="76"/>
      <c r="P248" s="76"/>
      <c r="Q248" s="76"/>
      <c r="R248" s="76"/>
      <c r="S248" s="76"/>
      <c r="T248" s="76"/>
      <c r="V248" s="120">
        <f t="shared" si="144"/>
        <v>0</v>
      </c>
      <c r="Y248" s="35"/>
      <c r="Z248" s="35"/>
      <c r="AA248" s="35"/>
    </row>
    <row r="249" spans="1:27" s="22" customFormat="1" hidden="1" outlineLevel="1" x14ac:dyDescent="0.25">
      <c r="A249" s="120">
        <f t="shared" si="150"/>
        <v>0</v>
      </c>
      <c r="B249" s="231"/>
      <c r="C249" s="231"/>
      <c r="D249" s="231"/>
      <c r="E249" s="231"/>
      <c r="F249" s="231"/>
      <c r="G249" s="231"/>
      <c r="H249" s="76"/>
      <c r="I249" s="232"/>
      <c r="J249" s="76">
        <f t="shared" si="151"/>
        <v>0</v>
      </c>
      <c r="K249" s="76">
        <f t="shared" si="143"/>
        <v>0</v>
      </c>
      <c r="L249" s="76"/>
      <c r="M249" s="76"/>
      <c r="N249" s="76"/>
      <c r="O249" s="76"/>
      <c r="P249" s="76"/>
      <c r="Q249" s="76"/>
      <c r="R249" s="76"/>
      <c r="S249" s="76"/>
      <c r="T249" s="76"/>
      <c r="V249" s="120">
        <f t="shared" si="144"/>
        <v>0</v>
      </c>
      <c r="Y249" s="35"/>
      <c r="Z249" s="35"/>
      <c r="AA249" s="35"/>
    </row>
    <row r="250" spans="1:27" s="22" customFormat="1" hidden="1" outlineLevel="1" x14ac:dyDescent="0.25">
      <c r="A250" s="120">
        <f t="shared" si="141"/>
        <v>0</v>
      </c>
      <c r="B250" s="231"/>
      <c r="C250" s="231"/>
      <c r="D250" s="231"/>
      <c r="E250" s="231"/>
      <c r="F250" s="231"/>
      <c r="G250" s="231"/>
      <c r="H250" s="76"/>
      <c r="I250" s="232"/>
      <c r="J250" s="76">
        <f t="shared" si="142"/>
        <v>0</v>
      </c>
      <c r="K250" s="76">
        <f t="shared" si="143"/>
        <v>0</v>
      </c>
      <c r="L250" s="76"/>
      <c r="M250" s="76"/>
      <c r="N250" s="76"/>
      <c r="O250" s="76"/>
      <c r="P250" s="76"/>
      <c r="Q250" s="76"/>
      <c r="R250" s="76"/>
      <c r="S250" s="76"/>
      <c r="T250" s="76"/>
      <c r="V250" s="120">
        <f t="shared" si="144"/>
        <v>0</v>
      </c>
      <c r="Y250" s="35"/>
      <c r="Z250" s="35"/>
      <c r="AA250" s="35"/>
    </row>
    <row r="251" spans="1:27" s="22" customFormat="1" hidden="1" outlineLevel="1" x14ac:dyDescent="0.25">
      <c r="A251" s="120">
        <f t="shared" si="141"/>
        <v>0</v>
      </c>
      <c r="B251" s="231"/>
      <c r="C251" s="231"/>
      <c r="D251" s="231"/>
      <c r="E251" s="231"/>
      <c r="F251" s="231"/>
      <c r="G251" s="231"/>
      <c r="H251" s="76"/>
      <c r="I251" s="232"/>
      <c r="J251" s="76">
        <f t="shared" si="142"/>
        <v>0</v>
      </c>
      <c r="K251" s="76">
        <f t="shared" si="143"/>
        <v>0</v>
      </c>
      <c r="L251" s="76"/>
      <c r="M251" s="76"/>
      <c r="N251" s="76"/>
      <c r="O251" s="76"/>
      <c r="P251" s="76"/>
      <c r="Q251" s="76"/>
      <c r="R251" s="76"/>
      <c r="S251" s="76"/>
      <c r="T251" s="76"/>
      <c r="V251" s="120">
        <f t="shared" si="144"/>
        <v>0</v>
      </c>
      <c r="Y251" s="35"/>
      <c r="Z251" s="35"/>
      <c r="AA251" s="35"/>
    </row>
    <row r="252" spans="1:27" s="22" customFormat="1" hidden="1" outlineLevel="1" x14ac:dyDescent="0.25">
      <c r="A252" s="120">
        <f t="shared" ref="A252:A255" si="152">GETPAYMONTH(B252)</f>
        <v>0</v>
      </c>
      <c r="B252" s="231"/>
      <c r="C252" s="231"/>
      <c r="D252" s="231"/>
      <c r="E252" s="231"/>
      <c r="F252" s="231"/>
      <c r="G252" s="231"/>
      <c r="H252" s="76"/>
      <c r="I252" s="232"/>
      <c r="J252" s="76">
        <f t="shared" ref="J252:J255" si="153">SUM(K252:T252)</f>
        <v>0</v>
      </c>
      <c r="K252" s="76">
        <f t="shared" si="143"/>
        <v>0</v>
      </c>
      <c r="L252" s="76"/>
      <c r="M252" s="76"/>
      <c r="N252" s="76"/>
      <c r="O252" s="76"/>
      <c r="P252" s="76"/>
      <c r="Q252" s="76"/>
      <c r="R252" s="76"/>
      <c r="S252" s="76"/>
      <c r="T252" s="76"/>
      <c r="V252" s="120">
        <f t="shared" si="144"/>
        <v>0</v>
      </c>
      <c r="Y252" s="35"/>
      <c r="Z252" s="35"/>
      <c r="AA252" s="35"/>
    </row>
    <row r="253" spans="1:27" s="22" customFormat="1" hidden="1" outlineLevel="1" x14ac:dyDescent="0.25">
      <c r="A253" s="120">
        <f t="shared" si="152"/>
        <v>0</v>
      </c>
      <c r="B253" s="231"/>
      <c r="C253" s="231"/>
      <c r="D253" s="231"/>
      <c r="E253" s="231"/>
      <c r="F253" s="231"/>
      <c r="G253" s="231"/>
      <c r="H253" s="76"/>
      <c r="I253" s="232"/>
      <c r="J253" s="76">
        <f t="shared" si="153"/>
        <v>0</v>
      </c>
      <c r="K253" s="76">
        <f t="shared" si="143"/>
        <v>0</v>
      </c>
      <c r="L253" s="76"/>
      <c r="M253" s="76"/>
      <c r="N253" s="76"/>
      <c r="O253" s="76"/>
      <c r="P253" s="76"/>
      <c r="Q253" s="76"/>
      <c r="R253" s="76"/>
      <c r="S253" s="76"/>
      <c r="T253" s="76"/>
      <c r="V253" s="120">
        <f t="shared" si="144"/>
        <v>0</v>
      </c>
      <c r="Y253" s="35"/>
      <c r="Z253" s="35"/>
      <c r="AA253" s="35"/>
    </row>
    <row r="254" spans="1:27" s="22" customFormat="1" hidden="1" outlineLevel="1" x14ac:dyDescent="0.25">
      <c r="A254" s="120">
        <f t="shared" si="152"/>
        <v>0</v>
      </c>
      <c r="B254" s="231"/>
      <c r="C254" s="231"/>
      <c r="D254" s="231"/>
      <c r="E254" s="231"/>
      <c r="F254" s="231"/>
      <c r="G254" s="231"/>
      <c r="H254" s="76"/>
      <c r="I254" s="232"/>
      <c r="J254" s="76">
        <f t="shared" si="153"/>
        <v>0</v>
      </c>
      <c r="K254" s="76">
        <f t="shared" si="143"/>
        <v>0</v>
      </c>
      <c r="L254" s="76"/>
      <c r="M254" s="76"/>
      <c r="N254" s="76"/>
      <c r="O254" s="76"/>
      <c r="P254" s="76"/>
      <c r="Q254" s="76"/>
      <c r="R254" s="76"/>
      <c r="S254" s="76"/>
      <c r="T254" s="76"/>
      <c r="V254" s="120">
        <f t="shared" si="144"/>
        <v>0</v>
      </c>
      <c r="Y254" s="35"/>
      <c r="Z254" s="35"/>
      <c r="AA254" s="35"/>
    </row>
    <row r="255" spans="1:27" s="22" customFormat="1" hidden="1" outlineLevel="1" x14ac:dyDescent="0.25">
      <c r="A255" s="120">
        <f t="shared" si="152"/>
        <v>0</v>
      </c>
      <c r="B255" s="231"/>
      <c r="C255" s="231"/>
      <c r="D255" s="231"/>
      <c r="E255" s="231"/>
      <c r="F255" s="231"/>
      <c r="G255" s="231"/>
      <c r="H255" s="76"/>
      <c r="I255" s="232"/>
      <c r="J255" s="76">
        <f t="shared" si="153"/>
        <v>0</v>
      </c>
      <c r="K255" s="76">
        <f t="shared" si="143"/>
        <v>0</v>
      </c>
      <c r="L255" s="76"/>
      <c r="M255" s="76"/>
      <c r="N255" s="76"/>
      <c r="O255" s="76"/>
      <c r="P255" s="76"/>
      <c r="Q255" s="76"/>
      <c r="R255" s="76"/>
      <c r="S255" s="76"/>
      <c r="T255" s="76"/>
      <c r="V255" s="120">
        <f t="shared" si="144"/>
        <v>0</v>
      </c>
      <c r="Y255" s="35"/>
      <c r="Z255" s="35"/>
      <c r="AA255" s="35"/>
    </row>
    <row r="256" spans="1:27" s="22" customFormat="1" hidden="1" outlineLevel="1" x14ac:dyDescent="0.25">
      <c r="A256" s="120">
        <f t="shared" si="141"/>
        <v>0</v>
      </c>
      <c r="B256" s="231"/>
      <c r="C256" s="231"/>
      <c r="D256" s="231"/>
      <c r="E256" s="231"/>
      <c r="F256" s="231"/>
      <c r="G256" s="231"/>
      <c r="H256" s="76"/>
      <c r="I256" s="232"/>
      <c r="J256" s="76">
        <f t="shared" si="142"/>
        <v>0</v>
      </c>
      <c r="K256" s="76">
        <f t="shared" si="143"/>
        <v>0</v>
      </c>
      <c r="L256" s="76"/>
      <c r="M256" s="76"/>
      <c r="N256" s="76"/>
      <c r="O256" s="76"/>
      <c r="P256" s="76"/>
      <c r="Q256" s="76"/>
      <c r="R256" s="76"/>
      <c r="S256" s="76"/>
      <c r="T256" s="76"/>
      <c r="V256" s="120">
        <f t="shared" si="144"/>
        <v>0</v>
      </c>
      <c r="Y256" s="35"/>
      <c r="Z256" s="35"/>
      <c r="AA256" s="35"/>
    </row>
    <row r="257" spans="1:27" s="22" customFormat="1" hidden="1" outlineLevel="1" x14ac:dyDescent="0.25">
      <c r="A257" s="120">
        <f t="shared" si="141"/>
        <v>0</v>
      </c>
      <c r="B257" s="231"/>
      <c r="C257" s="231"/>
      <c r="D257" s="231"/>
      <c r="E257" s="231"/>
      <c r="F257" s="231"/>
      <c r="G257" s="231"/>
      <c r="H257" s="76"/>
      <c r="I257" s="232"/>
      <c r="J257" s="76">
        <f t="shared" si="142"/>
        <v>0</v>
      </c>
      <c r="K257" s="76">
        <f t="shared" si="143"/>
        <v>0</v>
      </c>
      <c r="L257" s="76"/>
      <c r="M257" s="76"/>
      <c r="N257" s="76"/>
      <c r="O257" s="76"/>
      <c r="P257" s="76"/>
      <c r="Q257" s="76"/>
      <c r="R257" s="76"/>
      <c r="S257" s="76"/>
      <c r="T257" s="76"/>
      <c r="V257" s="120">
        <f t="shared" si="144"/>
        <v>0</v>
      </c>
      <c r="Y257" s="35"/>
      <c r="Z257" s="35"/>
      <c r="AA257" s="35"/>
    </row>
    <row r="258" spans="1:27" s="22" customFormat="1" hidden="1" outlineLevel="1" x14ac:dyDescent="0.25">
      <c r="A258" s="120">
        <f t="shared" ref="A258:A259" si="154">GETPAYMONTH(B258)</f>
        <v>0</v>
      </c>
      <c r="B258" s="231"/>
      <c r="C258" s="231"/>
      <c r="D258" s="231"/>
      <c r="E258" s="231"/>
      <c r="F258" s="231"/>
      <c r="G258" s="231"/>
      <c r="H258" s="76"/>
      <c r="I258" s="232"/>
      <c r="J258" s="76">
        <f t="shared" ref="J258:J259" si="155">SUM(K258:T258)</f>
        <v>0</v>
      </c>
      <c r="K258" s="76">
        <f t="shared" si="143"/>
        <v>0</v>
      </c>
      <c r="L258" s="76"/>
      <c r="M258" s="76"/>
      <c r="N258" s="76"/>
      <c r="O258" s="76"/>
      <c r="P258" s="76"/>
      <c r="Q258" s="76"/>
      <c r="R258" s="76"/>
      <c r="S258" s="76"/>
      <c r="T258" s="76"/>
      <c r="V258" s="120">
        <f t="shared" si="144"/>
        <v>0</v>
      </c>
      <c r="Y258" s="35"/>
      <c r="Z258" s="35"/>
      <c r="AA258" s="35"/>
    </row>
    <row r="259" spans="1:27" s="22" customFormat="1" hidden="1" outlineLevel="1" x14ac:dyDescent="0.25">
      <c r="A259" s="120">
        <f t="shared" si="154"/>
        <v>0</v>
      </c>
      <c r="B259" s="231"/>
      <c r="C259" s="231"/>
      <c r="D259" s="231"/>
      <c r="E259" s="231"/>
      <c r="F259" s="231"/>
      <c r="G259" s="231"/>
      <c r="H259" s="76"/>
      <c r="I259" s="232"/>
      <c r="J259" s="76">
        <f t="shared" si="155"/>
        <v>0</v>
      </c>
      <c r="K259" s="76">
        <f t="shared" si="143"/>
        <v>0</v>
      </c>
      <c r="L259" s="76"/>
      <c r="M259" s="76"/>
      <c r="N259" s="76"/>
      <c r="O259" s="76"/>
      <c r="P259" s="76"/>
      <c r="Q259" s="76"/>
      <c r="R259" s="76"/>
      <c r="S259" s="76"/>
      <c r="T259" s="76"/>
      <c r="V259" s="120">
        <f t="shared" si="144"/>
        <v>0</v>
      </c>
      <c r="Y259" s="35"/>
      <c r="Z259" s="35"/>
      <c r="AA259" s="35"/>
    </row>
    <row r="260" spans="1:27" s="22" customFormat="1" hidden="1" outlineLevel="1" x14ac:dyDescent="0.25">
      <c r="A260" s="120">
        <f t="shared" ref="A260:A261" si="156">GETPAYMONTH(B260)</f>
        <v>0</v>
      </c>
      <c r="B260" s="231"/>
      <c r="C260" s="231"/>
      <c r="D260" s="231"/>
      <c r="E260" s="231"/>
      <c r="F260" s="231"/>
      <c r="G260" s="231"/>
      <c r="H260" s="76"/>
      <c r="I260" s="232"/>
      <c r="J260" s="76">
        <f t="shared" ref="J260:J261" si="157">SUM(K260:T260)</f>
        <v>0</v>
      </c>
      <c r="K260" s="76">
        <f t="shared" si="143"/>
        <v>0</v>
      </c>
      <c r="L260" s="76"/>
      <c r="M260" s="76"/>
      <c r="N260" s="76"/>
      <c r="O260" s="76"/>
      <c r="P260" s="76"/>
      <c r="Q260" s="76"/>
      <c r="R260" s="76"/>
      <c r="S260" s="76"/>
      <c r="T260" s="76"/>
      <c r="V260" s="120">
        <f t="shared" si="144"/>
        <v>0</v>
      </c>
      <c r="Y260" s="35"/>
      <c r="Z260" s="35"/>
      <c r="AA260" s="35"/>
    </row>
    <row r="261" spans="1:27" s="22" customFormat="1" hidden="1" outlineLevel="1" x14ac:dyDescent="0.25">
      <c r="A261" s="120">
        <f t="shared" si="156"/>
        <v>0</v>
      </c>
      <c r="B261" s="231"/>
      <c r="C261" s="231"/>
      <c r="D261" s="231"/>
      <c r="E261" s="231"/>
      <c r="F261" s="231"/>
      <c r="G261" s="231"/>
      <c r="H261" s="76"/>
      <c r="I261" s="232"/>
      <c r="J261" s="76">
        <f t="shared" si="157"/>
        <v>0</v>
      </c>
      <c r="K261" s="76">
        <f t="shared" si="143"/>
        <v>0</v>
      </c>
      <c r="L261" s="76"/>
      <c r="M261" s="76"/>
      <c r="N261" s="76"/>
      <c r="O261" s="76"/>
      <c r="P261" s="76"/>
      <c r="Q261" s="76"/>
      <c r="R261" s="76"/>
      <c r="S261" s="76"/>
      <c r="T261" s="76"/>
      <c r="V261" s="120">
        <f t="shared" si="144"/>
        <v>0</v>
      </c>
      <c r="Y261" s="35"/>
      <c r="Z261" s="35"/>
      <c r="AA261" s="35"/>
    </row>
    <row r="262" spans="1:27" s="22" customFormat="1" hidden="1" outlineLevel="1" x14ac:dyDescent="0.25">
      <c r="A262" s="120">
        <f t="shared" si="141"/>
        <v>0</v>
      </c>
      <c r="B262" s="231"/>
      <c r="C262" s="231"/>
      <c r="D262" s="231"/>
      <c r="E262" s="231"/>
      <c r="F262" s="231"/>
      <c r="G262" s="231"/>
      <c r="H262" s="76"/>
      <c r="I262" s="232"/>
      <c r="J262" s="76">
        <f t="shared" si="142"/>
        <v>0</v>
      </c>
      <c r="K262" s="76">
        <f t="shared" si="143"/>
        <v>0</v>
      </c>
      <c r="L262" s="76"/>
      <c r="M262" s="76"/>
      <c r="N262" s="76"/>
      <c r="O262" s="76"/>
      <c r="P262" s="76"/>
      <c r="Q262" s="76"/>
      <c r="R262" s="76"/>
      <c r="S262" s="76"/>
      <c r="T262" s="76"/>
      <c r="V262" s="120">
        <f t="shared" si="144"/>
        <v>0</v>
      </c>
      <c r="Y262" s="35"/>
      <c r="Z262" s="35"/>
      <c r="AA262" s="35"/>
    </row>
    <row r="263" spans="1:27" s="22" customFormat="1" hidden="1" outlineLevel="1" x14ac:dyDescent="0.25">
      <c r="A263" s="120">
        <f t="shared" si="141"/>
        <v>0</v>
      </c>
      <c r="B263" s="231"/>
      <c r="C263" s="231"/>
      <c r="D263" s="231"/>
      <c r="E263" s="231"/>
      <c r="F263" s="231"/>
      <c r="G263" s="231"/>
      <c r="H263" s="76"/>
      <c r="I263" s="232"/>
      <c r="J263" s="76">
        <f t="shared" si="142"/>
        <v>0</v>
      </c>
      <c r="K263" s="76">
        <f t="shared" si="143"/>
        <v>0</v>
      </c>
      <c r="L263" s="76"/>
      <c r="M263" s="76"/>
      <c r="N263" s="76"/>
      <c r="O263" s="76"/>
      <c r="P263" s="76"/>
      <c r="Q263" s="76"/>
      <c r="R263" s="76"/>
      <c r="S263" s="76"/>
      <c r="T263" s="76"/>
      <c r="V263" s="120">
        <f t="shared" si="144"/>
        <v>0</v>
      </c>
      <c r="Y263" s="35"/>
      <c r="Z263" s="35"/>
      <c r="AA263" s="35"/>
    </row>
    <row r="264" spans="1:27" s="22" customFormat="1" hidden="1" x14ac:dyDescent="0.25">
      <c r="A264" s="120"/>
      <c r="B264" s="231"/>
      <c r="C264" s="231"/>
      <c r="D264" s="231"/>
      <c r="E264" s="231"/>
      <c r="F264" s="231"/>
      <c r="G264" s="231"/>
      <c r="H264" s="78"/>
      <c r="I264" s="232"/>
      <c r="J264" s="76">
        <f t="shared" si="142"/>
        <v>0</v>
      </c>
      <c r="K264" s="76">
        <f t="shared" si="143"/>
        <v>0</v>
      </c>
      <c r="L264" s="76"/>
      <c r="M264" s="76"/>
      <c r="N264" s="76"/>
      <c r="O264" s="76"/>
      <c r="P264" s="76"/>
      <c r="Q264" s="76"/>
      <c r="R264" s="76"/>
      <c r="S264" s="76"/>
      <c r="T264" s="76"/>
      <c r="V264" s="120">
        <f t="shared" si="144"/>
        <v>0</v>
      </c>
      <c r="Y264" s="35"/>
      <c r="Z264" s="35"/>
      <c r="AA264" s="35"/>
    </row>
    <row r="265" spans="1:27" s="35" customFormat="1" x14ac:dyDescent="0.25">
      <c r="A265" s="131" t="s">
        <v>509</v>
      </c>
      <c r="B265" s="235"/>
      <c r="C265" s="264" t="e">
        <f>EmpID</f>
        <v>#NAME?</v>
      </c>
      <c r="D265" s="235"/>
      <c r="E265" s="235"/>
      <c r="F265" s="346"/>
      <c r="G265" s="235"/>
      <c r="H265" s="235"/>
      <c r="I265" s="132"/>
      <c r="J265" s="132" t="e">
        <f ca="1">SUM(S265:T265)</f>
        <v>#NAME?</v>
      </c>
      <c r="K265" s="132"/>
      <c r="L265" s="132"/>
      <c r="M265" s="132" t="e">
        <f ca="1">M19-SUMIF(payEmpPay,EmpID,M155:M264)</f>
        <v>#NAME?</v>
      </c>
      <c r="N265" s="132" t="e">
        <f ca="1">N19-SUMIF(payEmpPay,EmpID,N155:N264)</f>
        <v>#NAME?</v>
      </c>
      <c r="O265" s="132"/>
      <c r="P265" s="132"/>
      <c r="Q265" s="132"/>
      <c r="R265" s="132"/>
      <c r="S265" s="132" t="e">
        <f ca="1">S19-SUMIF(payEmpPay,EmpID,S155:S264)</f>
        <v>#NAME?</v>
      </c>
      <c r="T265" s="132" t="e">
        <f ca="1">T19-SUMIF(payEmpPay,EmpID,T155:T264)</f>
        <v>#NAME?</v>
      </c>
    </row>
    <row r="266" spans="1:27" hidden="1" x14ac:dyDescent="0.25">
      <c r="F266"/>
    </row>
    <row r="267" spans="1:27" ht="22.8" x14ac:dyDescent="0.4">
      <c r="A267" s="254"/>
      <c r="B267" s="255"/>
      <c r="C267" s="256" t="e">
        <f>EmpID</f>
        <v>#NAME?</v>
      </c>
      <c r="D267" s="255"/>
      <c r="E267" s="219"/>
      <c r="F267" s="145"/>
      <c r="G267" s="255"/>
      <c r="H267" s="219"/>
      <c r="I267" s="66"/>
      <c r="J267" s="221" t="s">
        <v>510</v>
      </c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V267" s="66" t="s">
        <v>465</v>
      </c>
      <c r="W267" s="66" t="s">
        <v>31</v>
      </c>
      <c r="Y267" s="224"/>
      <c r="Z267" s="224"/>
      <c r="AA267" s="224"/>
    </row>
    <row r="268" spans="1:27" s="224" customFormat="1" ht="13.8" thickBot="1" x14ac:dyDescent="0.3">
      <c r="A268" s="222"/>
      <c r="B268" s="156"/>
      <c r="C268" s="263" t="e">
        <f>EmpID</f>
        <v>#NAME?</v>
      </c>
      <c r="D268" s="156"/>
      <c r="E268" s="156" t="s">
        <v>511</v>
      </c>
      <c r="F268" s="380"/>
      <c r="G268" s="156"/>
      <c r="H268" s="156" t="s">
        <v>512</v>
      </c>
      <c r="I268" s="156" t="s">
        <v>460</v>
      </c>
      <c r="J268" s="156" t="s">
        <v>513</v>
      </c>
      <c r="K268" s="156" t="s">
        <v>451</v>
      </c>
      <c r="L268" s="156" t="s">
        <v>452</v>
      </c>
      <c r="M268" s="156"/>
      <c r="N268" s="156" t="s">
        <v>454</v>
      </c>
      <c r="O268" s="156" t="s">
        <v>514</v>
      </c>
      <c r="P268" s="156" t="s">
        <v>515</v>
      </c>
      <c r="Q268" s="156"/>
      <c r="R268" s="156" t="s">
        <v>516</v>
      </c>
      <c r="S268" s="156" t="s">
        <v>517</v>
      </c>
      <c r="T268" s="156" t="s">
        <v>460</v>
      </c>
      <c r="V268" s="156" t="s">
        <v>508</v>
      </c>
      <c r="W268" s="156" t="s">
        <v>95</v>
      </c>
      <c r="Y268" s="22"/>
      <c r="Z268" s="22"/>
      <c r="AA268" s="22"/>
    </row>
    <row r="269" spans="1:27" s="22" customFormat="1" hidden="1" x14ac:dyDescent="0.25">
      <c r="A269" s="120">
        <f t="shared" ref="A269:A288" si="158">GETPAYMONTH(B269)</f>
        <v>0</v>
      </c>
      <c r="B269" s="231"/>
      <c r="C269" s="231"/>
      <c r="D269" s="76"/>
      <c r="E269" s="231"/>
      <c r="F269" s="231"/>
      <c r="G269" s="231"/>
      <c r="H269" s="76"/>
      <c r="I269" s="232"/>
      <c r="J269" s="76"/>
      <c r="K269" s="76">
        <f t="shared" ref="K269:K288" si="159">ROUND($H269/11*10,2)</f>
        <v>0</v>
      </c>
      <c r="L269" s="76">
        <f t="shared" ref="L269:L288" si="160">ROUND($I269/11*10,2)</f>
        <v>0</v>
      </c>
      <c r="M269" s="76"/>
      <c r="N269" s="76"/>
      <c r="O269" s="76"/>
      <c r="P269" s="76"/>
      <c r="Q269" s="76"/>
      <c r="R269" s="76">
        <f t="shared" ref="R269:R288" si="161">H269+I269-K269-L269</f>
        <v>0</v>
      </c>
      <c r="S269" s="76">
        <f t="shared" ref="S269:S288" si="162">SUM($K269:$L269)</f>
        <v>0</v>
      </c>
      <c r="T269" s="76">
        <f t="shared" ref="T269:T288" si="163">SUM(K269:L269)+P269+R269</f>
        <v>0</v>
      </c>
      <c r="U269" s="129"/>
      <c r="V269" s="120" t="str">
        <f t="shared" ref="V269:V288" si="164">C269 &amp;":"&amp; B269</f>
        <v>:</v>
      </c>
      <c r="W269" s="265" t="e">
        <f t="shared" ref="W269:W288" si="165">DATE(YEAR(B269+1),MONTH(B269+1),VLOOKUP(C269,payEmpNames,4))</f>
        <v>#NAME?</v>
      </c>
    </row>
    <row r="270" spans="1:27" s="22" customFormat="1" hidden="1" outlineLevel="1" x14ac:dyDescent="0.25">
      <c r="A270" s="120">
        <f t="shared" si="158"/>
        <v>1</v>
      </c>
      <c r="B270" s="392">
        <v>43646</v>
      </c>
      <c r="C270" s="231" t="s">
        <v>57</v>
      </c>
      <c r="D270" s="76"/>
      <c r="E270" s="231"/>
      <c r="F270" s="231"/>
      <c r="G270" s="231"/>
      <c r="H270" s="76"/>
      <c r="I270" s="232">
        <v>2994</v>
      </c>
      <c r="J270" s="76"/>
      <c r="K270" s="76">
        <f t="shared" si="159"/>
        <v>0</v>
      </c>
      <c r="L270" s="76">
        <f t="shared" si="160"/>
        <v>2721.82</v>
      </c>
      <c r="M270" s="76"/>
      <c r="N270" s="76"/>
      <c r="O270" s="76"/>
      <c r="P270" s="76"/>
      <c r="Q270" s="76"/>
      <c r="R270" s="76">
        <f t="shared" si="161"/>
        <v>272.17999999999984</v>
      </c>
      <c r="S270" s="76">
        <f t="shared" si="162"/>
        <v>2721.82</v>
      </c>
      <c r="T270" s="76">
        <f t="shared" si="163"/>
        <v>2994</v>
      </c>
      <c r="U270" s="129"/>
      <c r="V270" s="120" t="str">
        <f t="shared" si="164"/>
        <v>CRP:43646</v>
      </c>
      <c r="W270" s="265" t="e">
        <f t="shared" si="165"/>
        <v>#NAME?</v>
      </c>
    </row>
    <row r="271" spans="1:27" s="22" customFormat="1" hidden="1" outlineLevel="1" x14ac:dyDescent="0.25">
      <c r="A271" s="120">
        <f t="shared" si="158"/>
        <v>2</v>
      </c>
      <c r="B271" s="392">
        <v>43677</v>
      </c>
      <c r="C271" s="231" t="s">
        <v>57</v>
      </c>
      <c r="D271" s="76"/>
      <c r="E271" s="231"/>
      <c r="F271" s="231"/>
      <c r="G271" s="231"/>
      <c r="H271" s="76"/>
      <c r="I271" s="232">
        <v>1005</v>
      </c>
      <c r="J271" s="76"/>
      <c r="K271" s="76">
        <f t="shared" si="159"/>
        <v>0</v>
      </c>
      <c r="L271" s="76">
        <f t="shared" si="160"/>
        <v>913.64</v>
      </c>
      <c r="M271" s="76"/>
      <c r="N271" s="76"/>
      <c r="O271" s="76"/>
      <c r="P271" s="76"/>
      <c r="Q271" s="76"/>
      <c r="R271" s="76">
        <f t="shared" si="161"/>
        <v>91.360000000000014</v>
      </c>
      <c r="S271" s="76">
        <f t="shared" si="162"/>
        <v>913.64</v>
      </c>
      <c r="T271" s="76">
        <f t="shared" si="163"/>
        <v>1005</v>
      </c>
      <c r="U271" s="129"/>
      <c r="V271" s="120" t="str">
        <f t="shared" si="164"/>
        <v>CRP:43677</v>
      </c>
      <c r="W271" s="265" t="e">
        <f t="shared" si="165"/>
        <v>#NAME?</v>
      </c>
    </row>
    <row r="272" spans="1:27" s="22" customFormat="1" hidden="1" outlineLevel="1" x14ac:dyDescent="0.25">
      <c r="A272" s="120">
        <f t="shared" si="158"/>
        <v>3</v>
      </c>
      <c r="B272" s="392">
        <v>43708</v>
      </c>
      <c r="C272" s="231" t="s">
        <v>57</v>
      </c>
      <c r="D272" s="76"/>
      <c r="E272" s="231"/>
      <c r="F272" s="231"/>
      <c r="G272" s="231"/>
      <c r="H272" s="76"/>
      <c r="I272" s="232"/>
      <c r="J272" s="76"/>
      <c r="K272" s="76">
        <f t="shared" si="159"/>
        <v>0</v>
      </c>
      <c r="L272" s="76">
        <f t="shared" si="160"/>
        <v>0</v>
      </c>
      <c r="M272" s="76"/>
      <c r="N272" s="76"/>
      <c r="O272" s="76"/>
      <c r="P272" s="76"/>
      <c r="Q272" s="76"/>
      <c r="R272" s="76">
        <f t="shared" si="161"/>
        <v>0</v>
      </c>
      <c r="S272" s="76">
        <f t="shared" si="162"/>
        <v>0</v>
      </c>
      <c r="T272" s="76">
        <f t="shared" si="163"/>
        <v>0</v>
      </c>
      <c r="U272" s="129"/>
      <c r="V272" s="120" t="str">
        <f t="shared" si="164"/>
        <v>CRP:43708</v>
      </c>
      <c r="W272" s="265" t="e">
        <f t="shared" si="165"/>
        <v>#NAME?</v>
      </c>
    </row>
    <row r="273" spans="1:27" s="22" customFormat="1" hidden="1" outlineLevel="1" x14ac:dyDescent="0.25">
      <c r="A273" s="120">
        <f t="shared" si="158"/>
        <v>4</v>
      </c>
      <c r="B273" s="392">
        <v>43738</v>
      </c>
      <c r="C273" s="231" t="s">
        <v>57</v>
      </c>
      <c r="D273" s="76"/>
      <c r="E273" s="231"/>
      <c r="F273" s="231"/>
      <c r="G273" s="231"/>
      <c r="H273" s="76"/>
      <c r="I273" s="232"/>
      <c r="J273" s="76"/>
      <c r="K273" s="76">
        <f t="shared" si="159"/>
        <v>0</v>
      </c>
      <c r="L273" s="76">
        <f t="shared" si="160"/>
        <v>0</v>
      </c>
      <c r="M273" s="76"/>
      <c r="N273" s="76"/>
      <c r="O273" s="76"/>
      <c r="P273" s="76"/>
      <c r="Q273" s="76"/>
      <c r="R273" s="76">
        <f t="shared" si="161"/>
        <v>0</v>
      </c>
      <c r="S273" s="76">
        <f t="shared" si="162"/>
        <v>0</v>
      </c>
      <c r="T273" s="76">
        <f t="shared" si="163"/>
        <v>0</v>
      </c>
      <c r="U273" s="129"/>
      <c r="V273" s="120" t="str">
        <f t="shared" si="164"/>
        <v>CRP:43738</v>
      </c>
      <c r="W273" s="265" t="e">
        <f t="shared" si="165"/>
        <v>#NAME?</v>
      </c>
    </row>
    <row r="274" spans="1:27" s="22" customFormat="1" hidden="1" outlineLevel="1" x14ac:dyDescent="0.25">
      <c r="A274" s="120">
        <f t="shared" si="158"/>
        <v>5</v>
      </c>
      <c r="B274" s="392">
        <v>43769</v>
      </c>
      <c r="C274" s="231" t="s">
        <v>57</v>
      </c>
      <c r="D274" s="76"/>
      <c r="E274" s="231"/>
      <c r="F274" s="231"/>
      <c r="G274" s="231"/>
      <c r="H274" s="76"/>
      <c r="I274" s="232"/>
      <c r="J274" s="76"/>
      <c r="K274" s="76">
        <f t="shared" si="159"/>
        <v>0</v>
      </c>
      <c r="L274" s="76">
        <f t="shared" si="160"/>
        <v>0</v>
      </c>
      <c r="M274" s="76"/>
      <c r="N274" s="76"/>
      <c r="O274" s="76"/>
      <c r="P274" s="76"/>
      <c r="Q274" s="76"/>
      <c r="R274" s="76">
        <f t="shared" si="161"/>
        <v>0</v>
      </c>
      <c r="S274" s="76">
        <f t="shared" si="162"/>
        <v>0</v>
      </c>
      <c r="T274" s="76">
        <f t="shared" si="163"/>
        <v>0</v>
      </c>
      <c r="U274" s="129"/>
      <c r="V274" s="120" t="str">
        <f t="shared" si="164"/>
        <v>CRP:43769</v>
      </c>
      <c r="W274" s="265" t="e">
        <f t="shared" si="165"/>
        <v>#NAME?</v>
      </c>
    </row>
    <row r="275" spans="1:27" s="22" customFormat="1" hidden="1" outlineLevel="1" x14ac:dyDescent="0.25">
      <c r="A275" s="120">
        <f t="shared" si="158"/>
        <v>6</v>
      </c>
      <c r="B275" s="392">
        <v>43799</v>
      </c>
      <c r="C275" s="231" t="s">
        <v>57</v>
      </c>
      <c r="D275" s="76"/>
      <c r="E275" s="231"/>
      <c r="F275" s="231"/>
      <c r="G275" s="231"/>
      <c r="H275" s="76"/>
      <c r="I275" s="232"/>
      <c r="J275" s="76"/>
      <c r="K275" s="76">
        <f t="shared" si="159"/>
        <v>0</v>
      </c>
      <c r="L275" s="76">
        <f t="shared" si="160"/>
        <v>0</v>
      </c>
      <c r="M275" s="76"/>
      <c r="N275" s="76"/>
      <c r="O275" s="76"/>
      <c r="P275" s="76"/>
      <c r="Q275" s="76"/>
      <c r="R275" s="76">
        <f t="shared" si="161"/>
        <v>0</v>
      </c>
      <c r="S275" s="76">
        <f t="shared" si="162"/>
        <v>0</v>
      </c>
      <c r="T275" s="76">
        <f t="shared" si="163"/>
        <v>0</v>
      </c>
      <c r="U275" s="129"/>
      <c r="V275" s="120" t="str">
        <f t="shared" si="164"/>
        <v>CRP:43799</v>
      </c>
      <c r="W275" s="265" t="e">
        <f t="shared" si="165"/>
        <v>#NAME?</v>
      </c>
    </row>
    <row r="276" spans="1:27" s="22" customFormat="1" hidden="1" outlineLevel="1" x14ac:dyDescent="0.25">
      <c r="A276" s="120">
        <f t="shared" si="158"/>
        <v>7</v>
      </c>
      <c r="B276" s="392">
        <v>43830</v>
      </c>
      <c r="C276" s="231" t="s">
        <v>57</v>
      </c>
      <c r="D276" s="76"/>
      <c r="E276" s="231"/>
      <c r="F276" s="231"/>
      <c r="G276" s="231"/>
      <c r="H276" s="76"/>
      <c r="I276" s="232"/>
      <c r="J276" s="76"/>
      <c r="K276" s="76">
        <f t="shared" si="159"/>
        <v>0</v>
      </c>
      <c r="L276" s="76">
        <f t="shared" si="160"/>
        <v>0</v>
      </c>
      <c r="M276" s="76"/>
      <c r="N276" s="76"/>
      <c r="O276" s="76"/>
      <c r="P276" s="76"/>
      <c r="Q276" s="76"/>
      <c r="R276" s="76">
        <f t="shared" si="161"/>
        <v>0</v>
      </c>
      <c r="S276" s="76">
        <f t="shared" si="162"/>
        <v>0</v>
      </c>
      <c r="T276" s="76">
        <f t="shared" si="163"/>
        <v>0</v>
      </c>
      <c r="U276" s="129"/>
      <c r="V276" s="120" t="str">
        <f t="shared" si="164"/>
        <v>CRP:43830</v>
      </c>
      <c r="W276" s="265" t="e">
        <f t="shared" si="165"/>
        <v>#NAME?</v>
      </c>
    </row>
    <row r="277" spans="1:27" s="22" customFormat="1" hidden="1" outlineLevel="1" x14ac:dyDescent="0.25">
      <c r="A277" s="120">
        <f t="shared" si="158"/>
        <v>8</v>
      </c>
      <c r="B277" s="392">
        <v>43861</v>
      </c>
      <c r="C277" s="231" t="s">
        <v>57</v>
      </c>
      <c r="D277" s="76"/>
      <c r="E277" s="231"/>
      <c r="F277" s="231"/>
      <c r="G277" s="231"/>
      <c r="H277" s="76"/>
      <c r="I277" s="232"/>
      <c r="J277" s="76"/>
      <c r="K277" s="76">
        <f t="shared" si="159"/>
        <v>0</v>
      </c>
      <c r="L277" s="76">
        <f t="shared" si="160"/>
        <v>0</v>
      </c>
      <c r="M277" s="76"/>
      <c r="N277" s="76"/>
      <c r="O277" s="76"/>
      <c r="P277" s="76"/>
      <c r="Q277" s="76"/>
      <c r="R277" s="76">
        <f t="shared" si="161"/>
        <v>0</v>
      </c>
      <c r="S277" s="76">
        <f t="shared" si="162"/>
        <v>0</v>
      </c>
      <c r="T277" s="76">
        <f t="shared" si="163"/>
        <v>0</v>
      </c>
      <c r="U277" s="129"/>
      <c r="V277" s="120" t="str">
        <f t="shared" si="164"/>
        <v>CRP:43861</v>
      </c>
      <c r="W277" s="265" t="e">
        <f t="shared" si="165"/>
        <v>#NAME?</v>
      </c>
    </row>
    <row r="278" spans="1:27" s="22" customFormat="1" hidden="1" outlineLevel="1" x14ac:dyDescent="0.25">
      <c r="A278" s="120">
        <f t="shared" si="158"/>
        <v>9</v>
      </c>
      <c r="B278" s="392">
        <v>43889</v>
      </c>
      <c r="C278" s="231" t="s">
        <v>57</v>
      </c>
      <c r="D278" s="76"/>
      <c r="E278" s="231"/>
      <c r="F278" s="231"/>
      <c r="G278" s="231"/>
      <c r="H278" s="76"/>
      <c r="I278" s="232"/>
      <c r="J278" s="76"/>
      <c r="K278" s="76">
        <f t="shared" si="159"/>
        <v>0</v>
      </c>
      <c r="L278" s="76">
        <f t="shared" si="160"/>
        <v>0</v>
      </c>
      <c r="M278" s="76"/>
      <c r="N278" s="76"/>
      <c r="O278" s="76"/>
      <c r="P278" s="76"/>
      <c r="Q278" s="76"/>
      <c r="R278" s="76">
        <f t="shared" si="161"/>
        <v>0</v>
      </c>
      <c r="S278" s="76">
        <f t="shared" si="162"/>
        <v>0</v>
      </c>
      <c r="T278" s="76">
        <f t="shared" si="163"/>
        <v>0</v>
      </c>
      <c r="U278" s="129"/>
      <c r="V278" s="120" t="str">
        <f t="shared" si="164"/>
        <v>CRP:43889</v>
      </c>
      <c r="W278" s="265" t="e">
        <f t="shared" si="165"/>
        <v>#NAME?</v>
      </c>
    </row>
    <row r="279" spans="1:27" s="22" customFormat="1" hidden="1" outlineLevel="1" x14ac:dyDescent="0.25">
      <c r="A279" s="120">
        <f t="shared" si="158"/>
        <v>10</v>
      </c>
      <c r="B279" s="392">
        <v>43921</v>
      </c>
      <c r="C279" s="231" t="s">
        <v>57</v>
      </c>
      <c r="D279" s="76"/>
      <c r="E279" s="231"/>
      <c r="F279" s="231"/>
      <c r="G279" s="231"/>
      <c r="H279" s="76"/>
      <c r="I279" s="232"/>
      <c r="J279" s="76"/>
      <c r="K279" s="76">
        <f t="shared" si="159"/>
        <v>0</v>
      </c>
      <c r="L279" s="76">
        <f t="shared" si="160"/>
        <v>0</v>
      </c>
      <c r="M279" s="76"/>
      <c r="N279" s="76"/>
      <c r="O279" s="76"/>
      <c r="P279" s="76"/>
      <c r="Q279" s="76"/>
      <c r="R279" s="76">
        <f t="shared" si="161"/>
        <v>0</v>
      </c>
      <c r="S279" s="76">
        <f t="shared" si="162"/>
        <v>0</v>
      </c>
      <c r="T279" s="76">
        <f t="shared" si="163"/>
        <v>0</v>
      </c>
      <c r="U279" s="129"/>
      <c r="V279" s="120" t="str">
        <f t="shared" si="164"/>
        <v>CRP:43921</v>
      </c>
      <c r="W279" s="265" t="e">
        <f t="shared" si="165"/>
        <v>#NAME?</v>
      </c>
    </row>
    <row r="280" spans="1:27" s="22" customFormat="1" hidden="1" outlineLevel="1" x14ac:dyDescent="0.25">
      <c r="A280" s="120">
        <f t="shared" si="158"/>
        <v>11</v>
      </c>
      <c r="B280" s="392">
        <v>43951</v>
      </c>
      <c r="C280" s="231" t="s">
        <v>57</v>
      </c>
      <c r="D280" s="76"/>
      <c r="E280" s="231"/>
      <c r="F280" s="231"/>
      <c r="G280" s="231"/>
      <c r="H280" s="76"/>
      <c r="I280" s="232"/>
      <c r="J280" s="76"/>
      <c r="K280" s="76">
        <f t="shared" si="159"/>
        <v>0</v>
      </c>
      <c r="L280" s="76">
        <f t="shared" si="160"/>
        <v>0</v>
      </c>
      <c r="M280" s="76"/>
      <c r="N280" s="76"/>
      <c r="O280" s="76"/>
      <c r="P280" s="76"/>
      <c r="Q280" s="76"/>
      <c r="R280" s="76">
        <f t="shared" si="161"/>
        <v>0</v>
      </c>
      <c r="S280" s="76">
        <f t="shared" si="162"/>
        <v>0</v>
      </c>
      <c r="T280" s="76">
        <f t="shared" si="163"/>
        <v>0</v>
      </c>
      <c r="U280" s="129"/>
      <c r="V280" s="120" t="str">
        <f t="shared" si="164"/>
        <v>CRP:43951</v>
      </c>
      <c r="W280" s="265" t="e">
        <f t="shared" si="165"/>
        <v>#NAME?</v>
      </c>
    </row>
    <row r="281" spans="1:27" s="22" customFormat="1" hidden="1" outlineLevel="1" x14ac:dyDescent="0.25">
      <c r="A281" s="120">
        <f t="shared" si="158"/>
        <v>12</v>
      </c>
      <c r="B281" s="392">
        <v>43982</v>
      </c>
      <c r="C281" s="231" t="s">
        <v>57</v>
      </c>
      <c r="D281" s="76"/>
      <c r="E281" s="231"/>
      <c r="F281" s="231"/>
      <c r="G281" s="231"/>
      <c r="H281" s="76"/>
      <c r="I281" s="232"/>
      <c r="J281" s="76"/>
      <c r="K281" s="76">
        <f t="shared" si="159"/>
        <v>0</v>
      </c>
      <c r="L281" s="76">
        <f t="shared" si="160"/>
        <v>0</v>
      </c>
      <c r="M281" s="76"/>
      <c r="N281" s="76"/>
      <c r="O281" s="76"/>
      <c r="P281" s="76"/>
      <c r="Q281" s="76"/>
      <c r="R281" s="76">
        <f t="shared" si="161"/>
        <v>0</v>
      </c>
      <c r="S281" s="76">
        <f t="shared" si="162"/>
        <v>0</v>
      </c>
      <c r="T281" s="76">
        <f t="shared" si="163"/>
        <v>0</v>
      </c>
      <c r="U281" s="129"/>
      <c r="V281" s="120" t="str">
        <f t="shared" si="164"/>
        <v>CRP:43982</v>
      </c>
      <c r="W281" s="265" t="e">
        <f t="shared" si="165"/>
        <v>#NAME?</v>
      </c>
      <c r="Y281" s="35"/>
      <c r="Z281" s="35"/>
      <c r="AA281" s="35"/>
    </row>
    <row r="282" spans="1:27" s="22" customFormat="1" hidden="1" outlineLevel="1" x14ac:dyDescent="0.25">
      <c r="A282" s="120">
        <f t="shared" si="158"/>
        <v>1</v>
      </c>
      <c r="B282" s="392">
        <v>43646</v>
      </c>
      <c r="C282" s="231" t="s">
        <v>58</v>
      </c>
      <c r="D282" s="76"/>
      <c r="E282" s="231"/>
      <c r="F282" s="231"/>
      <c r="G282" s="231"/>
      <c r="H282" s="76"/>
      <c r="I282" s="232">
        <v>1049</v>
      </c>
      <c r="J282" s="76"/>
      <c r="K282" s="76">
        <f t="shared" si="159"/>
        <v>0</v>
      </c>
      <c r="L282" s="76">
        <f t="shared" si="160"/>
        <v>953.64</v>
      </c>
      <c r="M282" s="76"/>
      <c r="N282" s="76"/>
      <c r="O282" s="76"/>
      <c r="P282" s="76"/>
      <c r="Q282" s="76"/>
      <c r="R282" s="76">
        <f t="shared" si="161"/>
        <v>95.360000000000014</v>
      </c>
      <c r="S282" s="76">
        <f t="shared" si="162"/>
        <v>953.64</v>
      </c>
      <c r="T282" s="76">
        <f t="shared" si="163"/>
        <v>1049</v>
      </c>
      <c r="U282" s="129"/>
      <c r="V282" s="120" t="str">
        <f t="shared" si="164"/>
        <v>SM:43646</v>
      </c>
      <c r="W282" s="265" t="e">
        <f t="shared" si="165"/>
        <v>#NAME?</v>
      </c>
      <c r="Y282"/>
      <c r="Z282"/>
      <c r="AA282"/>
    </row>
    <row r="283" spans="1:27" s="22" customFormat="1" hidden="1" outlineLevel="1" x14ac:dyDescent="0.25">
      <c r="A283" s="120">
        <f t="shared" si="158"/>
        <v>2</v>
      </c>
      <c r="B283" s="392">
        <v>43677</v>
      </c>
      <c r="C283" s="231" t="s">
        <v>58</v>
      </c>
      <c r="D283" s="76"/>
      <c r="E283" s="231"/>
      <c r="F283" s="231"/>
      <c r="G283" s="231"/>
      <c r="H283" s="76"/>
      <c r="I283" s="232">
        <v>1028</v>
      </c>
      <c r="J283" s="76"/>
      <c r="K283" s="76">
        <f t="shared" si="159"/>
        <v>0</v>
      </c>
      <c r="L283" s="76">
        <f t="shared" si="160"/>
        <v>934.55</v>
      </c>
      <c r="M283" s="76"/>
      <c r="N283" s="76"/>
      <c r="O283" s="76"/>
      <c r="P283" s="76"/>
      <c r="Q283" s="76"/>
      <c r="R283" s="76">
        <f t="shared" si="161"/>
        <v>93.450000000000045</v>
      </c>
      <c r="S283" s="76">
        <f t="shared" si="162"/>
        <v>934.55</v>
      </c>
      <c r="T283" s="76">
        <f t="shared" si="163"/>
        <v>1028</v>
      </c>
      <c r="U283" s="129"/>
      <c r="V283" s="120" t="str">
        <f t="shared" si="164"/>
        <v>SM:43677</v>
      </c>
      <c r="W283" s="265" t="e">
        <f t="shared" si="165"/>
        <v>#NAME?</v>
      </c>
      <c r="Y283"/>
      <c r="Z283"/>
      <c r="AA283"/>
    </row>
    <row r="284" spans="1:27" s="22" customFormat="1" hidden="1" outlineLevel="1" x14ac:dyDescent="0.25">
      <c r="A284" s="120">
        <f t="shared" si="158"/>
        <v>3</v>
      </c>
      <c r="B284" s="392">
        <v>43708</v>
      </c>
      <c r="C284" s="231" t="s">
        <v>58</v>
      </c>
      <c r="D284" s="76"/>
      <c r="E284" s="231"/>
      <c r="F284" s="231"/>
      <c r="G284" s="231"/>
      <c r="H284" s="76"/>
      <c r="I284" s="232"/>
      <c r="J284" s="76"/>
      <c r="K284" s="76">
        <f t="shared" si="159"/>
        <v>0</v>
      </c>
      <c r="L284" s="76">
        <f>ROUND($I284/11*10,2)</f>
        <v>0</v>
      </c>
      <c r="M284" s="76"/>
      <c r="N284" s="76"/>
      <c r="O284" s="76"/>
      <c r="P284" s="76"/>
      <c r="Q284" s="76"/>
      <c r="R284" s="76">
        <f t="shared" si="161"/>
        <v>0</v>
      </c>
      <c r="S284" s="76">
        <f t="shared" si="162"/>
        <v>0</v>
      </c>
      <c r="T284" s="76">
        <f t="shared" si="163"/>
        <v>0</v>
      </c>
      <c r="U284" s="129"/>
      <c r="V284" s="120" t="str">
        <f t="shared" si="164"/>
        <v>SM:43708</v>
      </c>
      <c r="W284" s="265" t="e">
        <f t="shared" si="165"/>
        <v>#NAME?</v>
      </c>
      <c r="Y284"/>
      <c r="Z284"/>
      <c r="AA284"/>
    </row>
    <row r="285" spans="1:27" s="22" customFormat="1" hidden="1" outlineLevel="1" x14ac:dyDescent="0.25">
      <c r="A285" s="120">
        <f t="shared" si="158"/>
        <v>4</v>
      </c>
      <c r="B285" s="392">
        <v>43738</v>
      </c>
      <c r="C285" s="231" t="s">
        <v>58</v>
      </c>
      <c r="D285" s="76"/>
      <c r="E285" s="231"/>
      <c r="F285" s="231"/>
      <c r="G285" s="231"/>
      <c r="H285" s="76"/>
      <c r="I285" s="232"/>
      <c r="J285" s="76"/>
      <c r="K285" s="76">
        <f t="shared" si="159"/>
        <v>0</v>
      </c>
      <c r="L285" s="76">
        <f t="shared" si="160"/>
        <v>0</v>
      </c>
      <c r="M285" s="76"/>
      <c r="N285" s="76"/>
      <c r="O285" s="76"/>
      <c r="P285" s="76"/>
      <c r="Q285" s="76"/>
      <c r="R285" s="76">
        <f t="shared" si="161"/>
        <v>0</v>
      </c>
      <c r="S285" s="76">
        <f t="shared" si="162"/>
        <v>0</v>
      </c>
      <c r="T285" s="76">
        <f t="shared" si="163"/>
        <v>0</v>
      </c>
      <c r="U285" s="129"/>
      <c r="V285" s="120" t="str">
        <f t="shared" si="164"/>
        <v>SM:43738</v>
      </c>
      <c r="W285" s="265" t="e">
        <f t="shared" si="165"/>
        <v>#NAME?</v>
      </c>
      <c r="Y285"/>
      <c r="Z285"/>
      <c r="AA285"/>
    </row>
    <row r="286" spans="1:27" s="22" customFormat="1" hidden="1" outlineLevel="1" x14ac:dyDescent="0.25">
      <c r="A286" s="120">
        <f t="shared" si="158"/>
        <v>5</v>
      </c>
      <c r="B286" s="392">
        <v>43769</v>
      </c>
      <c r="C286" s="231" t="s">
        <v>58</v>
      </c>
      <c r="D286" s="76"/>
      <c r="E286" s="231"/>
      <c r="F286" s="231"/>
      <c r="G286" s="231"/>
      <c r="H286" s="76"/>
      <c r="I286" s="232"/>
      <c r="J286" s="76"/>
      <c r="K286" s="76">
        <f t="shared" si="159"/>
        <v>0</v>
      </c>
      <c r="L286" s="76">
        <f t="shared" si="160"/>
        <v>0</v>
      </c>
      <c r="M286" s="76"/>
      <c r="N286" s="76"/>
      <c r="O286" s="76"/>
      <c r="P286" s="76"/>
      <c r="Q286" s="76"/>
      <c r="R286" s="76">
        <f t="shared" si="161"/>
        <v>0</v>
      </c>
      <c r="S286" s="76">
        <f t="shared" si="162"/>
        <v>0</v>
      </c>
      <c r="T286" s="76">
        <f t="shared" si="163"/>
        <v>0</v>
      </c>
      <c r="U286" s="129"/>
      <c r="V286" s="120" t="str">
        <f t="shared" si="164"/>
        <v>SM:43769</v>
      </c>
      <c r="W286" s="265" t="e">
        <f t="shared" si="165"/>
        <v>#NAME?</v>
      </c>
      <c r="Y286"/>
      <c r="Z286"/>
      <c r="AA286"/>
    </row>
    <row r="287" spans="1:27" s="22" customFormat="1" hidden="1" outlineLevel="1" x14ac:dyDescent="0.25">
      <c r="A287" s="120">
        <f t="shared" si="158"/>
        <v>6</v>
      </c>
      <c r="B287" s="392">
        <v>43799</v>
      </c>
      <c r="C287" s="231" t="s">
        <v>58</v>
      </c>
      <c r="D287" s="76"/>
      <c r="E287" s="231"/>
      <c r="F287" s="231"/>
      <c r="G287" s="231"/>
      <c r="H287" s="76"/>
      <c r="I287" s="232"/>
      <c r="J287" s="76"/>
      <c r="K287" s="76">
        <f t="shared" si="159"/>
        <v>0</v>
      </c>
      <c r="L287" s="76">
        <f t="shared" si="160"/>
        <v>0</v>
      </c>
      <c r="M287" s="76"/>
      <c r="N287" s="76"/>
      <c r="O287" s="76"/>
      <c r="P287" s="76"/>
      <c r="Q287" s="76"/>
      <c r="R287" s="76">
        <f t="shared" si="161"/>
        <v>0</v>
      </c>
      <c r="S287" s="76">
        <f t="shared" si="162"/>
        <v>0</v>
      </c>
      <c r="T287" s="76">
        <f t="shared" si="163"/>
        <v>0</v>
      </c>
      <c r="U287" s="129"/>
      <c r="V287" s="120" t="str">
        <f t="shared" si="164"/>
        <v>SM:43799</v>
      </c>
      <c r="W287" s="265" t="e">
        <f t="shared" si="165"/>
        <v>#NAME?</v>
      </c>
      <c r="Y287"/>
      <c r="Z287"/>
      <c r="AA287"/>
    </row>
    <row r="288" spans="1:27" s="22" customFormat="1" hidden="1" outlineLevel="1" x14ac:dyDescent="0.25">
      <c r="A288" s="120">
        <f t="shared" si="158"/>
        <v>7</v>
      </c>
      <c r="B288" s="392">
        <v>43830</v>
      </c>
      <c r="C288" s="231" t="s">
        <v>58</v>
      </c>
      <c r="D288" s="76"/>
      <c r="E288" s="231"/>
      <c r="F288" s="231"/>
      <c r="G288" s="231"/>
      <c r="H288" s="76"/>
      <c r="I288" s="232"/>
      <c r="J288" s="76"/>
      <c r="K288" s="76">
        <f t="shared" si="159"/>
        <v>0</v>
      </c>
      <c r="L288" s="76">
        <f t="shared" si="160"/>
        <v>0</v>
      </c>
      <c r="M288" s="76"/>
      <c r="N288" s="76"/>
      <c r="O288" s="76"/>
      <c r="P288" s="76"/>
      <c r="Q288" s="76"/>
      <c r="R288" s="76">
        <f t="shared" si="161"/>
        <v>0</v>
      </c>
      <c r="S288" s="76">
        <f t="shared" si="162"/>
        <v>0</v>
      </c>
      <c r="T288" s="76">
        <f t="shared" si="163"/>
        <v>0</v>
      </c>
      <c r="U288" s="129"/>
      <c r="V288" s="120" t="str">
        <f t="shared" si="164"/>
        <v>SM:43830</v>
      </c>
      <c r="W288" s="265" t="e">
        <f t="shared" si="165"/>
        <v>#NAME?</v>
      </c>
      <c r="Y288"/>
      <c r="Z288"/>
      <c r="AA288"/>
    </row>
    <row r="289" spans="1:27" s="22" customFormat="1" hidden="1" outlineLevel="1" x14ac:dyDescent="0.25">
      <c r="A289" s="120">
        <f t="shared" ref="A289:A336" si="166">GETPAYMONTH(B289)</f>
        <v>8</v>
      </c>
      <c r="B289" s="392">
        <v>43861</v>
      </c>
      <c r="C289" s="231" t="s">
        <v>58</v>
      </c>
      <c r="D289" s="76"/>
      <c r="E289" s="231"/>
      <c r="F289" s="231"/>
      <c r="G289" s="231"/>
      <c r="H289" s="76"/>
      <c r="I289" s="232"/>
      <c r="J289" s="76"/>
      <c r="K289" s="76">
        <f t="shared" ref="K289:K341" si="167">ROUND($H289/11*10,2)</f>
        <v>0</v>
      </c>
      <c r="L289" s="76">
        <f t="shared" ref="L289:L341" si="168">ROUND($I289/11*10,2)</f>
        <v>0</v>
      </c>
      <c r="M289" s="76"/>
      <c r="N289" s="76"/>
      <c r="O289" s="76"/>
      <c r="P289" s="76"/>
      <c r="Q289" s="76"/>
      <c r="R289" s="76">
        <f t="shared" ref="R289:R336" si="169">H289+I289-K289-L289</f>
        <v>0</v>
      </c>
      <c r="S289" s="76">
        <f t="shared" ref="S289:S341" si="170">SUM($K289:$L289)</f>
        <v>0</v>
      </c>
      <c r="T289" s="76">
        <f t="shared" ref="T289:T336" si="171">SUM(K289:L289)+P289+R289</f>
        <v>0</v>
      </c>
      <c r="U289" s="129"/>
      <c r="V289" s="120" t="str">
        <f t="shared" ref="V289:V336" si="172">C289 &amp;":"&amp; B289</f>
        <v>SM:43861</v>
      </c>
      <c r="W289" s="265" t="e">
        <f t="shared" ref="W289:W336" si="173">DATE(YEAR(B289+1),MONTH(B289+1),VLOOKUP(C289,payEmpNames,4))</f>
        <v>#NAME?</v>
      </c>
      <c r="Y289"/>
      <c r="Z289"/>
      <c r="AA289"/>
    </row>
    <row r="290" spans="1:27" s="22" customFormat="1" hidden="1" outlineLevel="1" x14ac:dyDescent="0.25">
      <c r="A290" s="120">
        <f t="shared" si="166"/>
        <v>9</v>
      </c>
      <c r="B290" s="392">
        <v>43889</v>
      </c>
      <c r="C290" s="231" t="s">
        <v>58</v>
      </c>
      <c r="D290" s="76"/>
      <c r="E290" s="231"/>
      <c r="F290" s="231"/>
      <c r="G290" s="231"/>
      <c r="H290" s="76"/>
      <c r="I290" s="232"/>
      <c r="J290" s="76"/>
      <c r="K290" s="76">
        <f t="shared" si="167"/>
        <v>0</v>
      </c>
      <c r="L290" s="76">
        <f t="shared" si="168"/>
        <v>0</v>
      </c>
      <c r="M290" s="76"/>
      <c r="N290" s="76"/>
      <c r="O290" s="76"/>
      <c r="P290" s="76"/>
      <c r="Q290" s="76"/>
      <c r="R290" s="76">
        <f t="shared" si="169"/>
        <v>0</v>
      </c>
      <c r="S290" s="76">
        <f t="shared" si="170"/>
        <v>0</v>
      </c>
      <c r="T290" s="76">
        <f t="shared" si="171"/>
        <v>0</v>
      </c>
      <c r="U290" s="129"/>
      <c r="V290" s="120" t="str">
        <f t="shared" si="172"/>
        <v>SM:43889</v>
      </c>
      <c r="W290" s="265" t="e">
        <f t="shared" si="173"/>
        <v>#NAME?</v>
      </c>
      <c r="Y290"/>
      <c r="Z290"/>
      <c r="AA290"/>
    </row>
    <row r="291" spans="1:27" s="22" customFormat="1" hidden="1" outlineLevel="1" x14ac:dyDescent="0.25">
      <c r="A291" s="120">
        <f t="shared" si="166"/>
        <v>10</v>
      </c>
      <c r="B291" s="392">
        <v>43921</v>
      </c>
      <c r="C291" s="231" t="s">
        <v>58</v>
      </c>
      <c r="D291" s="76"/>
      <c r="E291" s="231"/>
      <c r="F291" s="231"/>
      <c r="G291" s="231"/>
      <c r="H291" s="76"/>
      <c r="I291" s="232"/>
      <c r="J291" s="76"/>
      <c r="K291" s="76">
        <f t="shared" si="167"/>
        <v>0</v>
      </c>
      <c r="L291" s="76">
        <f t="shared" si="168"/>
        <v>0</v>
      </c>
      <c r="M291" s="76"/>
      <c r="N291" s="76"/>
      <c r="O291" s="76"/>
      <c r="P291" s="76"/>
      <c r="Q291" s="76"/>
      <c r="R291" s="76">
        <f t="shared" si="169"/>
        <v>0</v>
      </c>
      <c r="S291" s="76">
        <f t="shared" si="170"/>
        <v>0</v>
      </c>
      <c r="T291" s="76">
        <f t="shared" si="171"/>
        <v>0</v>
      </c>
      <c r="U291" s="129"/>
      <c r="V291" s="120" t="str">
        <f t="shared" si="172"/>
        <v>SM:43921</v>
      </c>
      <c r="W291" s="265" t="e">
        <f t="shared" si="173"/>
        <v>#NAME?</v>
      </c>
      <c r="Y291"/>
      <c r="Z291"/>
      <c r="AA291"/>
    </row>
    <row r="292" spans="1:27" s="22" customFormat="1" hidden="1" outlineLevel="1" x14ac:dyDescent="0.25">
      <c r="A292" s="120">
        <f t="shared" si="166"/>
        <v>11</v>
      </c>
      <c r="B292" s="392">
        <v>43951</v>
      </c>
      <c r="C292" s="231" t="s">
        <v>58</v>
      </c>
      <c r="D292" s="76"/>
      <c r="E292" s="231"/>
      <c r="F292" s="231"/>
      <c r="G292" s="231"/>
      <c r="H292" s="76"/>
      <c r="I292" s="232"/>
      <c r="J292" s="76"/>
      <c r="K292" s="76">
        <f t="shared" si="167"/>
        <v>0</v>
      </c>
      <c r="L292" s="76">
        <f t="shared" si="168"/>
        <v>0</v>
      </c>
      <c r="M292" s="76"/>
      <c r="N292" s="76"/>
      <c r="O292" s="76"/>
      <c r="P292" s="76"/>
      <c r="Q292" s="76"/>
      <c r="R292" s="76">
        <f t="shared" si="169"/>
        <v>0</v>
      </c>
      <c r="S292" s="76">
        <f t="shared" si="170"/>
        <v>0</v>
      </c>
      <c r="T292" s="76">
        <f t="shared" si="171"/>
        <v>0</v>
      </c>
      <c r="U292" s="129"/>
      <c r="V292" s="120" t="str">
        <f t="shared" si="172"/>
        <v>SM:43951</v>
      </c>
      <c r="W292" s="265" t="e">
        <f t="shared" si="173"/>
        <v>#NAME?</v>
      </c>
      <c r="Y292"/>
      <c r="Z292"/>
      <c r="AA292"/>
    </row>
    <row r="293" spans="1:27" s="22" customFormat="1" hidden="1" outlineLevel="1" x14ac:dyDescent="0.25">
      <c r="A293" s="120">
        <f t="shared" si="166"/>
        <v>12</v>
      </c>
      <c r="B293" s="392">
        <v>43982</v>
      </c>
      <c r="C293" s="231" t="s">
        <v>58</v>
      </c>
      <c r="D293" s="76"/>
      <c r="E293" s="231"/>
      <c r="F293" s="231"/>
      <c r="G293" s="231"/>
      <c r="H293" s="76"/>
      <c r="I293" s="232"/>
      <c r="J293" s="76"/>
      <c r="K293" s="76">
        <f t="shared" si="167"/>
        <v>0</v>
      </c>
      <c r="L293" s="76">
        <f t="shared" si="168"/>
        <v>0</v>
      </c>
      <c r="M293" s="76"/>
      <c r="N293" s="76"/>
      <c r="O293" s="76"/>
      <c r="P293" s="76"/>
      <c r="Q293" s="76"/>
      <c r="R293" s="76">
        <f t="shared" si="169"/>
        <v>0</v>
      </c>
      <c r="S293" s="76">
        <f t="shared" si="170"/>
        <v>0</v>
      </c>
      <c r="T293" s="76">
        <f t="shared" si="171"/>
        <v>0</v>
      </c>
      <c r="U293" s="129"/>
      <c r="V293" s="120" t="str">
        <f t="shared" si="172"/>
        <v>SM:43982</v>
      </c>
      <c r="W293" s="265" t="e">
        <f t="shared" si="173"/>
        <v>#NAME?</v>
      </c>
      <c r="Y293"/>
      <c r="Z293"/>
      <c r="AA293"/>
    </row>
    <row r="294" spans="1:27" s="22" customFormat="1" outlineLevel="1" x14ac:dyDescent="0.25">
      <c r="A294" s="120">
        <f t="shared" si="166"/>
        <v>1</v>
      </c>
      <c r="B294" s="392">
        <v>43646</v>
      </c>
      <c r="C294" s="231" t="s">
        <v>657</v>
      </c>
      <c r="D294" s="76"/>
      <c r="E294" s="231"/>
      <c r="F294" s="231"/>
      <c r="G294" s="231"/>
      <c r="H294" s="76"/>
      <c r="I294" s="232">
        <v>236.8</v>
      </c>
      <c r="J294" s="76"/>
      <c r="K294" s="76">
        <f t="shared" si="167"/>
        <v>0</v>
      </c>
      <c r="L294" s="76">
        <f t="shared" si="168"/>
        <v>215.27</v>
      </c>
      <c r="M294" s="76"/>
      <c r="N294" s="76"/>
      <c r="O294" s="76"/>
      <c r="P294" s="76"/>
      <c r="Q294" s="76"/>
      <c r="R294" s="76">
        <f t="shared" si="169"/>
        <v>21.53</v>
      </c>
      <c r="S294" s="76">
        <f t="shared" si="170"/>
        <v>215.27</v>
      </c>
      <c r="T294" s="76">
        <f t="shared" si="171"/>
        <v>236.8</v>
      </c>
      <c r="U294" s="129"/>
      <c r="V294" s="120" t="str">
        <f t="shared" si="172"/>
        <v>VAK:43646</v>
      </c>
      <c r="W294" s="265" t="e">
        <f t="shared" si="173"/>
        <v>#NAME?</v>
      </c>
    </row>
    <row r="295" spans="1:27" s="22" customFormat="1" outlineLevel="1" x14ac:dyDescent="0.25">
      <c r="A295" s="120">
        <f t="shared" si="166"/>
        <v>2</v>
      </c>
      <c r="B295" s="392">
        <v>43677</v>
      </c>
      <c r="C295" s="231" t="s">
        <v>657</v>
      </c>
      <c r="D295" s="76"/>
      <c r="E295" s="231"/>
      <c r="F295" s="231"/>
      <c r="G295" s="231"/>
      <c r="H295" s="76"/>
      <c r="I295" s="232">
        <v>126.1</v>
      </c>
      <c r="J295" s="76"/>
      <c r="K295" s="76">
        <f t="shared" si="167"/>
        <v>0</v>
      </c>
      <c r="L295" s="76">
        <f t="shared" si="168"/>
        <v>114.64</v>
      </c>
      <c r="M295" s="76"/>
      <c r="N295" s="76"/>
      <c r="O295" s="76"/>
      <c r="P295" s="76"/>
      <c r="Q295" s="76"/>
      <c r="R295" s="76">
        <f t="shared" si="169"/>
        <v>11.459999999999994</v>
      </c>
      <c r="S295" s="76">
        <f t="shared" si="170"/>
        <v>114.64</v>
      </c>
      <c r="T295" s="76">
        <f t="shared" si="171"/>
        <v>126.1</v>
      </c>
      <c r="U295" s="129"/>
      <c r="V295" s="120" t="str">
        <f t="shared" si="172"/>
        <v>VAK:43677</v>
      </c>
      <c r="W295" s="265" t="e">
        <f t="shared" si="173"/>
        <v>#NAME?</v>
      </c>
    </row>
    <row r="296" spans="1:27" s="22" customFormat="1" outlineLevel="1" x14ac:dyDescent="0.25">
      <c r="A296" s="120">
        <f t="shared" si="166"/>
        <v>3</v>
      </c>
      <c r="B296" s="392">
        <v>43708</v>
      </c>
      <c r="C296" s="231" t="s">
        <v>657</v>
      </c>
      <c r="D296" s="76"/>
      <c r="E296" s="231"/>
      <c r="F296" s="231"/>
      <c r="G296" s="231"/>
      <c r="H296" s="76"/>
      <c r="I296" s="232"/>
      <c r="J296" s="76"/>
      <c r="K296" s="76">
        <f t="shared" si="167"/>
        <v>0</v>
      </c>
      <c r="L296" s="76">
        <f t="shared" si="168"/>
        <v>0</v>
      </c>
      <c r="M296" s="76"/>
      <c r="N296" s="76"/>
      <c r="O296" s="76"/>
      <c r="P296" s="76"/>
      <c r="Q296" s="76"/>
      <c r="R296" s="76">
        <f t="shared" si="169"/>
        <v>0</v>
      </c>
      <c r="S296" s="76">
        <f t="shared" si="170"/>
        <v>0</v>
      </c>
      <c r="T296" s="76">
        <f t="shared" si="171"/>
        <v>0</v>
      </c>
      <c r="U296" s="129"/>
      <c r="V296" s="120" t="str">
        <f t="shared" si="172"/>
        <v>VAK:43708</v>
      </c>
      <c r="W296" s="265" t="e">
        <f t="shared" si="173"/>
        <v>#NAME?</v>
      </c>
    </row>
    <row r="297" spans="1:27" s="22" customFormat="1" outlineLevel="1" x14ac:dyDescent="0.25">
      <c r="A297" s="120">
        <f t="shared" si="166"/>
        <v>4</v>
      </c>
      <c r="B297" s="392">
        <v>43738</v>
      </c>
      <c r="C297" s="231" t="s">
        <v>657</v>
      </c>
      <c r="D297" s="76"/>
      <c r="E297" s="231"/>
      <c r="F297" s="231"/>
      <c r="G297" s="231"/>
      <c r="H297" s="76"/>
      <c r="I297" s="232"/>
      <c r="J297" s="76"/>
      <c r="K297" s="76">
        <f t="shared" si="167"/>
        <v>0</v>
      </c>
      <c r="L297" s="76">
        <f t="shared" si="168"/>
        <v>0</v>
      </c>
      <c r="M297" s="76"/>
      <c r="N297" s="76"/>
      <c r="O297" s="76"/>
      <c r="P297" s="76"/>
      <c r="Q297" s="76"/>
      <c r="R297" s="76">
        <f t="shared" si="169"/>
        <v>0</v>
      </c>
      <c r="S297" s="76">
        <f t="shared" si="170"/>
        <v>0</v>
      </c>
      <c r="T297" s="76">
        <f t="shared" si="171"/>
        <v>0</v>
      </c>
      <c r="U297" s="129"/>
      <c r="V297" s="120" t="str">
        <f t="shared" si="172"/>
        <v>VAK:43738</v>
      </c>
      <c r="W297" s="265" t="e">
        <f t="shared" si="173"/>
        <v>#NAME?</v>
      </c>
    </row>
    <row r="298" spans="1:27" s="22" customFormat="1" outlineLevel="1" x14ac:dyDescent="0.25">
      <c r="A298" s="120">
        <f t="shared" ref="A298:A321" si="174">GETPAYMONTH(B298)</f>
        <v>5</v>
      </c>
      <c r="B298" s="392">
        <v>43769</v>
      </c>
      <c r="C298" s="231" t="s">
        <v>657</v>
      </c>
      <c r="D298" s="76"/>
      <c r="E298" s="231"/>
      <c r="F298" s="231"/>
      <c r="G298" s="231"/>
      <c r="H298" s="76"/>
      <c r="I298" s="232"/>
      <c r="J298" s="76"/>
      <c r="K298" s="76">
        <f t="shared" si="167"/>
        <v>0</v>
      </c>
      <c r="L298" s="76">
        <f t="shared" si="168"/>
        <v>0</v>
      </c>
      <c r="M298" s="76"/>
      <c r="N298" s="76"/>
      <c r="O298" s="76"/>
      <c r="P298" s="76"/>
      <c r="Q298" s="76"/>
      <c r="R298" s="76">
        <f t="shared" ref="R298:R321" si="175">H298+I298-K298-L298</f>
        <v>0</v>
      </c>
      <c r="S298" s="76">
        <f t="shared" si="170"/>
        <v>0</v>
      </c>
      <c r="T298" s="76">
        <f t="shared" ref="T298:T321" si="176">SUM(K298:L298)+P298+R298</f>
        <v>0</v>
      </c>
      <c r="U298" s="129"/>
      <c r="V298" s="120" t="str">
        <f t="shared" ref="V298:V321" si="177">C298 &amp;":"&amp; B298</f>
        <v>VAK:43769</v>
      </c>
      <c r="W298" s="265" t="e">
        <f t="shared" ref="W298:W321" si="178">DATE(YEAR(B298+1),MONTH(B298+1),VLOOKUP(C298,payEmpNames,4))</f>
        <v>#NAME?</v>
      </c>
    </row>
    <row r="299" spans="1:27" s="22" customFormat="1" outlineLevel="1" x14ac:dyDescent="0.25">
      <c r="A299" s="120">
        <f t="shared" si="174"/>
        <v>6</v>
      </c>
      <c r="B299" s="392">
        <v>43799</v>
      </c>
      <c r="C299" s="231" t="s">
        <v>657</v>
      </c>
      <c r="D299" s="76"/>
      <c r="E299" s="231"/>
      <c r="F299" s="231"/>
      <c r="G299" s="231"/>
      <c r="H299" s="76"/>
      <c r="I299" s="232"/>
      <c r="J299" s="76"/>
      <c r="K299" s="76">
        <f t="shared" si="167"/>
        <v>0</v>
      </c>
      <c r="L299" s="76">
        <f t="shared" si="168"/>
        <v>0</v>
      </c>
      <c r="M299" s="76"/>
      <c r="N299" s="76"/>
      <c r="O299" s="76"/>
      <c r="P299" s="76"/>
      <c r="Q299" s="76"/>
      <c r="R299" s="76">
        <f t="shared" si="175"/>
        <v>0</v>
      </c>
      <c r="S299" s="76">
        <f t="shared" si="170"/>
        <v>0</v>
      </c>
      <c r="T299" s="76">
        <f t="shared" si="176"/>
        <v>0</v>
      </c>
      <c r="U299" s="129"/>
      <c r="V299" s="120" t="str">
        <f t="shared" si="177"/>
        <v>VAK:43799</v>
      </c>
      <c r="W299" s="265" t="e">
        <f t="shared" si="178"/>
        <v>#NAME?</v>
      </c>
    </row>
    <row r="300" spans="1:27" s="22" customFormat="1" outlineLevel="1" x14ac:dyDescent="0.25">
      <c r="A300" s="120">
        <f t="shared" si="174"/>
        <v>7</v>
      </c>
      <c r="B300" s="392">
        <v>43830</v>
      </c>
      <c r="C300" s="231" t="s">
        <v>657</v>
      </c>
      <c r="D300" s="76"/>
      <c r="E300" s="231"/>
      <c r="F300" s="231"/>
      <c r="G300" s="231"/>
      <c r="H300" s="76"/>
      <c r="I300" s="232"/>
      <c r="J300" s="76"/>
      <c r="K300" s="76">
        <f t="shared" si="167"/>
        <v>0</v>
      </c>
      <c r="L300" s="76">
        <f t="shared" si="168"/>
        <v>0</v>
      </c>
      <c r="M300" s="76"/>
      <c r="N300" s="76"/>
      <c r="O300" s="76"/>
      <c r="P300" s="76"/>
      <c r="Q300" s="76"/>
      <c r="R300" s="76">
        <f t="shared" si="175"/>
        <v>0</v>
      </c>
      <c r="S300" s="76">
        <f t="shared" si="170"/>
        <v>0</v>
      </c>
      <c r="T300" s="76">
        <f t="shared" si="176"/>
        <v>0</v>
      </c>
      <c r="U300" s="129"/>
      <c r="V300" s="120" t="str">
        <f t="shared" si="177"/>
        <v>VAK:43830</v>
      </c>
      <c r="W300" s="265" t="e">
        <f t="shared" si="178"/>
        <v>#NAME?</v>
      </c>
    </row>
    <row r="301" spans="1:27" s="22" customFormat="1" outlineLevel="1" x14ac:dyDescent="0.25">
      <c r="A301" s="120">
        <f t="shared" si="174"/>
        <v>8</v>
      </c>
      <c r="B301" s="392">
        <v>43861</v>
      </c>
      <c r="C301" s="231" t="s">
        <v>657</v>
      </c>
      <c r="D301" s="76"/>
      <c r="E301" s="231"/>
      <c r="F301" s="231"/>
      <c r="G301" s="231"/>
      <c r="H301" s="76"/>
      <c r="I301" s="232"/>
      <c r="J301" s="76"/>
      <c r="K301" s="76">
        <f t="shared" si="167"/>
        <v>0</v>
      </c>
      <c r="L301" s="76">
        <f t="shared" si="168"/>
        <v>0</v>
      </c>
      <c r="M301" s="76"/>
      <c r="N301" s="76"/>
      <c r="O301" s="76"/>
      <c r="P301" s="76"/>
      <c r="Q301" s="76"/>
      <c r="R301" s="76">
        <f t="shared" si="175"/>
        <v>0</v>
      </c>
      <c r="S301" s="76">
        <f t="shared" si="170"/>
        <v>0</v>
      </c>
      <c r="T301" s="76">
        <f t="shared" si="176"/>
        <v>0</v>
      </c>
      <c r="U301" s="129"/>
      <c r="V301" s="120" t="str">
        <f t="shared" si="177"/>
        <v>VAK:43861</v>
      </c>
      <c r="W301" s="265" t="e">
        <f t="shared" si="178"/>
        <v>#NAME?</v>
      </c>
    </row>
    <row r="302" spans="1:27" s="22" customFormat="1" outlineLevel="1" x14ac:dyDescent="0.25">
      <c r="A302" s="120">
        <f t="shared" si="174"/>
        <v>9</v>
      </c>
      <c r="B302" s="392">
        <v>43889</v>
      </c>
      <c r="C302" s="231" t="s">
        <v>657</v>
      </c>
      <c r="D302" s="76"/>
      <c r="E302" s="231"/>
      <c r="F302" s="231"/>
      <c r="G302" s="231"/>
      <c r="H302" s="76"/>
      <c r="I302" s="232"/>
      <c r="J302" s="76"/>
      <c r="K302" s="76">
        <f t="shared" si="167"/>
        <v>0</v>
      </c>
      <c r="L302" s="76">
        <f t="shared" si="168"/>
        <v>0</v>
      </c>
      <c r="M302" s="76"/>
      <c r="N302" s="76"/>
      <c r="O302" s="76"/>
      <c r="P302" s="76"/>
      <c r="Q302" s="76"/>
      <c r="R302" s="76">
        <f t="shared" si="175"/>
        <v>0</v>
      </c>
      <c r="S302" s="76">
        <f t="shared" si="170"/>
        <v>0</v>
      </c>
      <c r="T302" s="76">
        <f t="shared" si="176"/>
        <v>0</v>
      </c>
      <c r="U302" s="129"/>
      <c r="V302" s="120" t="str">
        <f t="shared" si="177"/>
        <v>VAK:43889</v>
      </c>
      <c r="W302" s="265" t="e">
        <f t="shared" si="178"/>
        <v>#NAME?</v>
      </c>
    </row>
    <row r="303" spans="1:27" s="22" customFormat="1" outlineLevel="1" x14ac:dyDescent="0.25">
      <c r="A303" s="120">
        <f t="shared" si="174"/>
        <v>10</v>
      </c>
      <c r="B303" s="392">
        <v>43921</v>
      </c>
      <c r="C303" s="231" t="s">
        <v>657</v>
      </c>
      <c r="D303" s="76"/>
      <c r="E303" s="231"/>
      <c r="F303" s="231"/>
      <c r="G303" s="231"/>
      <c r="H303" s="76"/>
      <c r="I303" s="232"/>
      <c r="J303" s="76"/>
      <c r="K303" s="76">
        <f t="shared" si="167"/>
        <v>0</v>
      </c>
      <c r="L303" s="76">
        <f t="shared" si="168"/>
        <v>0</v>
      </c>
      <c r="M303" s="76"/>
      <c r="N303" s="76"/>
      <c r="O303" s="76"/>
      <c r="P303" s="76"/>
      <c r="Q303" s="76"/>
      <c r="R303" s="76">
        <f t="shared" si="175"/>
        <v>0</v>
      </c>
      <c r="S303" s="76">
        <f t="shared" si="170"/>
        <v>0</v>
      </c>
      <c r="T303" s="76">
        <f t="shared" si="176"/>
        <v>0</v>
      </c>
      <c r="U303" s="129"/>
      <c r="V303" s="120" t="str">
        <f t="shared" si="177"/>
        <v>VAK:43921</v>
      </c>
      <c r="W303" s="265" t="e">
        <f t="shared" si="178"/>
        <v>#NAME?</v>
      </c>
    </row>
    <row r="304" spans="1:27" s="22" customFormat="1" outlineLevel="1" x14ac:dyDescent="0.25">
      <c r="A304" s="120">
        <f t="shared" si="174"/>
        <v>11</v>
      </c>
      <c r="B304" s="392">
        <v>43951</v>
      </c>
      <c r="C304" s="231" t="s">
        <v>657</v>
      </c>
      <c r="D304" s="76"/>
      <c r="E304" s="231"/>
      <c r="F304" s="231"/>
      <c r="G304" s="231"/>
      <c r="H304" s="76"/>
      <c r="I304" s="232"/>
      <c r="J304" s="76"/>
      <c r="K304" s="76">
        <f t="shared" si="167"/>
        <v>0</v>
      </c>
      <c r="L304" s="76">
        <f t="shared" si="168"/>
        <v>0</v>
      </c>
      <c r="M304" s="76"/>
      <c r="N304" s="76"/>
      <c r="O304" s="76"/>
      <c r="P304" s="76"/>
      <c r="Q304" s="76"/>
      <c r="R304" s="76">
        <f t="shared" si="175"/>
        <v>0</v>
      </c>
      <c r="S304" s="76">
        <f t="shared" si="170"/>
        <v>0</v>
      </c>
      <c r="T304" s="76">
        <f t="shared" si="176"/>
        <v>0</v>
      </c>
      <c r="U304" s="129"/>
      <c r="V304" s="120" t="str">
        <f t="shared" si="177"/>
        <v>VAK:43951</v>
      </c>
      <c r="W304" s="265" t="e">
        <f t="shared" si="178"/>
        <v>#NAME?</v>
      </c>
    </row>
    <row r="305" spans="1:27" s="22" customFormat="1" outlineLevel="1" x14ac:dyDescent="0.25">
      <c r="A305" s="120">
        <f t="shared" si="174"/>
        <v>12</v>
      </c>
      <c r="B305" s="392">
        <v>43982</v>
      </c>
      <c r="C305" s="231" t="s">
        <v>657</v>
      </c>
      <c r="D305" s="76"/>
      <c r="E305" s="231"/>
      <c r="F305" s="231"/>
      <c r="G305" s="231"/>
      <c r="H305" s="76"/>
      <c r="I305" s="232"/>
      <c r="J305" s="76"/>
      <c r="K305" s="76">
        <f t="shared" si="167"/>
        <v>0</v>
      </c>
      <c r="L305" s="76">
        <f t="shared" si="168"/>
        <v>0</v>
      </c>
      <c r="M305" s="76"/>
      <c r="N305" s="76"/>
      <c r="O305" s="76"/>
      <c r="P305" s="76"/>
      <c r="Q305" s="76"/>
      <c r="R305" s="76">
        <f t="shared" si="175"/>
        <v>0</v>
      </c>
      <c r="S305" s="76">
        <f t="shared" si="170"/>
        <v>0</v>
      </c>
      <c r="T305" s="76">
        <f t="shared" si="176"/>
        <v>0</v>
      </c>
      <c r="U305" s="129"/>
      <c r="V305" s="120" t="str">
        <f t="shared" si="177"/>
        <v>VAK:43982</v>
      </c>
      <c r="W305" s="265" t="e">
        <f t="shared" si="178"/>
        <v>#NAME?</v>
      </c>
      <c r="Y305" s="35"/>
      <c r="Z305" s="35"/>
      <c r="AA305" s="35"/>
    </row>
    <row r="306" spans="1:27" s="22" customFormat="1" hidden="1" outlineLevel="1" x14ac:dyDescent="0.25">
      <c r="A306" s="120">
        <f t="shared" si="174"/>
        <v>1</v>
      </c>
      <c r="B306" s="392">
        <v>43646</v>
      </c>
      <c r="C306" s="231" t="s">
        <v>658</v>
      </c>
      <c r="D306" s="76"/>
      <c r="E306" s="231"/>
      <c r="F306" s="231"/>
      <c r="G306" s="231"/>
      <c r="H306" s="76"/>
      <c r="I306" s="232">
        <v>57</v>
      </c>
      <c r="J306" s="76"/>
      <c r="K306" s="76">
        <f t="shared" si="167"/>
        <v>0</v>
      </c>
      <c r="L306" s="76">
        <f t="shared" si="168"/>
        <v>51.82</v>
      </c>
      <c r="M306" s="76"/>
      <c r="N306" s="76"/>
      <c r="O306" s="76"/>
      <c r="P306" s="76"/>
      <c r="Q306" s="76"/>
      <c r="R306" s="76">
        <f t="shared" si="175"/>
        <v>5.18</v>
      </c>
      <c r="S306" s="76">
        <f t="shared" si="170"/>
        <v>51.82</v>
      </c>
      <c r="T306" s="76">
        <f t="shared" si="176"/>
        <v>57</v>
      </c>
      <c r="U306" s="129"/>
      <c r="V306" s="120" t="str">
        <f t="shared" si="177"/>
        <v>ASW:43646</v>
      </c>
      <c r="W306" s="265" t="e">
        <f t="shared" si="178"/>
        <v>#NAME?</v>
      </c>
      <c r="Y306"/>
      <c r="Z306"/>
      <c r="AA306"/>
    </row>
    <row r="307" spans="1:27" s="22" customFormat="1" hidden="1" outlineLevel="1" x14ac:dyDescent="0.25">
      <c r="A307" s="120">
        <f t="shared" si="174"/>
        <v>2</v>
      </c>
      <c r="B307" s="392">
        <v>43677</v>
      </c>
      <c r="C307" s="231" t="s">
        <v>658</v>
      </c>
      <c r="D307" s="76"/>
      <c r="E307" s="231"/>
      <c r="F307" s="231"/>
      <c r="G307" s="231"/>
      <c r="H307" s="76"/>
      <c r="I307" s="232">
        <v>61.6</v>
      </c>
      <c r="J307" s="76"/>
      <c r="K307" s="76">
        <f t="shared" si="167"/>
        <v>0</v>
      </c>
      <c r="L307" s="76">
        <f t="shared" si="168"/>
        <v>56</v>
      </c>
      <c r="M307" s="76"/>
      <c r="N307" s="76"/>
      <c r="O307" s="76"/>
      <c r="P307" s="76"/>
      <c r="Q307" s="76"/>
      <c r="R307" s="76">
        <f t="shared" si="175"/>
        <v>5.6000000000000014</v>
      </c>
      <c r="S307" s="76">
        <f t="shared" si="170"/>
        <v>56</v>
      </c>
      <c r="T307" s="76">
        <f t="shared" si="176"/>
        <v>61.6</v>
      </c>
      <c r="U307" s="129"/>
      <c r="V307" s="120" t="str">
        <f t="shared" si="177"/>
        <v>ASW:43677</v>
      </c>
      <c r="W307" s="265" t="e">
        <f t="shared" si="178"/>
        <v>#NAME?</v>
      </c>
      <c r="Y307"/>
      <c r="Z307"/>
      <c r="AA307"/>
    </row>
    <row r="308" spans="1:27" s="22" customFormat="1" hidden="1" outlineLevel="1" x14ac:dyDescent="0.25">
      <c r="A308" s="120">
        <f t="shared" si="174"/>
        <v>3</v>
      </c>
      <c r="B308" s="392">
        <v>43708</v>
      </c>
      <c r="C308" s="231" t="s">
        <v>658</v>
      </c>
      <c r="D308" s="76"/>
      <c r="E308" s="231"/>
      <c r="F308" s="231"/>
      <c r="G308" s="231"/>
      <c r="H308" s="76"/>
      <c r="I308" s="232"/>
      <c r="J308" s="76"/>
      <c r="K308" s="76">
        <f t="shared" si="167"/>
        <v>0</v>
      </c>
      <c r="L308" s="76">
        <f>ROUND($I308/11*10,2)</f>
        <v>0</v>
      </c>
      <c r="M308" s="76"/>
      <c r="N308" s="76"/>
      <c r="O308" s="76"/>
      <c r="P308" s="76"/>
      <c r="Q308" s="76"/>
      <c r="R308" s="76">
        <f t="shared" si="175"/>
        <v>0</v>
      </c>
      <c r="S308" s="76">
        <f t="shared" si="170"/>
        <v>0</v>
      </c>
      <c r="T308" s="76">
        <f t="shared" si="176"/>
        <v>0</v>
      </c>
      <c r="U308" s="129"/>
      <c r="V308" s="120" t="str">
        <f t="shared" si="177"/>
        <v>ASW:43708</v>
      </c>
      <c r="W308" s="265" t="e">
        <f t="shared" si="178"/>
        <v>#NAME?</v>
      </c>
      <c r="Y308"/>
      <c r="Z308"/>
      <c r="AA308"/>
    </row>
    <row r="309" spans="1:27" s="22" customFormat="1" hidden="1" outlineLevel="1" x14ac:dyDescent="0.25">
      <c r="A309" s="120">
        <f t="shared" si="174"/>
        <v>4</v>
      </c>
      <c r="B309" s="392">
        <v>43738</v>
      </c>
      <c r="C309" s="231" t="s">
        <v>658</v>
      </c>
      <c r="D309" s="76"/>
      <c r="E309" s="231"/>
      <c r="F309" s="231"/>
      <c r="G309" s="231"/>
      <c r="H309" s="76"/>
      <c r="I309" s="232"/>
      <c r="J309" s="76"/>
      <c r="K309" s="76">
        <f t="shared" si="167"/>
        <v>0</v>
      </c>
      <c r="L309" s="76">
        <f t="shared" si="168"/>
        <v>0</v>
      </c>
      <c r="M309" s="76"/>
      <c r="N309" s="76"/>
      <c r="O309" s="76"/>
      <c r="P309" s="76"/>
      <c r="Q309" s="76"/>
      <c r="R309" s="76">
        <f t="shared" si="175"/>
        <v>0</v>
      </c>
      <c r="S309" s="76">
        <f t="shared" si="170"/>
        <v>0</v>
      </c>
      <c r="T309" s="76">
        <f t="shared" si="176"/>
        <v>0</v>
      </c>
      <c r="U309" s="129"/>
      <c r="V309" s="120" t="str">
        <f t="shared" si="177"/>
        <v>ASW:43738</v>
      </c>
      <c r="W309" s="265" t="e">
        <f t="shared" si="178"/>
        <v>#NAME?</v>
      </c>
      <c r="Y309"/>
      <c r="Z309"/>
      <c r="AA309"/>
    </row>
    <row r="310" spans="1:27" s="22" customFormat="1" hidden="1" outlineLevel="1" x14ac:dyDescent="0.25">
      <c r="A310" s="120">
        <f t="shared" si="174"/>
        <v>5</v>
      </c>
      <c r="B310" s="392">
        <v>43769</v>
      </c>
      <c r="C310" s="231" t="s">
        <v>658</v>
      </c>
      <c r="D310" s="76"/>
      <c r="E310" s="231"/>
      <c r="F310" s="231"/>
      <c r="G310" s="231"/>
      <c r="H310" s="76"/>
      <c r="I310" s="232"/>
      <c r="J310" s="76"/>
      <c r="K310" s="76">
        <f t="shared" si="167"/>
        <v>0</v>
      </c>
      <c r="L310" s="76">
        <f t="shared" si="168"/>
        <v>0</v>
      </c>
      <c r="M310" s="76"/>
      <c r="N310" s="76"/>
      <c r="O310" s="76"/>
      <c r="P310" s="76"/>
      <c r="Q310" s="76"/>
      <c r="R310" s="76">
        <f t="shared" si="175"/>
        <v>0</v>
      </c>
      <c r="S310" s="76">
        <f t="shared" si="170"/>
        <v>0</v>
      </c>
      <c r="T310" s="76">
        <f t="shared" si="176"/>
        <v>0</v>
      </c>
      <c r="U310" s="129"/>
      <c r="V310" s="120" t="str">
        <f t="shared" si="177"/>
        <v>ASW:43769</v>
      </c>
      <c r="W310" s="265" t="e">
        <f t="shared" si="178"/>
        <v>#NAME?</v>
      </c>
      <c r="Y310"/>
      <c r="Z310"/>
      <c r="AA310"/>
    </row>
    <row r="311" spans="1:27" s="22" customFormat="1" hidden="1" outlineLevel="1" x14ac:dyDescent="0.25">
      <c r="A311" s="120">
        <f t="shared" si="174"/>
        <v>6</v>
      </c>
      <c r="B311" s="392">
        <v>43799</v>
      </c>
      <c r="C311" s="231" t="s">
        <v>658</v>
      </c>
      <c r="D311" s="76"/>
      <c r="E311" s="231"/>
      <c r="F311" s="231"/>
      <c r="G311" s="231"/>
      <c r="H311" s="76"/>
      <c r="I311" s="232"/>
      <c r="J311" s="76"/>
      <c r="K311" s="76">
        <f t="shared" si="167"/>
        <v>0</v>
      </c>
      <c r="L311" s="76">
        <f t="shared" si="168"/>
        <v>0</v>
      </c>
      <c r="M311" s="76"/>
      <c r="N311" s="76"/>
      <c r="O311" s="76"/>
      <c r="P311" s="76"/>
      <c r="Q311" s="76"/>
      <c r="R311" s="76">
        <f t="shared" si="175"/>
        <v>0</v>
      </c>
      <c r="S311" s="76">
        <f t="shared" si="170"/>
        <v>0</v>
      </c>
      <c r="T311" s="76">
        <f t="shared" si="176"/>
        <v>0</v>
      </c>
      <c r="U311" s="129"/>
      <c r="V311" s="120" t="str">
        <f t="shared" si="177"/>
        <v>ASW:43799</v>
      </c>
      <c r="W311" s="265" t="e">
        <f t="shared" si="178"/>
        <v>#NAME?</v>
      </c>
      <c r="Y311"/>
      <c r="Z311"/>
      <c r="AA311"/>
    </row>
    <row r="312" spans="1:27" s="22" customFormat="1" hidden="1" outlineLevel="1" x14ac:dyDescent="0.25">
      <c r="A312" s="120">
        <f t="shared" si="174"/>
        <v>7</v>
      </c>
      <c r="B312" s="392">
        <v>43830</v>
      </c>
      <c r="C312" s="231" t="s">
        <v>658</v>
      </c>
      <c r="D312" s="76"/>
      <c r="E312" s="231"/>
      <c r="F312" s="231"/>
      <c r="G312" s="231"/>
      <c r="H312" s="76"/>
      <c r="I312" s="232"/>
      <c r="J312" s="76"/>
      <c r="K312" s="76">
        <f t="shared" si="167"/>
        <v>0</v>
      </c>
      <c r="L312" s="76">
        <f t="shared" si="168"/>
        <v>0</v>
      </c>
      <c r="M312" s="76"/>
      <c r="N312" s="76"/>
      <c r="O312" s="76"/>
      <c r="P312" s="76"/>
      <c r="Q312" s="76"/>
      <c r="R312" s="76">
        <f t="shared" si="175"/>
        <v>0</v>
      </c>
      <c r="S312" s="76">
        <f t="shared" si="170"/>
        <v>0</v>
      </c>
      <c r="T312" s="76">
        <f t="shared" si="176"/>
        <v>0</v>
      </c>
      <c r="U312" s="129"/>
      <c r="V312" s="120" t="str">
        <f t="shared" si="177"/>
        <v>ASW:43830</v>
      </c>
      <c r="W312" s="265" t="e">
        <f t="shared" si="178"/>
        <v>#NAME?</v>
      </c>
      <c r="Y312"/>
      <c r="Z312"/>
      <c r="AA312"/>
    </row>
    <row r="313" spans="1:27" s="22" customFormat="1" hidden="1" outlineLevel="1" x14ac:dyDescent="0.25">
      <c r="A313" s="120">
        <f t="shared" si="174"/>
        <v>8</v>
      </c>
      <c r="B313" s="392">
        <v>43861</v>
      </c>
      <c r="C313" s="231" t="s">
        <v>658</v>
      </c>
      <c r="D313" s="76"/>
      <c r="E313" s="231"/>
      <c r="F313" s="231"/>
      <c r="G313" s="231"/>
      <c r="H313" s="76"/>
      <c r="I313" s="232"/>
      <c r="J313" s="76"/>
      <c r="K313" s="76">
        <f t="shared" si="167"/>
        <v>0</v>
      </c>
      <c r="L313" s="76">
        <f t="shared" si="168"/>
        <v>0</v>
      </c>
      <c r="M313" s="76"/>
      <c r="N313" s="76"/>
      <c r="O313" s="76"/>
      <c r="P313" s="76"/>
      <c r="Q313" s="76"/>
      <c r="R313" s="76">
        <f t="shared" si="175"/>
        <v>0</v>
      </c>
      <c r="S313" s="76">
        <f t="shared" si="170"/>
        <v>0</v>
      </c>
      <c r="T313" s="76">
        <f t="shared" si="176"/>
        <v>0</v>
      </c>
      <c r="U313" s="129"/>
      <c r="V313" s="120" t="str">
        <f t="shared" si="177"/>
        <v>ASW:43861</v>
      </c>
      <c r="W313" s="265" t="e">
        <f t="shared" si="178"/>
        <v>#NAME?</v>
      </c>
      <c r="Y313"/>
      <c r="Z313"/>
      <c r="AA313"/>
    </row>
    <row r="314" spans="1:27" s="22" customFormat="1" hidden="1" outlineLevel="1" x14ac:dyDescent="0.25">
      <c r="A314" s="120">
        <f t="shared" si="174"/>
        <v>9</v>
      </c>
      <c r="B314" s="392">
        <v>43889</v>
      </c>
      <c r="C314" s="231" t="s">
        <v>658</v>
      </c>
      <c r="D314" s="76"/>
      <c r="E314" s="231"/>
      <c r="F314" s="231"/>
      <c r="G314" s="231"/>
      <c r="H314" s="76"/>
      <c r="I314" s="232"/>
      <c r="J314" s="76"/>
      <c r="K314" s="76">
        <f t="shared" si="167"/>
        <v>0</v>
      </c>
      <c r="L314" s="76">
        <f t="shared" si="168"/>
        <v>0</v>
      </c>
      <c r="M314" s="76"/>
      <c r="N314" s="76"/>
      <c r="O314" s="76"/>
      <c r="P314" s="76"/>
      <c r="Q314" s="76"/>
      <c r="R314" s="76">
        <f t="shared" si="175"/>
        <v>0</v>
      </c>
      <c r="S314" s="76">
        <f t="shared" si="170"/>
        <v>0</v>
      </c>
      <c r="T314" s="76">
        <f t="shared" si="176"/>
        <v>0</v>
      </c>
      <c r="U314" s="129"/>
      <c r="V314" s="120" t="str">
        <f t="shared" si="177"/>
        <v>ASW:43889</v>
      </c>
      <c r="W314" s="265" t="e">
        <f t="shared" si="178"/>
        <v>#NAME?</v>
      </c>
      <c r="Y314"/>
      <c r="Z314"/>
      <c r="AA314"/>
    </row>
    <row r="315" spans="1:27" s="22" customFormat="1" hidden="1" outlineLevel="1" x14ac:dyDescent="0.25">
      <c r="A315" s="120">
        <f t="shared" si="174"/>
        <v>10</v>
      </c>
      <c r="B315" s="392">
        <v>43921</v>
      </c>
      <c r="C315" s="231" t="s">
        <v>658</v>
      </c>
      <c r="D315" s="76"/>
      <c r="E315" s="231"/>
      <c r="F315" s="231"/>
      <c r="G315" s="231"/>
      <c r="H315" s="76"/>
      <c r="I315" s="232"/>
      <c r="J315" s="76"/>
      <c r="K315" s="76">
        <f t="shared" si="167"/>
        <v>0</v>
      </c>
      <c r="L315" s="76">
        <f t="shared" si="168"/>
        <v>0</v>
      </c>
      <c r="M315" s="76"/>
      <c r="N315" s="76"/>
      <c r="O315" s="76"/>
      <c r="P315" s="76"/>
      <c r="Q315" s="76"/>
      <c r="R315" s="76">
        <f t="shared" si="175"/>
        <v>0</v>
      </c>
      <c r="S315" s="76">
        <f t="shared" si="170"/>
        <v>0</v>
      </c>
      <c r="T315" s="76">
        <f t="shared" si="176"/>
        <v>0</v>
      </c>
      <c r="U315" s="129"/>
      <c r="V315" s="120" t="str">
        <f t="shared" si="177"/>
        <v>ASW:43921</v>
      </c>
      <c r="W315" s="265" t="e">
        <f t="shared" si="178"/>
        <v>#NAME?</v>
      </c>
      <c r="Y315"/>
      <c r="Z315"/>
      <c r="AA315"/>
    </row>
    <row r="316" spans="1:27" s="22" customFormat="1" hidden="1" outlineLevel="1" x14ac:dyDescent="0.25">
      <c r="A316" s="120">
        <f t="shared" si="174"/>
        <v>11</v>
      </c>
      <c r="B316" s="392">
        <v>43951</v>
      </c>
      <c r="C316" s="231" t="s">
        <v>658</v>
      </c>
      <c r="D316" s="76"/>
      <c r="E316" s="231"/>
      <c r="F316" s="231"/>
      <c r="G316" s="231"/>
      <c r="H316" s="76"/>
      <c r="I316" s="232"/>
      <c r="J316" s="76"/>
      <c r="K316" s="76">
        <f t="shared" si="167"/>
        <v>0</v>
      </c>
      <c r="L316" s="76">
        <f t="shared" si="168"/>
        <v>0</v>
      </c>
      <c r="M316" s="76"/>
      <c r="N316" s="76"/>
      <c r="O316" s="76"/>
      <c r="P316" s="76"/>
      <c r="Q316" s="76"/>
      <c r="R316" s="76">
        <f t="shared" si="175"/>
        <v>0</v>
      </c>
      <c r="S316" s="76">
        <f t="shared" si="170"/>
        <v>0</v>
      </c>
      <c r="T316" s="76">
        <f t="shared" si="176"/>
        <v>0</v>
      </c>
      <c r="U316" s="129"/>
      <c r="V316" s="120" t="str">
        <f t="shared" si="177"/>
        <v>ASW:43951</v>
      </c>
      <c r="W316" s="265" t="e">
        <f t="shared" si="178"/>
        <v>#NAME?</v>
      </c>
      <c r="Y316"/>
      <c r="Z316"/>
      <c r="AA316"/>
    </row>
    <row r="317" spans="1:27" s="22" customFormat="1" hidden="1" outlineLevel="1" x14ac:dyDescent="0.25">
      <c r="A317" s="120">
        <f t="shared" si="174"/>
        <v>12</v>
      </c>
      <c r="B317" s="392">
        <v>43982</v>
      </c>
      <c r="C317" s="231" t="s">
        <v>658</v>
      </c>
      <c r="D317" s="76"/>
      <c r="E317" s="231"/>
      <c r="F317" s="231"/>
      <c r="G317" s="231"/>
      <c r="H317" s="76"/>
      <c r="I317" s="232"/>
      <c r="J317" s="76"/>
      <c r="K317" s="76">
        <f t="shared" si="167"/>
        <v>0</v>
      </c>
      <c r="L317" s="76">
        <f t="shared" si="168"/>
        <v>0</v>
      </c>
      <c r="M317" s="76"/>
      <c r="N317" s="76"/>
      <c r="O317" s="76"/>
      <c r="P317" s="76"/>
      <c r="Q317" s="76"/>
      <c r="R317" s="76">
        <f t="shared" si="175"/>
        <v>0</v>
      </c>
      <c r="S317" s="76">
        <f t="shared" si="170"/>
        <v>0</v>
      </c>
      <c r="T317" s="76">
        <f t="shared" si="176"/>
        <v>0</v>
      </c>
      <c r="U317" s="129"/>
      <c r="V317" s="120" t="str">
        <f t="shared" si="177"/>
        <v>ASW:43982</v>
      </c>
      <c r="W317" s="265" t="e">
        <f t="shared" si="178"/>
        <v>#NAME?</v>
      </c>
      <c r="Y317"/>
      <c r="Z317"/>
      <c r="AA317"/>
    </row>
    <row r="318" spans="1:27" s="22" customFormat="1" hidden="1" outlineLevel="1" x14ac:dyDescent="0.25">
      <c r="A318" s="120">
        <f t="shared" si="174"/>
        <v>2</v>
      </c>
      <c r="B318" s="392">
        <v>43681</v>
      </c>
      <c r="C318" s="231" t="s">
        <v>669</v>
      </c>
      <c r="D318" s="76"/>
      <c r="E318" s="231"/>
      <c r="F318" s="336"/>
      <c r="G318" s="231"/>
      <c r="H318" s="76"/>
      <c r="I318" s="232">
        <v>669</v>
      </c>
      <c r="J318" s="76"/>
      <c r="K318" s="76">
        <f t="shared" si="167"/>
        <v>0</v>
      </c>
      <c r="L318" s="76">
        <f t="shared" si="168"/>
        <v>608.17999999999995</v>
      </c>
      <c r="M318" s="76"/>
      <c r="N318" s="76"/>
      <c r="O318" s="76"/>
      <c r="P318" s="76"/>
      <c r="Q318" s="76"/>
      <c r="R318" s="76">
        <f t="shared" si="175"/>
        <v>60.82000000000005</v>
      </c>
      <c r="S318" s="76">
        <f t="shared" si="170"/>
        <v>608.17999999999995</v>
      </c>
      <c r="T318" s="76">
        <f t="shared" si="176"/>
        <v>669</v>
      </c>
      <c r="U318" s="129"/>
      <c r="V318" s="120" t="str">
        <f t="shared" si="177"/>
        <v>DP:43681</v>
      </c>
      <c r="W318" s="265" t="e">
        <f t="shared" si="178"/>
        <v>#NAME?</v>
      </c>
    </row>
    <row r="319" spans="1:27" s="22" customFormat="1" hidden="1" outlineLevel="1" x14ac:dyDescent="0.25">
      <c r="A319" s="120">
        <f t="shared" si="174"/>
        <v>3</v>
      </c>
      <c r="B319" s="392">
        <v>43709</v>
      </c>
      <c r="C319" s="231" t="s">
        <v>669</v>
      </c>
      <c r="D319" s="76"/>
      <c r="E319" s="231"/>
      <c r="F319" s="336"/>
      <c r="G319" s="231"/>
      <c r="H319" s="76"/>
      <c r="I319" s="232">
        <v>575</v>
      </c>
      <c r="J319" s="76"/>
      <c r="K319" s="76">
        <f t="shared" si="167"/>
        <v>0</v>
      </c>
      <c r="L319" s="76">
        <f t="shared" si="168"/>
        <v>522.73</v>
      </c>
      <c r="M319" s="76"/>
      <c r="N319" s="76"/>
      <c r="O319" s="76"/>
      <c r="P319" s="76"/>
      <c r="Q319" s="76"/>
      <c r="R319" s="76">
        <f t="shared" si="175"/>
        <v>52.269999999999982</v>
      </c>
      <c r="S319" s="76">
        <f t="shared" si="170"/>
        <v>522.73</v>
      </c>
      <c r="T319" s="76">
        <f t="shared" si="176"/>
        <v>575</v>
      </c>
      <c r="U319" s="129"/>
      <c r="V319" s="120" t="str">
        <f t="shared" si="177"/>
        <v>DP:43709</v>
      </c>
      <c r="W319" s="265" t="e">
        <f t="shared" si="178"/>
        <v>#NAME?</v>
      </c>
    </row>
    <row r="320" spans="1:27" s="22" customFormat="1" hidden="1" outlineLevel="1" x14ac:dyDescent="0.25">
      <c r="A320" s="120">
        <f t="shared" si="174"/>
        <v>0</v>
      </c>
      <c r="B320" s="392"/>
      <c r="C320" s="231" t="s">
        <v>669</v>
      </c>
      <c r="D320" s="76"/>
      <c r="E320" s="231"/>
      <c r="F320" s="336"/>
      <c r="G320" s="231"/>
      <c r="H320" s="76"/>
      <c r="I320" s="232"/>
      <c r="J320" s="76"/>
      <c r="K320" s="76">
        <f t="shared" si="167"/>
        <v>0</v>
      </c>
      <c r="L320" s="76">
        <f t="shared" si="168"/>
        <v>0</v>
      </c>
      <c r="M320" s="76"/>
      <c r="N320" s="76"/>
      <c r="O320" s="76"/>
      <c r="P320" s="76"/>
      <c r="Q320" s="76"/>
      <c r="R320" s="76">
        <f t="shared" si="175"/>
        <v>0</v>
      </c>
      <c r="S320" s="76">
        <f t="shared" si="170"/>
        <v>0</v>
      </c>
      <c r="T320" s="76">
        <f t="shared" si="176"/>
        <v>0</v>
      </c>
      <c r="U320" s="129"/>
      <c r="V320" s="120" t="str">
        <f t="shared" si="177"/>
        <v>DP:</v>
      </c>
      <c r="W320" s="265" t="e">
        <f t="shared" si="178"/>
        <v>#NAME?</v>
      </c>
    </row>
    <row r="321" spans="1:27" s="22" customFormat="1" hidden="1" outlineLevel="1" x14ac:dyDescent="0.25">
      <c r="A321" s="120">
        <f t="shared" si="174"/>
        <v>0</v>
      </c>
      <c r="B321" s="392"/>
      <c r="C321" s="231" t="s">
        <v>669</v>
      </c>
      <c r="D321" s="76"/>
      <c r="E321" s="231"/>
      <c r="F321" s="336"/>
      <c r="G321" s="231"/>
      <c r="H321" s="76"/>
      <c r="I321" s="232"/>
      <c r="J321" s="76"/>
      <c r="K321" s="76">
        <f t="shared" si="167"/>
        <v>0</v>
      </c>
      <c r="L321" s="76">
        <f t="shared" si="168"/>
        <v>0</v>
      </c>
      <c r="M321" s="76"/>
      <c r="N321" s="76"/>
      <c r="O321" s="76"/>
      <c r="P321" s="76"/>
      <c r="Q321" s="76"/>
      <c r="R321" s="76">
        <f t="shared" si="175"/>
        <v>0</v>
      </c>
      <c r="S321" s="76">
        <f t="shared" si="170"/>
        <v>0</v>
      </c>
      <c r="T321" s="76">
        <f t="shared" si="176"/>
        <v>0</v>
      </c>
      <c r="U321" s="129"/>
      <c r="V321" s="120" t="str">
        <f t="shared" si="177"/>
        <v>DP:</v>
      </c>
      <c r="W321" s="265" t="e">
        <f t="shared" si="178"/>
        <v>#NAME?</v>
      </c>
    </row>
    <row r="322" spans="1:27" s="22" customFormat="1" hidden="1" outlineLevel="1" x14ac:dyDescent="0.25">
      <c r="A322" s="120">
        <f t="shared" si="166"/>
        <v>5</v>
      </c>
      <c r="B322" s="392">
        <v>43773</v>
      </c>
      <c r="C322" s="231" t="s">
        <v>669</v>
      </c>
      <c r="D322" s="76"/>
      <c r="E322" s="231"/>
      <c r="F322" s="336"/>
      <c r="G322" s="231"/>
      <c r="H322" s="76"/>
      <c r="I322" s="232"/>
      <c r="J322" s="76"/>
      <c r="K322" s="76">
        <f t="shared" si="167"/>
        <v>0</v>
      </c>
      <c r="L322" s="76">
        <f t="shared" si="168"/>
        <v>0</v>
      </c>
      <c r="M322" s="76"/>
      <c r="N322" s="76"/>
      <c r="O322" s="76"/>
      <c r="P322" s="76"/>
      <c r="Q322" s="76"/>
      <c r="R322" s="76">
        <f t="shared" si="169"/>
        <v>0</v>
      </c>
      <c r="S322" s="76">
        <f t="shared" si="170"/>
        <v>0</v>
      </c>
      <c r="T322" s="76">
        <f t="shared" si="171"/>
        <v>0</v>
      </c>
      <c r="U322" s="129"/>
      <c r="V322" s="120" t="str">
        <f t="shared" si="172"/>
        <v>DP:43773</v>
      </c>
      <c r="W322" s="265" t="e">
        <f t="shared" si="173"/>
        <v>#NAME?</v>
      </c>
    </row>
    <row r="323" spans="1:27" s="22" customFormat="1" hidden="1" outlineLevel="1" x14ac:dyDescent="0.25">
      <c r="A323" s="120">
        <f t="shared" si="166"/>
        <v>6</v>
      </c>
      <c r="B323" s="392">
        <v>43801</v>
      </c>
      <c r="C323" s="231" t="s">
        <v>669</v>
      </c>
      <c r="D323" s="76"/>
      <c r="E323" s="231"/>
      <c r="F323" s="336"/>
      <c r="G323" s="231"/>
      <c r="H323" s="76"/>
      <c r="I323" s="232"/>
      <c r="J323" s="76"/>
      <c r="K323" s="76">
        <f t="shared" si="167"/>
        <v>0</v>
      </c>
      <c r="L323" s="76">
        <f t="shared" si="168"/>
        <v>0</v>
      </c>
      <c r="M323" s="76"/>
      <c r="N323" s="76"/>
      <c r="O323" s="76"/>
      <c r="P323" s="76"/>
      <c r="Q323" s="76"/>
      <c r="R323" s="76">
        <f t="shared" si="169"/>
        <v>0</v>
      </c>
      <c r="S323" s="76">
        <f t="shared" si="170"/>
        <v>0</v>
      </c>
      <c r="T323" s="76">
        <f t="shared" si="171"/>
        <v>0</v>
      </c>
      <c r="U323" s="129"/>
      <c r="V323" s="120" t="str">
        <f t="shared" si="172"/>
        <v>DP:43801</v>
      </c>
      <c r="W323" s="265" t="e">
        <f t="shared" si="173"/>
        <v>#NAME?</v>
      </c>
    </row>
    <row r="324" spans="1:27" s="22" customFormat="1" hidden="1" outlineLevel="1" x14ac:dyDescent="0.25">
      <c r="A324" s="120">
        <f t="shared" si="166"/>
        <v>8</v>
      </c>
      <c r="B324" s="392">
        <v>43871</v>
      </c>
      <c r="C324" s="231" t="s">
        <v>669</v>
      </c>
      <c r="D324" s="76"/>
      <c r="E324" s="231"/>
      <c r="F324" s="336"/>
      <c r="G324" s="231"/>
      <c r="H324" s="76"/>
      <c r="I324" s="232"/>
      <c r="J324" s="76"/>
      <c r="K324" s="76">
        <f t="shared" si="167"/>
        <v>0</v>
      </c>
      <c r="L324" s="76">
        <f t="shared" si="168"/>
        <v>0</v>
      </c>
      <c r="M324" s="76"/>
      <c r="N324" s="76"/>
      <c r="O324" s="76"/>
      <c r="P324" s="76"/>
      <c r="Q324" s="76"/>
      <c r="R324" s="76">
        <f t="shared" si="169"/>
        <v>0</v>
      </c>
      <c r="S324" s="76">
        <f t="shared" si="170"/>
        <v>0</v>
      </c>
      <c r="T324" s="76">
        <f t="shared" si="171"/>
        <v>0</v>
      </c>
      <c r="U324" s="129"/>
      <c r="V324" s="120" t="str">
        <f t="shared" si="172"/>
        <v>DP:43871</v>
      </c>
      <c r="W324" s="265" t="e">
        <f t="shared" si="173"/>
        <v>#NAME?</v>
      </c>
    </row>
    <row r="325" spans="1:27" s="22" customFormat="1" hidden="1" outlineLevel="1" x14ac:dyDescent="0.25">
      <c r="A325" s="120">
        <f t="shared" si="166"/>
        <v>8</v>
      </c>
      <c r="B325" s="392">
        <v>43861</v>
      </c>
      <c r="C325" s="231" t="s">
        <v>669</v>
      </c>
      <c r="D325" s="76"/>
      <c r="E325" s="231"/>
      <c r="F325" s="336"/>
      <c r="G325" s="231"/>
      <c r="H325" s="76"/>
      <c r="I325" s="232"/>
      <c r="J325" s="76"/>
      <c r="K325" s="76">
        <f t="shared" si="167"/>
        <v>0</v>
      </c>
      <c r="L325" s="76">
        <f t="shared" si="168"/>
        <v>0</v>
      </c>
      <c r="M325" s="76"/>
      <c r="N325" s="76"/>
      <c r="O325" s="76"/>
      <c r="P325" s="76"/>
      <c r="Q325" s="76"/>
      <c r="R325" s="76">
        <f t="shared" si="169"/>
        <v>0</v>
      </c>
      <c r="S325" s="76">
        <f t="shared" si="170"/>
        <v>0</v>
      </c>
      <c r="T325" s="76">
        <f t="shared" si="171"/>
        <v>0</v>
      </c>
      <c r="U325" s="129"/>
      <c r="V325" s="120" t="str">
        <f t="shared" si="172"/>
        <v>DP:43861</v>
      </c>
      <c r="W325" s="265" t="e">
        <f t="shared" si="173"/>
        <v>#NAME?</v>
      </c>
    </row>
    <row r="326" spans="1:27" s="22" customFormat="1" hidden="1" outlineLevel="1" x14ac:dyDescent="0.25">
      <c r="A326" s="120">
        <f t="shared" si="166"/>
        <v>9</v>
      </c>
      <c r="B326" s="392">
        <v>43900</v>
      </c>
      <c r="C326" s="231" t="s">
        <v>669</v>
      </c>
      <c r="D326" s="76"/>
      <c r="E326" s="231"/>
      <c r="F326" s="336"/>
      <c r="G326" s="231"/>
      <c r="H326" s="76"/>
      <c r="I326" s="232"/>
      <c r="J326" s="76"/>
      <c r="K326" s="76">
        <f t="shared" si="167"/>
        <v>0</v>
      </c>
      <c r="L326" s="76">
        <f t="shared" si="168"/>
        <v>0</v>
      </c>
      <c r="M326" s="76"/>
      <c r="N326" s="76"/>
      <c r="O326" s="76"/>
      <c r="P326" s="76"/>
      <c r="Q326" s="76"/>
      <c r="R326" s="76">
        <f t="shared" si="169"/>
        <v>0</v>
      </c>
      <c r="S326" s="76">
        <f t="shared" si="170"/>
        <v>0</v>
      </c>
      <c r="T326" s="76">
        <f t="shared" si="171"/>
        <v>0</v>
      </c>
      <c r="U326" s="129"/>
      <c r="V326" s="120" t="str">
        <f t="shared" si="172"/>
        <v>DP:43900</v>
      </c>
      <c r="W326" s="265" t="e">
        <f t="shared" si="173"/>
        <v>#NAME?</v>
      </c>
    </row>
    <row r="327" spans="1:27" s="22" customFormat="1" hidden="1" outlineLevel="1" x14ac:dyDescent="0.25">
      <c r="A327" s="120">
        <f t="shared" si="166"/>
        <v>10</v>
      </c>
      <c r="B327" s="392">
        <v>43928</v>
      </c>
      <c r="C327" s="231" t="s">
        <v>669</v>
      </c>
      <c r="D327" s="76"/>
      <c r="E327" s="231"/>
      <c r="F327" s="336"/>
      <c r="G327" s="231"/>
      <c r="H327" s="76"/>
      <c r="I327" s="232"/>
      <c r="J327" s="76"/>
      <c r="K327" s="76">
        <f t="shared" si="167"/>
        <v>0</v>
      </c>
      <c r="L327" s="76">
        <f t="shared" si="168"/>
        <v>0</v>
      </c>
      <c r="M327" s="76"/>
      <c r="N327" s="76"/>
      <c r="O327" s="76"/>
      <c r="P327" s="76"/>
      <c r="Q327" s="76"/>
      <c r="R327" s="76">
        <f t="shared" si="169"/>
        <v>0</v>
      </c>
      <c r="S327" s="76">
        <f t="shared" si="170"/>
        <v>0</v>
      </c>
      <c r="T327" s="76">
        <f t="shared" si="171"/>
        <v>0</v>
      </c>
      <c r="U327" s="129"/>
      <c r="V327" s="120" t="str">
        <f t="shared" si="172"/>
        <v>DP:43928</v>
      </c>
      <c r="W327" s="265" t="e">
        <f t="shared" si="173"/>
        <v>#NAME?</v>
      </c>
    </row>
    <row r="328" spans="1:27" s="22" customFormat="1" hidden="1" outlineLevel="1" x14ac:dyDescent="0.25">
      <c r="A328" s="120">
        <f t="shared" si="166"/>
        <v>11</v>
      </c>
      <c r="B328" s="392">
        <v>43970</v>
      </c>
      <c r="C328" s="231" t="s">
        <v>669</v>
      </c>
      <c r="D328" s="76"/>
      <c r="E328" s="231"/>
      <c r="F328" s="336"/>
      <c r="G328" s="231"/>
      <c r="H328" s="76"/>
      <c r="I328" s="232"/>
      <c r="J328" s="76"/>
      <c r="K328" s="76">
        <f t="shared" si="167"/>
        <v>0</v>
      </c>
      <c r="L328" s="76">
        <f t="shared" si="168"/>
        <v>0</v>
      </c>
      <c r="M328" s="76"/>
      <c r="N328" s="76"/>
      <c r="O328" s="76"/>
      <c r="P328" s="76"/>
      <c r="Q328" s="76"/>
      <c r="R328" s="76">
        <f t="shared" si="169"/>
        <v>0</v>
      </c>
      <c r="S328" s="76">
        <f t="shared" si="170"/>
        <v>0</v>
      </c>
      <c r="T328" s="76">
        <f t="shared" si="171"/>
        <v>0</v>
      </c>
      <c r="U328" s="129"/>
      <c r="V328" s="120" t="str">
        <f t="shared" si="172"/>
        <v>DP:43970</v>
      </c>
      <c r="W328" s="265" t="e">
        <f t="shared" si="173"/>
        <v>#NAME?</v>
      </c>
    </row>
    <row r="329" spans="1:27" s="22" customFormat="1" hidden="1" outlineLevel="1" x14ac:dyDescent="0.25">
      <c r="A329" s="120">
        <f t="shared" si="166"/>
        <v>12</v>
      </c>
      <c r="B329" s="392">
        <v>43982</v>
      </c>
      <c r="C329" s="231" t="s">
        <v>669</v>
      </c>
      <c r="D329" s="76"/>
      <c r="E329" s="231"/>
      <c r="F329" s="336"/>
      <c r="G329" s="231"/>
      <c r="H329" s="76"/>
      <c r="I329" s="232"/>
      <c r="J329" s="76"/>
      <c r="K329" s="76">
        <f t="shared" si="167"/>
        <v>0</v>
      </c>
      <c r="L329" s="76">
        <f t="shared" si="168"/>
        <v>0</v>
      </c>
      <c r="M329" s="76"/>
      <c r="N329" s="76"/>
      <c r="O329" s="76"/>
      <c r="P329" s="76"/>
      <c r="Q329" s="76"/>
      <c r="R329" s="76">
        <f t="shared" si="169"/>
        <v>0</v>
      </c>
      <c r="S329" s="76">
        <f t="shared" si="170"/>
        <v>0</v>
      </c>
      <c r="T329" s="76">
        <f t="shared" si="171"/>
        <v>0</v>
      </c>
      <c r="U329" s="129"/>
      <c r="V329" s="120" t="str">
        <f t="shared" si="172"/>
        <v>DP:43982</v>
      </c>
      <c r="W329" s="265" t="e">
        <f t="shared" si="173"/>
        <v>#NAME?</v>
      </c>
      <c r="Y329" s="35"/>
      <c r="Z329" s="35"/>
      <c r="AA329" s="35"/>
    </row>
    <row r="330" spans="1:27" s="22" customFormat="1" hidden="1" outlineLevel="1" x14ac:dyDescent="0.25">
      <c r="A330" s="120">
        <f t="shared" ref="A330:A333" si="179">GETPAYMONTH(B330)</f>
        <v>2</v>
      </c>
      <c r="B330" s="392">
        <v>43681</v>
      </c>
      <c r="C330" s="231" t="s">
        <v>678</v>
      </c>
      <c r="D330" s="76"/>
      <c r="E330" s="231"/>
      <c r="F330" s="231"/>
      <c r="G330" s="231"/>
      <c r="H330" s="76"/>
      <c r="I330" s="232">
        <v>680</v>
      </c>
      <c r="J330" s="76"/>
      <c r="K330" s="76">
        <f t="shared" si="167"/>
        <v>0</v>
      </c>
      <c r="L330" s="76">
        <f t="shared" si="168"/>
        <v>618.17999999999995</v>
      </c>
      <c r="M330" s="76"/>
      <c r="N330" s="76"/>
      <c r="O330" s="76"/>
      <c r="P330" s="76"/>
      <c r="Q330" s="76"/>
      <c r="R330" s="76">
        <f t="shared" ref="R330:R333" si="180">H330+I330-K330-L330</f>
        <v>61.82000000000005</v>
      </c>
      <c r="S330" s="76">
        <f t="shared" si="170"/>
        <v>618.17999999999995</v>
      </c>
      <c r="T330" s="76">
        <f t="shared" ref="T330:T333" si="181">SUM(K330:L330)+P330+R330</f>
        <v>680</v>
      </c>
      <c r="U330" s="129"/>
      <c r="V330" s="120" t="str">
        <f t="shared" ref="V330:V333" si="182">C330 &amp;":"&amp; B330</f>
        <v>ANK:43681</v>
      </c>
      <c r="W330" s="265" t="e">
        <f t="shared" ref="W330:W333" si="183">DATE(YEAR(B330+1),MONTH(B330+1),VLOOKUP(C330,payEmpNames,4))</f>
        <v>#NAME?</v>
      </c>
      <c r="Y330"/>
      <c r="Z330"/>
      <c r="AA330"/>
    </row>
    <row r="331" spans="1:27" s="22" customFormat="1" hidden="1" outlineLevel="1" x14ac:dyDescent="0.25">
      <c r="A331" s="120">
        <f t="shared" si="179"/>
        <v>3</v>
      </c>
      <c r="B331" s="392">
        <v>43709</v>
      </c>
      <c r="C331" s="231" t="s">
        <v>678</v>
      </c>
      <c r="D331" s="76"/>
      <c r="E331" s="231"/>
      <c r="F331" s="231"/>
      <c r="G331" s="231"/>
      <c r="H331" s="76"/>
      <c r="I331" s="232">
        <v>551</v>
      </c>
      <c r="J331" s="76"/>
      <c r="K331" s="76">
        <f t="shared" si="167"/>
        <v>0</v>
      </c>
      <c r="L331" s="76">
        <f t="shared" si="168"/>
        <v>500.91</v>
      </c>
      <c r="M331" s="76"/>
      <c r="N331" s="76"/>
      <c r="O331" s="76"/>
      <c r="P331" s="76"/>
      <c r="Q331" s="76"/>
      <c r="R331" s="76">
        <f t="shared" si="180"/>
        <v>50.089999999999975</v>
      </c>
      <c r="S331" s="76">
        <f t="shared" si="170"/>
        <v>500.91</v>
      </c>
      <c r="T331" s="76">
        <f t="shared" si="181"/>
        <v>551</v>
      </c>
      <c r="U331" s="129"/>
      <c r="V331" s="120" t="str">
        <f t="shared" si="182"/>
        <v>ANK:43709</v>
      </c>
      <c r="W331" s="265" t="e">
        <f t="shared" si="183"/>
        <v>#NAME?</v>
      </c>
      <c r="Y331"/>
      <c r="Z331"/>
      <c r="AA331"/>
    </row>
    <row r="332" spans="1:27" s="22" customFormat="1" hidden="1" outlineLevel="1" x14ac:dyDescent="0.25">
      <c r="A332" s="120">
        <f t="shared" si="179"/>
        <v>0</v>
      </c>
      <c r="B332" s="392"/>
      <c r="C332" s="231" t="s">
        <v>678</v>
      </c>
      <c r="D332" s="76"/>
      <c r="E332" s="231"/>
      <c r="F332" s="231"/>
      <c r="G332" s="231"/>
      <c r="H332" s="76"/>
      <c r="I332" s="232"/>
      <c r="J332" s="76"/>
      <c r="K332" s="76">
        <f t="shared" si="167"/>
        <v>0</v>
      </c>
      <c r="L332" s="76">
        <f t="shared" si="168"/>
        <v>0</v>
      </c>
      <c r="M332" s="76"/>
      <c r="N332" s="76"/>
      <c r="O332" s="76"/>
      <c r="P332" s="76"/>
      <c r="Q332" s="76"/>
      <c r="R332" s="76">
        <f t="shared" si="180"/>
        <v>0</v>
      </c>
      <c r="S332" s="76">
        <f t="shared" si="170"/>
        <v>0</v>
      </c>
      <c r="T332" s="76">
        <f t="shared" si="181"/>
        <v>0</v>
      </c>
      <c r="U332" s="129"/>
      <c r="V332" s="120" t="str">
        <f t="shared" si="182"/>
        <v>ANK:</v>
      </c>
      <c r="W332" s="265" t="e">
        <f t="shared" si="183"/>
        <v>#NAME?</v>
      </c>
      <c r="Y332"/>
      <c r="Z332"/>
      <c r="AA332"/>
    </row>
    <row r="333" spans="1:27" s="22" customFormat="1" hidden="1" outlineLevel="1" x14ac:dyDescent="0.25">
      <c r="A333" s="120">
        <f t="shared" si="179"/>
        <v>0</v>
      </c>
      <c r="B333" s="392"/>
      <c r="C333" s="231" t="s">
        <v>678</v>
      </c>
      <c r="D333" s="76"/>
      <c r="E333" s="231"/>
      <c r="F333" s="231"/>
      <c r="G333" s="231"/>
      <c r="H333" s="76"/>
      <c r="I333" s="232"/>
      <c r="J333" s="76"/>
      <c r="K333" s="76">
        <f t="shared" si="167"/>
        <v>0</v>
      </c>
      <c r="L333" s="76">
        <f t="shared" si="168"/>
        <v>0</v>
      </c>
      <c r="M333" s="76"/>
      <c r="N333" s="76"/>
      <c r="O333" s="76"/>
      <c r="P333" s="76"/>
      <c r="Q333" s="76"/>
      <c r="R333" s="76">
        <f t="shared" si="180"/>
        <v>0</v>
      </c>
      <c r="S333" s="76">
        <f t="shared" si="170"/>
        <v>0</v>
      </c>
      <c r="T333" s="76">
        <f t="shared" si="181"/>
        <v>0</v>
      </c>
      <c r="U333" s="129"/>
      <c r="V333" s="120" t="str">
        <f t="shared" si="182"/>
        <v>ANK:</v>
      </c>
      <c r="W333" s="265" t="e">
        <f t="shared" si="183"/>
        <v>#NAME?</v>
      </c>
      <c r="Y333"/>
      <c r="Z333"/>
      <c r="AA333"/>
    </row>
    <row r="334" spans="1:27" s="22" customFormat="1" hidden="1" outlineLevel="1" x14ac:dyDescent="0.25">
      <c r="A334" s="120">
        <f t="shared" si="166"/>
        <v>5</v>
      </c>
      <c r="B334" s="392">
        <v>43773</v>
      </c>
      <c r="C334" s="231" t="s">
        <v>678</v>
      </c>
      <c r="D334" s="76"/>
      <c r="E334" s="231"/>
      <c r="F334" s="231"/>
      <c r="G334" s="231"/>
      <c r="H334" s="76"/>
      <c r="I334" s="232"/>
      <c r="J334" s="76"/>
      <c r="K334" s="76">
        <f t="shared" si="167"/>
        <v>0</v>
      </c>
      <c r="L334" s="76">
        <f t="shared" si="168"/>
        <v>0</v>
      </c>
      <c r="M334" s="76"/>
      <c r="N334" s="76"/>
      <c r="O334" s="76"/>
      <c r="P334" s="76"/>
      <c r="Q334" s="76"/>
      <c r="R334" s="76">
        <f t="shared" si="169"/>
        <v>0</v>
      </c>
      <c r="S334" s="76">
        <f t="shared" si="170"/>
        <v>0</v>
      </c>
      <c r="T334" s="76">
        <f t="shared" si="171"/>
        <v>0</v>
      </c>
      <c r="U334" s="129"/>
      <c r="V334" s="120" t="str">
        <f t="shared" si="172"/>
        <v>ANK:43773</v>
      </c>
      <c r="W334" s="265" t="e">
        <f t="shared" si="173"/>
        <v>#NAME?</v>
      </c>
      <c r="Y334"/>
      <c r="Z334"/>
      <c r="AA334"/>
    </row>
    <row r="335" spans="1:27" s="22" customFormat="1" hidden="1" outlineLevel="1" x14ac:dyDescent="0.25">
      <c r="A335" s="120">
        <f t="shared" si="166"/>
        <v>6</v>
      </c>
      <c r="B335" s="392">
        <v>43801</v>
      </c>
      <c r="C335" s="231" t="s">
        <v>678</v>
      </c>
      <c r="D335" s="76"/>
      <c r="E335" s="231"/>
      <c r="F335" s="231"/>
      <c r="G335" s="231"/>
      <c r="H335" s="76"/>
      <c r="I335" s="232"/>
      <c r="J335" s="76"/>
      <c r="K335" s="76">
        <f t="shared" si="167"/>
        <v>0</v>
      </c>
      <c r="L335" s="76">
        <f t="shared" si="168"/>
        <v>0</v>
      </c>
      <c r="M335" s="76"/>
      <c r="N335" s="76"/>
      <c r="O335" s="76"/>
      <c r="P335" s="76"/>
      <c r="Q335" s="76"/>
      <c r="R335" s="76">
        <f t="shared" si="169"/>
        <v>0</v>
      </c>
      <c r="S335" s="76">
        <f t="shared" si="170"/>
        <v>0</v>
      </c>
      <c r="T335" s="76">
        <f t="shared" si="171"/>
        <v>0</v>
      </c>
      <c r="U335" s="129"/>
      <c r="V335" s="120" t="str">
        <f t="shared" si="172"/>
        <v>ANK:43801</v>
      </c>
      <c r="W335" s="265" t="e">
        <f t="shared" si="173"/>
        <v>#NAME?</v>
      </c>
      <c r="Y335"/>
      <c r="Z335"/>
      <c r="AA335"/>
    </row>
    <row r="336" spans="1:27" s="22" customFormat="1" hidden="1" outlineLevel="1" x14ac:dyDescent="0.25">
      <c r="A336" s="120">
        <f t="shared" si="166"/>
        <v>8</v>
      </c>
      <c r="B336" s="392">
        <v>43871</v>
      </c>
      <c r="C336" s="231" t="s">
        <v>678</v>
      </c>
      <c r="D336" s="76"/>
      <c r="E336" s="231"/>
      <c r="F336" s="231"/>
      <c r="G336" s="231"/>
      <c r="H336" s="76"/>
      <c r="I336" s="232"/>
      <c r="J336" s="76"/>
      <c r="K336" s="76">
        <f t="shared" si="167"/>
        <v>0</v>
      </c>
      <c r="L336" s="76">
        <f t="shared" si="168"/>
        <v>0</v>
      </c>
      <c r="M336" s="76"/>
      <c r="N336" s="76"/>
      <c r="O336" s="76"/>
      <c r="P336" s="76"/>
      <c r="Q336" s="76"/>
      <c r="R336" s="76">
        <f t="shared" si="169"/>
        <v>0</v>
      </c>
      <c r="S336" s="76">
        <f t="shared" si="170"/>
        <v>0</v>
      </c>
      <c r="T336" s="76">
        <f t="shared" si="171"/>
        <v>0</v>
      </c>
      <c r="U336" s="129"/>
      <c r="V336" s="120" t="str">
        <f t="shared" si="172"/>
        <v>ANK:43871</v>
      </c>
      <c r="W336" s="265" t="e">
        <f t="shared" si="173"/>
        <v>#NAME?</v>
      </c>
      <c r="Y336"/>
      <c r="Z336"/>
      <c r="AA336"/>
    </row>
    <row r="337" spans="1:27" s="22" customFormat="1" hidden="1" outlineLevel="1" x14ac:dyDescent="0.25">
      <c r="A337" s="120">
        <f t="shared" ref="A337:A341" si="184">GETPAYMONTH(B337)</f>
        <v>8</v>
      </c>
      <c r="B337" s="392">
        <v>43861</v>
      </c>
      <c r="C337" s="231" t="s">
        <v>678</v>
      </c>
      <c r="D337" s="76"/>
      <c r="E337" s="231"/>
      <c r="F337" s="231"/>
      <c r="G337" s="231"/>
      <c r="H337" s="76"/>
      <c r="I337" s="232"/>
      <c r="J337" s="76"/>
      <c r="K337" s="76">
        <f t="shared" si="167"/>
        <v>0</v>
      </c>
      <c r="L337" s="76">
        <f t="shared" si="168"/>
        <v>0</v>
      </c>
      <c r="M337" s="76"/>
      <c r="N337" s="76"/>
      <c r="O337" s="76"/>
      <c r="P337" s="76"/>
      <c r="Q337" s="76"/>
      <c r="R337" s="76">
        <f t="shared" ref="R337:R341" si="185">H337+I337-K337-L337</f>
        <v>0</v>
      </c>
      <c r="S337" s="76">
        <f t="shared" si="170"/>
        <v>0</v>
      </c>
      <c r="T337" s="76">
        <f t="shared" ref="T337:T341" si="186">SUM(K337:L337)+P337+R337</f>
        <v>0</v>
      </c>
      <c r="U337" s="129"/>
      <c r="V337" s="120" t="str">
        <f t="shared" ref="V337:V341" si="187">C337 &amp;":"&amp; B337</f>
        <v>ANK:43861</v>
      </c>
      <c r="W337" s="265" t="e">
        <f t="shared" ref="W337:W341" si="188">DATE(YEAR(B337+1),MONTH(B337+1),VLOOKUP(C337,payEmpNames,4))</f>
        <v>#NAME?</v>
      </c>
      <c r="Y337"/>
      <c r="Z337"/>
      <c r="AA337"/>
    </row>
    <row r="338" spans="1:27" s="22" customFormat="1" hidden="1" outlineLevel="1" x14ac:dyDescent="0.25">
      <c r="A338" s="120">
        <f t="shared" si="184"/>
        <v>9</v>
      </c>
      <c r="B338" s="392">
        <v>43900</v>
      </c>
      <c r="C338" s="231" t="s">
        <v>678</v>
      </c>
      <c r="D338" s="76"/>
      <c r="E338" s="231"/>
      <c r="F338" s="231"/>
      <c r="G338" s="231"/>
      <c r="H338" s="76"/>
      <c r="I338" s="232"/>
      <c r="J338" s="76"/>
      <c r="K338" s="76">
        <f t="shared" si="167"/>
        <v>0</v>
      </c>
      <c r="L338" s="76">
        <f t="shared" si="168"/>
        <v>0</v>
      </c>
      <c r="M338" s="76"/>
      <c r="N338" s="76"/>
      <c r="O338" s="76"/>
      <c r="P338" s="76"/>
      <c r="Q338" s="76"/>
      <c r="R338" s="76">
        <f t="shared" si="185"/>
        <v>0</v>
      </c>
      <c r="S338" s="76">
        <f t="shared" si="170"/>
        <v>0</v>
      </c>
      <c r="T338" s="76">
        <f t="shared" si="186"/>
        <v>0</v>
      </c>
      <c r="U338" s="129"/>
      <c r="V338" s="120" t="str">
        <f t="shared" si="187"/>
        <v>ANK:43900</v>
      </c>
      <c r="W338" s="265" t="e">
        <f t="shared" si="188"/>
        <v>#NAME?</v>
      </c>
      <c r="Y338"/>
      <c r="Z338"/>
      <c r="AA338"/>
    </row>
    <row r="339" spans="1:27" s="22" customFormat="1" hidden="1" outlineLevel="1" x14ac:dyDescent="0.25">
      <c r="A339" s="120">
        <f t="shared" si="184"/>
        <v>10</v>
      </c>
      <c r="B339" s="392">
        <v>43928</v>
      </c>
      <c r="C339" s="231" t="s">
        <v>678</v>
      </c>
      <c r="D339" s="76"/>
      <c r="E339" s="231"/>
      <c r="F339" s="231"/>
      <c r="G339" s="231"/>
      <c r="H339" s="76"/>
      <c r="I339" s="232"/>
      <c r="J339" s="76"/>
      <c r="K339" s="76">
        <f t="shared" si="167"/>
        <v>0</v>
      </c>
      <c r="L339" s="76">
        <f t="shared" si="168"/>
        <v>0</v>
      </c>
      <c r="M339" s="76"/>
      <c r="N339" s="76"/>
      <c r="O339" s="76"/>
      <c r="P339" s="76"/>
      <c r="Q339" s="76"/>
      <c r="R339" s="76">
        <f t="shared" si="185"/>
        <v>0</v>
      </c>
      <c r="S339" s="76">
        <f t="shared" si="170"/>
        <v>0</v>
      </c>
      <c r="T339" s="76">
        <f t="shared" si="186"/>
        <v>0</v>
      </c>
      <c r="U339" s="129"/>
      <c r="V339" s="120" t="str">
        <f t="shared" si="187"/>
        <v>ANK:43928</v>
      </c>
      <c r="W339" s="265" t="e">
        <f t="shared" si="188"/>
        <v>#NAME?</v>
      </c>
      <c r="Y339"/>
      <c r="Z339"/>
      <c r="AA339"/>
    </row>
    <row r="340" spans="1:27" s="22" customFormat="1" hidden="1" outlineLevel="1" x14ac:dyDescent="0.25">
      <c r="A340" s="120">
        <f t="shared" si="184"/>
        <v>11</v>
      </c>
      <c r="B340" s="392">
        <v>43970</v>
      </c>
      <c r="C340" s="231" t="s">
        <v>678</v>
      </c>
      <c r="D340" s="76"/>
      <c r="E340" s="231"/>
      <c r="F340" s="231"/>
      <c r="G340" s="231"/>
      <c r="H340" s="76"/>
      <c r="I340" s="232"/>
      <c r="J340" s="76"/>
      <c r="K340" s="76">
        <f t="shared" si="167"/>
        <v>0</v>
      </c>
      <c r="L340" s="76">
        <f t="shared" si="168"/>
        <v>0</v>
      </c>
      <c r="M340" s="76"/>
      <c r="N340" s="76"/>
      <c r="O340" s="76"/>
      <c r="P340" s="76"/>
      <c r="Q340" s="76"/>
      <c r="R340" s="76">
        <f t="shared" si="185"/>
        <v>0</v>
      </c>
      <c r="S340" s="76">
        <f t="shared" si="170"/>
        <v>0</v>
      </c>
      <c r="T340" s="76">
        <f t="shared" si="186"/>
        <v>0</v>
      </c>
      <c r="U340" s="129"/>
      <c r="V340" s="120" t="str">
        <f t="shared" si="187"/>
        <v>ANK:43970</v>
      </c>
      <c r="W340" s="265" t="e">
        <f t="shared" si="188"/>
        <v>#NAME?</v>
      </c>
      <c r="Y340"/>
      <c r="Z340"/>
      <c r="AA340"/>
    </row>
    <row r="341" spans="1:27" s="22" customFormat="1" hidden="1" outlineLevel="1" x14ac:dyDescent="0.25">
      <c r="A341" s="120">
        <f t="shared" si="184"/>
        <v>12</v>
      </c>
      <c r="B341" s="392">
        <v>43982</v>
      </c>
      <c r="C341" s="231" t="s">
        <v>678</v>
      </c>
      <c r="D341" s="76"/>
      <c r="E341" s="231"/>
      <c r="F341" s="231"/>
      <c r="G341" s="231"/>
      <c r="H341" s="76"/>
      <c r="I341" s="232"/>
      <c r="J341" s="76"/>
      <c r="K341" s="76">
        <f t="shared" si="167"/>
        <v>0</v>
      </c>
      <c r="L341" s="76">
        <f t="shared" si="168"/>
        <v>0</v>
      </c>
      <c r="M341" s="76"/>
      <c r="N341" s="76"/>
      <c r="O341" s="76"/>
      <c r="P341" s="76"/>
      <c r="Q341" s="76"/>
      <c r="R341" s="76">
        <f t="shared" si="185"/>
        <v>0</v>
      </c>
      <c r="S341" s="76">
        <f t="shared" si="170"/>
        <v>0</v>
      </c>
      <c r="T341" s="76">
        <f t="shared" si="186"/>
        <v>0</v>
      </c>
      <c r="U341" s="129"/>
      <c r="V341" s="120" t="str">
        <f t="shared" si="187"/>
        <v>ANK:43982</v>
      </c>
      <c r="W341" s="265" t="e">
        <f t="shared" si="188"/>
        <v>#NAME?</v>
      </c>
      <c r="Y341"/>
      <c r="Z341"/>
      <c r="AA341"/>
    </row>
    <row r="342" spans="1:27" hidden="1" outlineLevel="1" x14ac:dyDescent="0.25">
      <c r="A342" s="120">
        <f t="shared" ref="A342:A357" si="189">GETPAYMONTH(B342)</f>
        <v>1</v>
      </c>
      <c r="B342" s="392">
        <v>43646</v>
      </c>
      <c r="C342" s="231" t="s">
        <v>622</v>
      </c>
      <c r="D342" s="76"/>
      <c r="E342" s="231"/>
      <c r="F342" s="231"/>
      <c r="G342" s="231"/>
      <c r="H342" s="76"/>
      <c r="I342" s="232">
        <v>178.9</v>
      </c>
      <c r="J342" s="76"/>
      <c r="K342" s="76">
        <f t="shared" ref="K342:K357" si="190">ROUND($H342/11*10,2)</f>
        <v>0</v>
      </c>
      <c r="L342" s="76">
        <f t="shared" ref="L342:L357" si="191">ROUND($I342/11*10,2)</f>
        <v>162.63999999999999</v>
      </c>
      <c r="M342" s="76"/>
      <c r="N342" s="76"/>
      <c r="O342" s="76"/>
      <c r="P342" s="76"/>
      <c r="Q342" s="76"/>
      <c r="R342" s="76">
        <f t="shared" ref="R342:R357" si="192">H342+I342-K342-L342</f>
        <v>16.260000000000019</v>
      </c>
      <c r="S342" s="76">
        <f t="shared" ref="S342:S357" si="193">SUM($K342:$L342)</f>
        <v>162.63999999999999</v>
      </c>
      <c r="T342" s="76">
        <f t="shared" ref="T342:T357" si="194">SUM(K342:L342)+P342+R342</f>
        <v>178.9</v>
      </c>
      <c r="U342" s="129"/>
      <c r="V342" s="120" t="str">
        <f t="shared" ref="V342:V357" si="195">C342 &amp;":"&amp; B342</f>
        <v>GEO:43646</v>
      </c>
      <c r="W342" s="265" t="e">
        <f t="shared" ref="W342:W357" si="196">DATE(YEAR(B342+1),MONTH(B342+1),VLOOKUP(C342,payEmpNames,4))</f>
        <v>#NAME?</v>
      </c>
    </row>
    <row r="343" spans="1:27" hidden="1" outlineLevel="1" x14ac:dyDescent="0.25">
      <c r="A343" s="120">
        <f t="shared" si="189"/>
        <v>2</v>
      </c>
      <c r="B343" s="392">
        <v>43677</v>
      </c>
      <c r="C343" s="231" t="s">
        <v>622</v>
      </c>
      <c r="D343" s="76"/>
      <c r="E343" s="231"/>
      <c r="F343" s="231"/>
      <c r="G343" s="231"/>
      <c r="H343" s="76"/>
      <c r="I343" s="232">
        <v>178.9</v>
      </c>
      <c r="J343" s="76"/>
      <c r="K343" s="76">
        <f t="shared" si="190"/>
        <v>0</v>
      </c>
      <c r="L343" s="76">
        <f t="shared" si="191"/>
        <v>162.63999999999999</v>
      </c>
      <c r="M343" s="76"/>
      <c r="N343" s="76"/>
      <c r="O343" s="76"/>
      <c r="P343" s="76"/>
      <c r="Q343" s="76"/>
      <c r="R343" s="76">
        <f t="shared" si="192"/>
        <v>16.260000000000019</v>
      </c>
      <c r="S343" s="76">
        <f t="shared" si="193"/>
        <v>162.63999999999999</v>
      </c>
      <c r="T343" s="76">
        <f t="shared" si="194"/>
        <v>178.9</v>
      </c>
      <c r="U343" s="129"/>
      <c r="V343" s="120" t="str">
        <f t="shared" si="195"/>
        <v>GEO:43677</v>
      </c>
      <c r="W343" s="265" t="e">
        <f t="shared" si="196"/>
        <v>#NAME?</v>
      </c>
    </row>
    <row r="344" spans="1:27" hidden="1" outlineLevel="1" x14ac:dyDescent="0.25">
      <c r="A344" s="120">
        <f t="shared" si="189"/>
        <v>3</v>
      </c>
      <c r="B344" s="392">
        <v>43708</v>
      </c>
      <c r="C344" s="231" t="s">
        <v>622</v>
      </c>
      <c r="D344" s="76"/>
      <c r="E344" s="231"/>
      <c r="F344" s="231"/>
      <c r="G344" s="231"/>
      <c r="H344" s="76"/>
      <c r="I344" s="232"/>
      <c r="J344" s="76"/>
      <c r="K344" s="76">
        <f t="shared" si="190"/>
        <v>0</v>
      </c>
      <c r="L344" s="76">
        <f t="shared" si="191"/>
        <v>0</v>
      </c>
      <c r="M344" s="76"/>
      <c r="N344" s="76"/>
      <c r="O344" s="76"/>
      <c r="P344" s="76"/>
      <c r="Q344" s="76"/>
      <c r="R344" s="76">
        <f t="shared" si="192"/>
        <v>0</v>
      </c>
      <c r="S344" s="76">
        <f t="shared" si="193"/>
        <v>0</v>
      </c>
      <c r="T344" s="76">
        <f t="shared" si="194"/>
        <v>0</v>
      </c>
      <c r="U344" s="129"/>
      <c r="V344" s="120" t="str">
        <f t="shared" si="195"/>
        <v>GEO:43708</v>
      </c>
      <c r="W344" s="265" t="e">
        <f t="shared" si="196"/>
        <v>#NAME?</v>
      </c>
    </row>
    <row r="345" spans="1:27" hidden="1" outlineLevel="1" x14ac:dyDescent="0.25">
      <c r="A345" s="120">
        <f t="shared" si="189"/>
        <v>4</v>
      </c>
      <c r="B345" s="392">
        <v>43738</v>
      </c>
      <c r="C345" s="231" t="s">
        <v>622</v>
      </c>
      <c r="D345" s="76"/>
      <c r="E345" s="231"/>
      <c r="F345" s="231"/>
      <c r="G345" s="231"/>
      <c r="H345" s="76"/>
      <c r="I345" s="232"/>
      <c r="J345" s="76"/>
      <c r="K345" s="76">
        <f t="shared" si="190"/>
        <v>0</v>
      </c>
      <c r="L345" s="76">
        <f t="shared" si="191"/>
        <v>0</v>
      </c>
      <c r="M345" s="76"/>
      <c r="N345" s="76"/>
      <c r="O345" s="76"/>
      <c r="P345" s="76"/>
      <c r="Q345" s="76"/>
      <c r="R345" s="76">
        <f t="shared" si="192"/>
        <v>0</v>
      </c>
      <c r="S345" s="76">
        <f t="shared" si="193"/>
        <v>0</v>
      </c>
      <c r="T345" s="76">
        <f t="shared" si="194"/>
        <v>0</v>
      </c>
      <c r="U345" s="129"/>
      <c r="V345" s="120" t="str">
        <f t="shared" si="195"/>
        <v>GEO:43738</v>
      </c>
      <c r="W345" s="265" t="e">
        <f t="shared" si="196"/>
        <v>#NAME?</v>
      </c>
    </row>
    <row r="346" spans="1:27" hidden="1" outlineLevel="1" x14ac:dyDescent="0.25">
      <c r="A346" s="120">
        <f t="shared" si="189"/>
        <v>5</v>
      </c>
      <c r="B346" s="392">
        <v>43769</v>
      </c>
      <c r="C346" s="231" t="s">
        <v>622</v>
      </c>
      <c r="D346" s="76"/>
      <c r="E346" s="231"/>
      <c r="F346" s="231"/>
      <c r="G346" s="231"/>
      <c r="H346" s="76"/>
      <c r="I346" s="232"/>
      <c r="J346" s="76"/>
      <c r="K346" s="76">
        <f t="shared" si="190"/>
        <v>0</v>
      </c>
      <c r="L346" s="76">
        <f t="shared" si="191"/>
        <v>0</v>
      </c>
      <c r="M346" s="76"/>
      <c r="N346" s="76"/>
      <c r="O346" s="76"/>
      <c r="P346" s="76"/>
      <c r="Q346" s="76"/>
      <c r="R346" s="76">
        <f t="shared" si="192"/>
        <v>0</v>
      </c>
      <c r="S346" s="76">
        <f t="shared" si="193"/>
        <v>0</v>
      </c>
      <c r="T346" s="76">
        <f t="shared" si="194"/>
        <v>0</v>
      </c>
      <c r="U346" s="129"/>
      <c r="V346" s="120" t="str">
        <f t="shared" si="195"/>
        <v>GEO:43769</v>
      </c>
      <c r="W346" s="265" t="e">
        <f t="shared" si="196"/>
        <v>#NAME?</v>
      </c>
    </row>
    <row r="347" spans="1:27" hidden="1" outlineLevel="1" x14ac:dyDescent="0.25">
      <c r="A347" s="120">
        <f t="shared" si="189"/>
        <v>6</v>
      </c>
      <c r="B347" s="392">
        <v>43799</v>
      </c>
      <c r="C347" s="231" t="s">
        <v>622</v>
      </c>
      <c r="D347" s="76"/>
      <c r="E347" s="231"/>
      <c r="F347" s="231"/>
      <c r="G347" s="231"/>
      <c r="H347" s="76"/>
      <c r="I347" s="232"/>
      <c r="J347" s="76"/>
      <c r="K347" s="76">
        <f t="shared" si="190"/>
        <v>0</v>
      </c>
      <c r="L347" s="76">
        <f t="shared" si="191"/>
        <v>0</v>
      </c>
      <c r="M347" s="76"/>
      <c r="N347" s="76"/>
      <c r="O347" s="76"/>
      <c r="P347" s="76"/>
      <c r="Q347" s="76"/>
      <c r="R347" s="76">
        <f t="shared" si="192"/>
        <v>0</v>
      </c>
      <c r="S347" s="76">
        <f t="shared" si="193"/>
        <v>0</v>
      </c>
      <c r="T347" s="76">
        <f t="shared" si="194"/>
        <v>0</v>
      </c>
      <c r="U347" s="129"/>
      <c r="V347" s="120" t="str">
        <f t="shared" si="195"/>
        <v>GEO:43799</v>
      </c>
      <c r="W347" s="265" t="e">
        <f t="shared" si="196"/>
        <v>#NAME?</v>
      </c>
    </row>
    <row r="348" spans="1:27" hidden="1" outlineLevel="1" x14ac:dyDescent="0.25">
      <c r="A348" s="120">
        <f t="shared" si="189"/>
        <v>7</v>
      </c>
      <c r="B348" s="392">
        <v>43830</v>
      </c>
      <c r="C348" s="231" t="s">
        <v>622</v>
      </c>
      <c r="D348" s="76"/>
      <c r="E348" s="231"/>
      <c r="F348" s="231"/>
      <c r="G348" s="231"/>
      <c r="H348" s="76"/>
      <c r="I348" s="232"/>
      <c r="J348" s="76"/>
      <c r="K348" s="76">
        <f t="shared" si="190"/>
        <v>0</v>
      </c>
      <c r="L348" s="76">
        <f t="shared" si="191"/>
        <v>0</v>
      </c>
      <c r="M348" s="76"/>
      <c r="N348" s="76"/>
      <c r="O348" s="76"/>
      <c r="P348" s="76"/>
      <c r="Q348" s="76"/>
      <c r="R348" s="76">
        <f t="shared" si="192"/>
        <v>0</v>
      </c>
      <c r="S348" s="76">
        <f t="shared" si="193"/>
        <v>0</v>
      </c>
      <c r="T348" s="76">
        <f t="shared" si="194"/>
        <v>0</v>
      </c>
      <c r="U348" s="129"/>
      <c r="V348" s="120" t="str">
        <f t="shared" si="195"/>
        <v>GEO:43830</v>
      </c>
      <c r="W348" s="265" t="e">
        <f t="shared" si="196"/>
        <v>#NAME?</v>
      </c>
    </row>
    <row r="349" spans="1:27" hidden="1" outlineLevel="1" x14ac:dyDescent="0.25">
      <c r="A349" s="120">
        <f t="shared" si="189"/>
        <v>8</v>
      </c>
      <c r="B349" s="392">
        <v>43861</v>
      </c>
      <c r="C349" s="231" t="s">
        <v>622</v>
      </c>
      <c r="D349" s="76"/>
      <c r="E349" s="231"/>
      <c r="F349" s="231"/>
      <c r="G349" s="231"/>
      <c r="H349" s="76"/>
      <c r="I349" s="232"/>
      <c r="J349" s="76"/>
      <c r="K349" s="76">
        <f t="shared" si="190"/>
        <v>0</v>
      </c>
      <c r="L349" s="76">
        <f t="shared" si="191"/>
        <v>0</v>
      </c>
      <c r="M349" s="76"/>
      <c r="N349" s="76"/>
      <c r="O349" s="76"/>
      <c r="P349" s="76"/>
      <c r="Q349" s="76"/>
      <c r="R349" s="76">
        <f t="shared" si="192"/>
        <v>0</v>
      </c>
      <c r="S349" s="76">
        <f t="shared" si="193"/>
        <v>0</v>
      </c>
      <c r="T349" s="76">
        <f t="shared" si="194"/>
        <v>0</v>
      </c>
      <c r="U349" s="129"/>
      <c r="V349" s="120" t="str">
        <f t="shared" si="195"/>
        <v>GEO:43861</v>
      </c>
      <c r="W349" s="265" t="e">
        <f t="shared" si="196"/>
        <v>#NAME?</v>
      </c>
    </row>
    <row r="350" spans="1:27" hidden="1" outlineLevel="1" x14ac:dyDescent="0.25">
      <c r="A350" s="120">
        <f t="shared" si="189"/>
        <v>9</v>
      </c>
      <c r="B350" s="392">
        <v>43889</v>
      </c>
      <c r="C350" s="231" t="s">
        <v>622</v>
      </c>
      <c r="D350" s="76"/>
      <c r="E350" s="231"/>
      <c r="F350" s="231"/>
      <c r="G350" s="231"/>
      <c r="H350" s="76"/>
      <c r="I350" s="232"/>
      <c r="J350" s="76"/>
      <c r="K350" s="76">
        <f t="shared" si="190"/>
        <v>0</v>
      </c>
      <c r="L350" s="76">
        <f t="shared" si="191"/>
        <v>0</v>
      </c>
      <c r="M350" s="76"/>
      <c r="N350" s="76"/>
      <c r="O350" s="76"/>
      <c r="P350" s="76"/>
      <c r="Q350" s="76"/>
      <c r="R350" s="76">
        <f t="shared" si="192"/>
        <v>0</v>
      </c>
      <c r="S350" s="76">
        <f t="shared" si="193"/>
        <v>0</v>
      </c>
      <c r="T350" s="76">
        <f t="shared" si="194"/>
        <v>0</v>
      </c>
      <c r="U350" s="129"/>
      <c r="V350" s="120" t="str">
        <f t="shared" si="195"/>
        <v>GEO:43889</v>
      </c>
      <c r="W350" s="265" t="e">
        <f t="shared" si="196"/>
        <v>#NAME?</v>
      </c>
    </row>
    <row r="351" spans="1:27" hidden="1" outlineLevel="1" x14ac:dyDescent="0.25">
      <c r="A351" s="120">
        <f>GETPAYMONTH(B351)</f>
        <v>10</v>
      </c>
      <c r="B351" s="392">
        <v>43921</v>
      </c>
      <c r="C351" s="231" t="s">
        <v>622</v>
      </c>
      <c r="D351" s="76"/>
      <c r="E351" s="231"/>
      <c r="F351" s="231"/>
      <c r="G351" s="231"/>
      <c r="H351" s="76"/>
      <c r="I351" s="232"/>
      <c r="J351" s="76"/>
      <c r="K351" s="76">
        <f t="shared" si="190"/>
        <v>0</v>
      </c>
      <c r="L351" s="76">
        <f t="shared" si="191"/>
        <v>0</v>
      </c>
      <c r="M351" s="76"/>
      <c r="N351" s="76"/>
      <c r="O351" s="76"/>
      <c r="P351" s="76"/>
      <c r="Q351" s="76"/>
      <c r="R351" s="76">
        <f>H351+I351-K351-L351</f>
        <v>0</v>
      </c>
      <c r="S351" s="76">
        <f t="shared" si="193"/>
        <v>0</v>
      </c>
      <c r="T351" s="76">
        <f>SUM(K351:L351)+P351+R351</f>
        <v>0</v>
      </c>
      <c r="U351" s="129"/>
      <c r="V351" s="120" t="str">
        <f>C351 &amp;":"&amp; B351</f>
        <v>GEO:43921</v>
      </c>
      <c r="W351" s="265" t="e">
        <f>DATE(YEAR(B351+1),MONTH(B351+1),VLOOKUP(C351,payEmpNames,4))</f>
        <v>#NAME?</v>
      </c>
    </row>
    <row r="352" spans="1:27" hidden="1" outlineLevel="1" x14ac:dyDescent="0.25">
      <c r="A352" s="120">
        <f>GETPAYMONTH(B352)</f>
        <v>11</v>
      </c>
      <c r="B352" s="392">
        <v>43951</v>
      </c>
      <c r="C352" s="231" t="s">
        <v>622</v>
      </c>
      <c r="D352" s="76"/>
      <c r="E352" s="231"/>
      <c r="F352" s="231"/>
      <c r="G352" s="231"/>
      <c r="H352" s="76"/>
      <c r="I352" s="232"/>
      <c r="J352" s="76"/>
      <c r="K352" s="76">
        <f t="shared" si="190"/>
        <v>0</v>
      </c>
      <c r="L352" s="76">
        <f t="shared" si="191"/>
        <v>0</v>
      </c>
      <c r="M352" s="76"/>
      <c r="N352" s="76"/>
      <c r="O352" s="76"/>
      <c r="P352" s="76"/>
      <c r="Q352" s="76"/>
      <c r="R352" s="76">
        <f>H352+I352-K352-L352</f>
        <v>0</v>
      </c>
      <c r="S352" s="76">
        <f t="shared" si="193"/>
        <v>0</v>
      </c>
      <c r="T352" s="76">
        <f>SUM(K352:L352)+P352+R352</f>
        <v>0</v>
      </c>
      <c r="U352" s="129"/>
      <c r="V352" s="120" t="str">
        <f>C352 &amp;":"&amp; B352</f>
        <v>GEO:43951</v>
      </c>
      <c r="W352" s="265" t="e">
        <f>DATE(YEAR(B352+1),MONTH(B352+1),VLOOKUP(C352,payEmpNames,4))</f>
        <v>#NAME?</v>
      </c>
      <c r="Y352" s="35"/>
      <c r="Z352" s="35"/>
      <c r="AA352" s="35"/>
    </row>
    <row r="353" spans="1:27" hidden="1" outlineLevel="1" x14ac:dyDescent="0.25">
      <c r="A353" s="120">
        <f>GETPAYMONTH(B353)</f>
        <v>12</v>
      </c>
      <c r="B353" s="392">
        <v>43982</v>
      </c>
      <c r="C353" s="231" t="s">
        <v>622</v>
      </c>
      <c r="D353" s="76"/>
      <c r="E353" s="231"/>
      <c r="F353" s="231"/>
      <c r="G353" s="231"/>
      <c r="H353" s="76"/>
      <c r="I353" s="232"/>
      <c r="J353" s="76"/>
      <c r="K353" s="76">
        <f t="shared" si="190"/>
        <v>0</v>
      </c>
      <c r="L353" s="76">
        <f t="shared" si="191"/>
        <v>0</v>
      </c>
      <c r="M353" s="76"/>
      <c r="N353" s="76"/>
      <c r="O353" s="76"/>
      <c r="P353" s="76"/>
      <c r="Q353" s="76"/>
      <c r="R353" s="76">
        <f>H353+I353-K353-L353</f>
        <v>0</v>
      </c>
      <c r="S353" s="76">
        <f t="shared" si="193"/>
        <v>0</v>
      </c>
      <c r="T353" s="76">
        <f>SUM(K353:L353)+P353+R353</f>
        <v>0</v>
      </c>
      <c r="U353" s="129"/>
      <c r="V353" s="120" t="str">
        <f>C353 &amp;":"&amp; B353</f>
        <v>GEO:43982</v>
      </c>
      <c r="W353" s="265" t="e">
        <f>DATE(YEAR(B353+1),MONTH(B353+1),VLOOKUP(C353,payEmpNames,4))</f>
        <v>#NAME?</v>
      </c>
      <c r="Y353" s="35"/>
      <c r="Z353" s="35"/>
      <c r="AA353" s="35"/>
    </row>
    <row r="354" spans="1:27" hidden="1" outlineLevel="1" x14ac:dyDescent="0.25">
      <c r="A354" s="120">
        <f t="shared" si="189"/>
        <v>0</v>
      </c>
      <c r="B354" s="392"/>
      <c r="C354" s="231"/>
      <c r="D354" s="76"/>
      <c r="E354" s="231"/>
      <c r="F354" s="231"/>
      <c r="G354" s="231"/>
      <c r="H354" s="76"/>
      <c r="I354" s="232"/>
      <c r="J354" s="76"/>
      <c r="K354" s="76">
        <f t="shared" si="190"/>
        <v>0</v>
      </c>
      <c r="L354" s="76">
        <f t="shared" si="191"/>
        <v>0</v>
      </c>
      <c r="M354" s="76"/>
      <c r="N354" s="76"/>
      <c r="O354" s="76"/>
      <c r="P354" s="76"/>
      <c r="Q354" s="76"/>
      <c r="R354" s="76">
        <f t="shared" si="192"/>
        <v>0</v>
      </c>
      <c r="S354" s="76">
        <f t="shared" si="193"/>
        <v>0</v>
      </c>
      <c r="T354" s="76">
        <f t="shared" si="194"/>
        <v>0</v>
      </c>
      <c r="U354" s="129"/>
      <c r="V354" s="120" t="str">
        <f t="shared" si="195"/>
        <v>:</v>
      </c>
      <c r="W354" s="265" t="e">
        <f t="shared" si="196"/>
        <v>#NAME?</v>
      </c>
    </row>
    <row r="355" spans="1:27" hidden="1" outlineLevel="1" x14ac:dyDescent="0.25">
      <c r="A355" s="120">
        <f t="shared" si="189"/>
        <v>0</v>
      </c>
      <c r="B355" s="392"/>
      <c r="C355" s="231"/>
      <c r="D355" s="76"/>
      <c r="E355" s="231"/>
      <c r="F355" s="231"/>
      <c r="G355" s="231"/>
      <c r="H355" s="76"/>
      <c r="I355" s="232"/>
      <c r="J355" s="76"/>
      <c r="K355" s="76">
        <f t="shared" si="190"/>
        <v>0</v>
      </c>
      <c r="L355" s="76">
        <f t="shared" si="191"/>
        <v>0</v>
      </c>
      <c r="M355" s="76"/>
      <c r="N355" s="76"/>
      <c r="O355" s="76"/>
      <c r="P355" s="76"/>
      <c r="Q355" s="76"/>
      <c r="R355" s="76">
        <f t="shared" si="192"/>
        <v>0</v>
      </c>
      <c r="S355" s="76">
        <f t="shared" si="193"/>
        <v>0</v>
      </c>
      <c r="T355" s="76">
        <f t="shared" si="194"/>
        <v>0</v>
      </c>
      <c r="U355" s="129"/>
      <c r="V355" s="120" t="str">
        <f t="shared" si="195"/>
        <v>:</v>
      </c>
      <c r="W355" s="265" t="e">
        <f t="shared" si="196"/>
        <v>#NAME?</v>
      </c>
      <c r="Y355" s="35"/>
      <c r="Z355" s="35"/>
      <c r="AA355" s="35"/>
    </row>
    <row r="356" spans="1:27" hidden="1" outlineLevel="1" x14ac:dyDescent="0.25">
      <c r="A356" s="120">
        <f t="shared" si="189"/>
        <v>0</v>
      </c>
      <c r="B356" s="392"/>
      <c r="C356" s="231"/>
      <c r="D356" s="76"/>
      <c r="E356" s="231"/>
      <c r="F356" s="231"/>
      <c r="G356" s="231"/>
      <c r="H356" s="76"/>
      <c r="I356" s="232"/>
      <c r="J356" s="76"/>
      <c r="K356" s="76">
        <f t="shared" si="190"/>
        <v>0</v>
      </c>
      <c r="L356" s="76">
        <f t="shared" si="191"/>
        <v>0</v>
      </c>
      <c r="M356" s="76"/>
      <c r="N356" s="76"/>
      <c r="O356" s="76"/>
      <c r="P356" s="76"/>
      <c r="Q356" s="76"/>
      <c r="R356" s="76">
        <f t="shared" si="192"/>
        <v>0</v>
      </c>
      <c r="S356" s="76">
        <f t="shared" si="193"/>
        <v>0</v>
      </c>
      <c r="T356" s="76">
        <f t="shared" si="194"/>
        <v>0</v>
      </c>
      <c r="U356" s="129"/>
      <c r="V356" s="120" t="str">
        <f t="shared" si="195"/>
        <v>:</v>
      </c>
      <c r="W356" s="265" t="e">
        <f t="shared" si="196"/>
        <v>#NAME?</v>
      </c>
      <c r="Y356" s="35"/>
      <c r="Z356" s="35"/>
      <c r="AA356" s="35"/>
    </row>
    <row r="357" spans="1:27" hidden="1" x14ac:dyDescent="0.25">
      <c r="A357" s="120">
        <f t="shared" si="189"/>
        <v>0</v>
      </c>
      <c r="B357" s="231"/>
      <c r="C357" s="231"/>
      <c r="D357" s="76"/>
      <c r="E357" s="231"/>
      <c r="F357" s="231"/>
      <c r="G357" s="231"/>
      <c r="H357" s="76"/>
      <c r="I357" s="232"/>
      <c r="J357" s="76"/>
      <c r="K357" s="76">
        <f t="shared" si="190"/>
        <v>0</v>
      </c>
      <c r="L357" s="76">
        <f t="shared" si="191"/>
        <v>0</v>
      </c>
      <c r="M357" s="76"/>
      <c r="N357" s="76"/>
      <c r="O357" s="76"/>
      <c r="P357" s="76"/>
      <c r="Q357" s="76"/>
      <c r="R357" s="76">
        <f t="shared" si="192"/>
        <v>0</v>
      </c>
      <c r="S357" s="76">
        <f t="shared" si="193"/>
        <v>0</v>
      </c>
      <c r="T357" s="76">
        <f t="shared" si="194"/>
        <v>0</v>
      </c>
      <c r="U357" s="129"/>
      <c r="V357" s="120" t="str">
        <f t="shared" si="195"/>
        <v>:</v>
      </c>
      <c r="W357" s="265" t="e">
        <f t="shared" si="196"/>
        <v>#NAME?</v>
      </c>
      <c r="Y357" s="35"/>
      <c r="Z357" s="35"/>
      <c r="AA357" s="35"/>
    </row>
    <row r="358" spans="1:27" s="35" customFormat="1" hidden="1" x14ac:dyDescent="0.25">
      <c r="A358" s="131"/>
      <c r="B358" s="235"/>
      <c r="C358" s="235"/>
      <c r="D358" s="235"/>
      <c r="E358" s="235"/>
      <c r="F358" s="235"/>
      <c r="G358" s="235"/>
      <c r="H358" s="235"/>
      <c r="I358" s="132"/>
      <c r="J358" s="132"/>
      <c r="K358" s="132"/>
      <c r="L358" s="132"/>
      <c r="M358" s="132"/>
      <c r="N358" s="132"/>
      <c r="O358" s="132"/>
      <c r="P358" s="132"/>
      <c r="Q358" s="132"/>
      <c r="R358" s="132"/>
      <c r="S358" s="132"/>
      <c r="T358" s="132"/>
      <c r="U358" s="129"/>
    </row>
    <row r="359" spans="1:27" hidden="1" x14ac:dyDescent="0.25">
      <c r="F359"/>
      <c r="U359" s="129"/>
    </row>
    <row r="360" spans="1:27" x14ac:dyDescent="0.25">
      <c r="A360" s="254"/>
      <c r="B360" s="255"/>
      <c r="C360" s="256" t="e">
        <f>EmpID</f>
        <v>#NAME?</v>
      </c>
      <c r="D360" s="255" t="s">
        <v>518</v>
      </c>
      <c r="E360" s="219"/>
      <c r="F360" s="379"/>
      <c r="G360" s="256"/>
      <c r="H360" s="256"/>
      <c r="U360" s="129"/>
      <c r="V360" s="66" t="s">
        <v>465</v>
      </c>
    </row>
    <row r="361" spans="1:27" ht="13.8" thickBot="1" x14ac:dyDescent="0.3">
      <c r="A361" s="266"/>
      <c r="B361" s="219" t="s">
        <v>648</v>
      </c>
      <c r="C361" s="256" t="e">
        <f>EmpID</f>
        <v>#NAME?</v>
      </c>
      <c r="D361" s="219" t="s">
        <v>519</v>
      </c>
      <c r="E361" s="219" t="s">
        <v>642</v>
      </c>
      <c r="F361" s="379"/>
      <c r="G361" s="256"/>
      <c r="H361" s="256"/>
      <c r="U361" s="129"/>
      <c r="V361" s="156" t="s">
        <v>508</v>
      </c>
    </row>
    <row r="362" spans="1:27" ht="12.75" hidden="1" customHeight="1" x14ac:dyDescent="0.25">
      <c r="A362" s="267">
        <v>1</v>
      </c>
      <c r="B362" s="393">
        <v>43625</v>
      </c>
      <c r="C362" s="75" t="s">
        <v>55</v>
      </c>
      <c r="D362" s="268" t="s">
        <v>659</v>
      </c>
      <c r="E362" s="74">
        <v>5</v>
      </c>
      <c r="F362" s="74"/>
      <c r="G362" s="74"/>
      <c r="H362" s="75">
        <v>320122</v>
      </c>
      <c r="J362" s="138"/>
      <c r="U362" s="129"/>
      <c r="V362" s="120" t="str">
        <f t="shared" ref="V362:V379" si="197">C362 &amp;":"&amp; A362</f>
        <v>MAM:1</v>
      </c>
    </row>
    <row r="363" spans="1:27" ht="12.75" hidden="1" customHeight="1" x14ac:dyDescent="0.25">
      <c r="A363" s="120">
        <f t="shared" ref="A363:A402" si="198">GETPAYMONTH(DATE(YEAR(B363),MONTH(B363-4)+1,1))</f>
        <v>1</v>
      </c>
      <c r="B363" s="392">
        <v>43632</v>
      </c>
      <c r="C363" s="77" t="s">
        <v>55</v>
      </c>
      <c r="D363" s="231" t="s">
        <v>659</v>
      </c>
      <c r="E363" s="76">
        <v>4</v>
      </c>
      <c r="F363" s="76"/>
      <c r="G363" s="76"/>
      <c r="H363" s="77">
        <v>320122</v>
      </c>
      <c r="J363" s="138"/>
      <c r="U363" s="129"/>
      <c r="V363" s="120" t="str">
        <f t="shared" si="197"/>
        <v>MAM:1</v>
      </c>
    </row>
    <row r="364" spans="1:27" ht="12.75" hidden="1" customHeight="1" x14ac:dyDescent="0.25">
      <c r="A364" s="120">
        <f t="shared" si="198"/>
        <v>1</v>
      </c>
      <c r="B364" s="392">
        <v>43639</v>
      </c>
      <c r="C364" s="77" t="s">
        <v>55</v>
      </c>
      <c r="D364" s="231" t="s">
        <v>659</v>
      </c>
      <c r="E364" s="76">
        <v>5</v>
      </c>
      <c r="F364" s="76"/>
      <c r="G364" s="76"/>
      <c r="H364" s="77">
        <v>320123</v>
      </c>
      <c r="J364" s="138"/>
      <c r="U364" s="129"/>
      <c r="V364" s="120" t="str">
        <f t="shared" si="197"/>
        <v>MAM:1</v>
      </c>
    </row>
    <row r="365" spans="1:27" ht="12.75" hidden="1" customHeight="1" x14ac:dyDescent="0.25">
      <c r="A365" s="123">
        <f t="shared" si="198"/>
        <v>1</v>
      </c>
      <c r="B365" s="394">
        <v>43646</v>
      </c>
      <c r="C365" s="79" t="s">
        <v>55</v>
      </c>
      <c r="D365" s="269" t="s">
        <v>659</v>
      </c>
      <c r="E365" s="78">
        <v>5</v>
      </c>
      <c r="F365" s="78"/>
      <c r="G365" s="78"/>
      <c r="H365" s="79">
        <v>320123</v>
      </c>
      <c r="J365" s="138"/>
      <c r="U365" s="129"/>
      <c r="V365" s="120" t="str">
        <f t="shared" si="197"/>
        <v>MAM:1</v>
      </c>
    </row>
    <row r="366" spans="1:27" ht="12.75" hidden="1" customHeight="1" x14ac:dyDescent="0.25">
      <c r="A366" s="267">
        <f t="shared" ref="A366:A369" si="199">GETPAYMONTH(DATE(YEAR(B366),MONTH(B366-4)+1,1))</f>
        <v>2</v>
      </c>
      <c r="B366" s="393">
        <v>43653</v>
      </c>
      <c r="C366" s="75" t="s">
        <v>55</v>
      </c>
      <c r="D366" s="268" t="s">
        <v>659</v>
      </c>
      <c r="E366" s="74">
        <v>1</v>
      </c>
      <c r="F366" s="74"/>
      <c r="G366" s="74"/>
      <c r="H366" s="75">
        <v>320124</v>
      </c>
      <c r="J366" s="138"/>
      <c r="U366" s="129"/>
      <c r="V366" s="120" t="str">
        <f t="shared" ref="V366:V369" si="200">C366 &amp;":"&amp; A366</f>
        <v>MAM:2</v>
      </c>
    </row>
    <row r="367" spans="1:27" ht="12.75" hidden="1" customHeight="1" x14ac:dyDescent="0.25">
      <c r="A367" s="120">
        <f t="shared" si="199"/>
        <v>2</v>
      </c>
      <c r="B367" s="392">
        <v>43660</v>
      </c>
      <c r="C367" s="77" t="s">
        <v>55</v>
      </c>
      <c r="D367" s="231" t="s">
        <v>659</v>
      </c>
      <c r="E367" s="76">
        <v>1</v>
      </c>
      <c r="F367" s="76"/>
      <c r="G367" s="76"/>
      <c r="H367" s="77">
        <v>320124</v>
      </c>
      <c r="J367" s="138"/>
      <c r="U367" s="129"/>
      <c r="V367" s="120" t="str">
        <f t="shared" si="200"/>
        <v>MAM:2</v>
      </c>
    </row>
    <row r="368" spans="1:27" ht="12.75" hidden="1" customHeight="1" x14ac:dyDescent="0.25">
      <c r="A368" s="120">
        <f t="shared" si="199"/>
        <v>2</v>
      </c>
      <c r="B368" s="392">
        <v>43667</v>
      </c>
      <c r="C368" s="77" t="s">
        <v>55</v>
      </c>
      <c r="D368" s="231" t="s">
        <v>659</v>
      </c>
      <c r="E368" s="76"/>
      <c r="F368" s="76"/>
      <c r="G368" s="76"/>
      <c r="H368" s="77"/>
      <c r="I368" t="s">
        <v>813</v>
      </c>
      <c r="J368" s="138"/>
      <c r="U368" s="129"/>
      <c r="V368" s="120" t="str">
        <f t="shared" si="200"/>
        <v>MAM:2</v>
      </c>
    </row>
    <row r="369" spans="1:22" ht="12.75" hidden="1" customHeight="1" x14ac:dyDescent="0.25">
      <c r="A369" s="123">
        <f t="shared" si="199"/>
        <v>2</v>
      </c>
      <c r="B369" s="394">
        <v>43674</v>
      </c>
      <c r="C369" s="79" t="s">
        <v>55</v>
      </c>
      <c r="D369" s="269" t="s">
        <v>659</v>
      </c>
      <c r="E369" s="78">
        <v>1.5</v>
      </c>
      <c r="F369" s="78"/>
      <c r="G369" s="78"/>
      <c r="H369" s="79">
        <v>320125</v>
      </c>
      <c r="J369" s="138"/>
      <c r="U369" s="129"/>
      <c r="V369" s="120" t="str">
        <f t="shared" si="200"/>
        <v>MAM:2</v>
      </c>
    </row>
    <row r="370" spans="1:22" ht="12.75" hidden="1" customHeight="1" x14ac:dyDescent="0.25">
      <c r="A370" s="267">
        <f t="shared" si="198"/>
        <v>2</v>
      </c>
      <c r="B370" s="393">
        <v>43653</v>
      </c>
      <c r="C370" s="75" t="s">
        <v>55</v>
      </c>
      <c r="D370" s="268" t="s">
        <v>504</v>
      </c>
      <c r="E370" s="74">
        <v>4</v>
      </c>
      <c r="F370" s="74"/>
      <c r="G370" s="74"/>
      <c r="H370" s="75">
        <v>270301</v>
      </c>
      <c r="J370" s="138"/>
      <c r="U370" s="129"/>
      <c r="V370" s="120" t="str">
        <f t="shared" si="197"/>
        <v>MAM:2</v>
      </c>
    </row>
    <row r="371" spans="1:22" ht="12.75" hidden="1" customHeight="1" x14ac:dyDescent="0.25">
      <c r="A371" s="120">
        <f t="shared" si="198"/>
        <v>2</v>
      </c>
      <c r="B371" s="392">
        <v>43660</v>
      </c>
      <c r="C371" s="77" t="s">
        <v>55</v>
      </c>
      <c r="D371" s="231" t="s">
        <v>504</v>
      </c>
      <c r="E371" s="76">
        <v>4</v>
      </c>
      <c r="F371" s="76"/>
      <c r="G371" s="76"/>
      <c r="H371" s="77">
        <v>270302</v>
      </c>
      <c r="J371" s="138"/>
      <c r="U371" s="129"/>
      <c r="V371" s="120" t="str">
        <f t="shared" si="197"/>
        <v>MAM:2</v>
      </c>
    </row>
    <row r="372" spans="1:22" ht="12.75" hidden="1" customHeight="1" x14ac:dyDescent="0.25">
      <c r="A372" s="120">
        <f t="shared" si="198"/>
        <v>2</v>
      </c>
      <c r="B372" s="392">
        <v>43667</v>
      </c>
      <c r="C372" s="77" t="s">
        <v>55</v>
      </c>
      <c r="D372" s="231" t="s">
        <v>504</v>
      </c>
      <c r="E372" s="76"/>
      <c r="F372" s="76"/>
      <c r="G372" s="76"/>
      <c r="H372" s="77"/>
      <c r="I372" t="s">
        <v>813</v>
      </c>
      <c r="J372" s="138"/>
      <c r="U372" s="129"/>
      <c r="V372" s="120" t="str">
        <f t="shared" si="197"/>
        <v>MAM:2</v>
      </c>
    </row>
    <row r="373" spans="1:22" ht="12.75" hidden="1" customHeight="1" x14ac:dyDescent="0.25">
      <c r="A373" s="123">
        <f t="shared" si="198"/>
        <v>2</v>
      </c>
      <c r="B373" s="394">
        <v>43674</v>
      </c>
      <c r="C373" s="79" t="s">
        <v>55</v>
      </c>
      <c r="D373" s="269" t="s">
        <v>504</v>
      </c>
      <c r="E373" s="78">
        <v>4</v>
      </c>
      <c r="F373" s="78"/>
      <c r="G373" s="78"/>
      <c r="H373" s="79">
        <v>270303</v>
      </c>
      <c r="J373" s="138"/>
      <c r="U373" s="129"/>
      <c r="V373" s="120" t="str">
        <f t="shared" si="197"/>
        <v>MAM:2</v>
      </c>
    </row>
    <row r="374" spans="1:22" ht="12.75" hidden="1" customHeight="1" x14ac:dyDescent="0.25">
      <c r="A374" s="267">
        <f t="shared" ref="A374:A378" si="201">GETPAYMONTH(DATE(YEAR(B374),MONTH(B374-4)+1,1))</f>
        <v>2</v>
      </c>
      <c r="B374" s="393">
        <v>43681</v>
      </c>
      <c r="C374" s="75" t="s">
        <v>55</v>
      </c>
      <c r="D374" s="268" t="s">
        <v>659</v>
      </c>
      <c r="E374" s="74">
        <v>1</v>
      </c>
      <c r="F374" s="74"/>
      <c r="G374" s="74"/>
      <c r="H374" s="75">
        <v>320126</v>
      </c>
      <c r="J374" s="138"/>
      <c r="U374" s="129"/>
      <c r="V374" s="120" t="str">
        <f t="shared" ref="V374:V378" si="202">C374 &amp;":"&amp; A374</f>
        <v>MAM:2</v>
      </c>
    </row>
    <row r="375" spans="1:22" ht="12.75" hidden="1" customHeight="1" x14ac:dyDescent="0.25">
      <c r="A375" s="120">
        <f t="shared" si="201"/>
        <v>3</v>
      </c>
      <c r="B375" s="392">
        <v>43688</v>
      </c>
      <c r="C375" s="77" t="s">
        <v>55</v>
      </c>
      <c r="D375" s="231" t="s">
        <v>659</v>
      </c>
      <c r="E375" s="76">
        <v>2</v>
      </c>
      <c r="F375" s="76"/>
      <c r="G375" s="76"/>
      <c r="H375" s="77">
        <v>320126</v>
      </c>
      <c r="I375" t="s">
        <v>814</v>
      </c>
      <c r="J375" s="138"/>
      <c r="U375" s="129"/>
      <c r="V375" s="120" t="str">
        <f t="shared" si="202"/>
        <v>MAM:3</v>
      </c>
    </row>
    <row r="376" spans="1:22" ht="12.75" hidden="1" customHeight="1" x14ac:dyDescent="0.25">
      <c r="A376" s="120">
        <f t="shared" si="201"/>
        <v>3</v>
      </c>
      <c r="B376" s="392">
        <v>43695</v>
      </c>
      <c r="C376" s="77" t="s">
        <v>55</v>
      </c>
      <c r="D376" s="231" t="s">
        <v>659</v>
      </c>
      <c r="E376" s="76">
        <v>1.5</v>
      </c>
      <c r="F376" s="76"/>
      <c r="G376" s="76"/>
      <c r="H376" s="77">
        <v>320127</v>
      </c>
      <c r="J376" s="138"/>
      <c r="U376" s="129"/>
      <c r="V376" s="120" t="str">
        <f t="shared" si="202"/>
        <v>MAM:3</v>
      </c>
    </row>
    <row r="377" spans="1:22" ht="12.75" hidden="1" customHeight="1" x14ac:dyDescent="0.3">
      <c r="A377" s="120">
        <f t="shared" si="201"/>
        <v>3</v>
      </c>
      <c r="B377" s="392">
        <v>43702</v>
      </c>
      <c r="C377" s="77" t="s">
        <v>55</v>
      </c>
      <c r="D377" s="231" t="s">
        <v>659</v>
      </c>
      <c r="E377" s="76">
        <v>1</v>
      </c>
      <c r="F377" s="76"/>
      <c r="G377" s="76"/>
      <c r="H377" s="77">
        <v>320127</v>
      </c>
      <c r="J377" s="138"/>
      <c r="O377" s="270"/>
      <c r="U377" s="129"/>
      <c r="V377" s="120" t="str">
        <f t="shared" si="202"/>
        <v>MAM:3</v>
      </c>
    </row>
    <row r="378" spans="1:22" ht="12.75" hidden="1" customHeight="1" x14ac:dyDescent="0.3">
      <c r="A378" s="123">
        <f t="shared" si="201"/>
        <v>3</v>
      </c>
      <c r="B378" s="394">
        <v>43709</v>
      </c>
      <c r="C378" s="79" t="s">
        <v>55</v>
      </c>
      <c r="D378" s="269" t="s">
        <v>659</v>
      </c>
      <c r="E378" s="78"/>
      <c r="F378" s="78"/>
      <c r="G378" s="78"/>
      <c r="H378" s="79"/>
      <c r="J378" s="138"/>
      <c r="O378" s="270"/>
      <c r="U378" s="129"/>
      <c r="V378" s="120" t="str">
        <f t="shared" si="202"/>
        <v>MAM:3</v>
      </c>
    </row>
    <row r="379" spans="1:22" ht="12.75" hidden="1" customHeight="1" x14ac:dyDescent="0.25">
      <c r="A379" s="267">
        <f t="shared" si="198"/>
        <v>2</v>
      </c>
      <c r="B379" s="393">
        <v>43681</v>
      </c>
      <c r="C379" s="75" t="s">
        <v>55</v>
      </c>
      <c r="D379" s="268" t="s">
        <v>504</v>
      </c>
      <c r="E379" s="74">
        <v>3.5</v>
      </c>
      <c r="F379" s="74"/>
      <c r="G379" s="74"/>
      <c r="H379" s="75">
        <v>270304</v>
      </c>
      <c r="J379" s="138"/>
      <c r="U379" s="129"/>
      <c r="V379" s="120" t="str">
        <f t="shared" si="197"/>
        <v>MAM:2</v>
      </c>
    </row>
    <row r="380" spans="1:22" ht="12.75" hidden="1" customHeight="1" x14ac:dyDescent="0.25">
      <c r="A380" s="120">
        <f t="shared" si="198"/>
        <v>3</v>
      </c>
      <c r="B380" s="392">
        <v>43688</v>
      </c>
      <c r="C380" s="77" t="s">
        <v>55</v>
      </c>
      <c r="D380" s="231" t="s">
        <v>504</v>
      </c>
      <c r="E380" s="76">
        <v>4</v>
      </c>
      <c r="F380" s="76"/>
      <c r="G380" s="76"/>
      <c r="H380" s="77">
        <v>270305</v>
      </c>
      <c r="J380" s="138"/>
      <c r="U380" s="129"/>
      <c r="V380" s="120" t="str">
        <f t="shared" ref="V380:V385" si="203">C380 &amp;":"&amp; A380</f>
        <v>MAM:3</v>
      </c>
    </row>
    <row r="381" spans="1:22" ht="12.75" hidden="1" customHeight="1" x14ac:dyDescent="0.25">
      <c r="A381" s="120">
        <f t="shared" si="198"/>
        <v>3</v>
      </c>
      <c r="B381" s="392">
        <v>43695</v>
      </c>
      <c r="C381" s="77" t="s">
        <v>55</v>
      </c>
      <c r="D381" s="231" t="s">
        <v>504</v>
      </c>
      <c r="E381" s="76">
        <v>4</v>
      </c>
      <c r="F381" s="76"/>
      <c r="G381" s="76"/>
      <c r="H381" s="77">
        <v>270306</v>
      </c>
      <c r="J381" s="138"/>
      <c r="U381" s="129"/>
      <c r="V381" s="120" t="str">
        <f t="shared" si="203"/>
        <v>MAM:3</v>
      </c>
    </row>
    <row r="382" spans="1:22" ht="12.75" hidden="1" customHeight="1" x14ac:dyDescent="0.3">
      <c r="A382" s="120">
        <f t="shared" si="198"/>
        <v>3</v>
      </c>
      <c r="B382" s="392">
        <v>43702</v>
      </c>
      <c r="C382" s="77" t="s">
        <v>55</v>
      </c>
      <c r="D382" s="231" t="s">
        <v>504</v>
      </c>
      <c r="E382" s="76">
        <v>4</v>
      </c>
      <c r="F382" s="76"/>
      <c r="G382" s="76"/>
      <c r="H382" s="77">
        <v>270307</v>
      </c>
      <c r="J382" s="138"/>
      <c r="O382" s="270"/>
      <c r="U382" s="129"/>
      <c r="V382" s="120" t="str">
        <f t="shared" si="203"/>
        <v>MAM:3</v>
      </c>
    </row>
    <row r="383" spans="1:22" ht="12.75" hidden="1" customHeight="1" x14ac:dyDescent="0.3">
      <c r="A383" s="123">
        <f t="shared" si="198"/>
        <v>3</v>
      </c>
      <c r="B383" s="394">
        <v>43709</v>
      </c>
      <c r="C383" s="79" t="s">
        <v>55</v>
      </c>
      <c r="D383" s="269" t="s">
        <v>504</v>
      </c>
      <c r="E383" s="78"/>
      <c r="F383" s="78"/>
      <c r="G383" s="78"/>
      <c r="H383" s="79"/>
      <c r="J383" s="138"/>
      <c r="O383" s="270"/>
      <c r="U383" s="129"/>
      <c r="V383" s="120" t="str">
        <f t="shared" si="203"/>
        <v>MAM:3</v>
      </c>
    </row>
    <row r="384" spans="1:22" ht="12.75" hidden="1" customHeight="1" x14ac:dyDescent="0.3">
      <c r="A384" s="267">
        <f t="shared" si="198"/>
        <v>4</v>
      </c>
      <c r="B384" s="393">
        <v>43716</v>
      </c>
      <c r="C384" s="75" t="s">
        <v>55</v>
      </c>
      <c r="D384" s="268"/>
      <c r="E384" s="74"/>
      <c r="F384" s="74"/>
      <c r="G384" s="74"/>
      <c r="H384" s="75"/>
      <c r="J384" s="138"/>
      <c r="O384" s="270"/>
      <c r="U384" s="129"/>
      <c r="V384" s="120" t="str">
        <f t="shared" si="203"/>
        <v>MAM:4</v>
      </c>
    </row>
    <row r="385" spans="1:22" ht="12.75" hidden="1" customHeight="1" x14ac:dyDescent="0.3">
      <c r="A385" s="120">
        <f t="shared" si="198"/>
        <v>4</v>
      </c>
      <c r="B385" s="392">
        <v>43723</v>
      </c>
      <c r="C385" s="77" t="s">
        <v>55</v>
      </c>
      <c r="D385" s="231"/>
      <c r="E385" s="76"/>
      <c r="F385" s="76"/>
      <c r="G385" s="76"/>
      <c r="H385" s="77"/>
      <c r="J385" s="138"/>
      <c r="O385" s="270"/>
      <c r="U385" s="129"/>
      <c r="V385" s="120" t="str">
        <f t="shared" si="203"/>
        <v>MAM:4</v>
      </c>
    </row>
    <row r="386" spans="1:22" ht="12.75" hidden="1" customHeight="1" x14ac:dyDescent="0.3">
      <c r="A386" s="120">
        <f t="shared" si="198"/>
        <v>4</v>
      </c>
      <c r="B386" s="392">
        <v>43730</v>
      </c>
      <c r="C386" s="77" t="s">
        <v>55</v>
      </c>
      <c r="D386" s="231"/>
      <c r="E386" s="76"/>
      <c r="F386" s="76"/>
      <c r="G386" s="76"/>
      <c r="H386" s="77"/>
      <c r="J386" s="138"/>
      <c r="O386" s="271"/>
      <c r="U386" s="129"/>
      <c r="V386" s="120" t="str">
        <f t="shared" ref="V386:V417" si="204">C386 &amp;":"&amp; A386</f>
        <v>MAM:4</v>
      </c>
    </row>
    <row r="387" spans="1:22" ht="12.75" hidden="1" customHeight="1" x14ac:dyDescent="0.25">
      <c r="A387" s="123">
        <f t="shared" si="198"/>
        <v>4</v>
      </c>
      <c r="B387" s="394">
        <v>43737</v>
      </c>
      <c r="C387" s="79" t="s">
        <v>55</v>
      </c>
      <c r="D387" s="269"/>
      <c r="E387" s="78"/>
      <c r="F387" s="78"/>
      <c r="G387" s="78"/>
      <c r="H387" s="79"/>
      <c r="J387" s="138"/>
      <c r="U387" s="129"/>
      <c r="V387" s="120" t="str">
        <f t="shared" si="204"/>
        <v>MAM:4</v>
      </c>
    </row>
    <row r="388" spans="1:22" ht="12.75" hidden="1" customHeight="1" x14ac:dyDescent="0.25">
      <c r="A388" s="267">
        <f t="shared" si="198"/>
        <v>5</v>
      </c>
      <c r="B388" s="393">
        <v>43744</v>
      </c>
      <c r="C388" s="75" t="s">
        <v>55</v>
      </c>
      <c r="D388" s="268"/>
      <c r="E388" s="74"/>
      <c r="F388" s="74"/>
      <c r="G388" s="74"/>
      <c r="H388" s="75"/>
      <c r="J388" s="138"/>
      <c r="U388" s="129"/>
      <c r="V388" s="120" t="str">
        <f t="shared" si="204"/>
        <v>MAM:5</v>
      </c>
    </row>
    <row r="389" spans="1:22" ht="12.75" hidden="1" customHeight="1" x14ac:dyDescent="0.25">
      <c r="A389" s="120">
        <f t="shared" si="198"/>
        <v>5</v>
      </c>
      <c r="B389" s="392">
        <v>43751</v>
      </c>
      <c r="C389" s="77" t="s">
        <v>55</v>
      </c>
      <c r="D389" s="231"/>
      <c r="E389" s="76"/>
      <c r="F389" s="76"/>
      <c r="G389" s="76"/>
      <c r="H389" s="77"/>
      <c r="J389" s="138"/>
      <c r="U389" s="129"/>
      <c r="V389" s="120" t="str">
        <f t="shared" si="204"/>
        <v>MAM:5</v>
      </c>
    </row>
    <row r="390" spans="1:22" ht="12.75" hidden="1" customHeight="1" x14ac:dyDescent="0.25">
      <c r="A390" s="120">
        <f t="shared" si="198"/>
        <v>5</v>
      </c>
      <c r="B390" s="392">
        <v>43758</v>
      </c>
      <c r="C390" s="77" t="s">
        <v>55</v>
      </c>
      <c r="D390" s="231"/>
      <c r="E390" s="76"/>
      <c r="F390" s="76"/>
      <c r="G390" s="76"/>
      <c r="H390" s="77"/>
      <c r="J390" s="138"/>
      <c r="U390" s="129"/>
      <c r="V390" s="120" t="str">
        <f t="shared" si="204"/>
        <v>MAM:5</v>
      </c>
    </row>
    <row r="391" spans="1:22" ht="12.75" hidden="1" customHeight="1" x14ac:dyDescent="0.25">
      <c r="A391" s="120">
        <f t="shared" si="198"/>
        <v>5</v>
      </c>
      <c r="B391" s="392">
        <v>43765</v>
      </c>
      <c r="C391" s="77" t="s">
        <v>55</v>
      </c>
      <c r="D391" s="231"/>
      <c r="E391" s="76"/>
      <c r="F391" s="76"/>
      <c r="G391" s="76"/>
      <c r="H391" s="77"/>
      <c r="J391" s="138"/>
      <c r="U391" s="129"/>
      <c r="V391" s="120" t="str">
        <f t="shared" si="204"/>
        <v>MAM:5</v>
      </c>
    </row>
    <row r="392" spans="1:22" ht="12.75" hidden="1" customHeight="1" x14ac:dyDescent="0.25">
      <c r="A392" s="123">
        <f t="shared" si="198"/>
        <v>5</v>
      </c>
      <c r="B392" s="394">
        <v>43772</v>
      </c>
      <c r="C392" s="79" t="s">
        <v>55</v>
      </c>
      <c r="D392" s="269"/>
      <c r="E392" s="78"/>
      <c r="F392" s="78"/>
      <c r="G392" s="78"/>
      <c r="H392" s="79"/>
      <c r="J392" s="138"/>
      <c r="U392" s="129"/>
      <c r="V392" s="120" t="str">
        <f t="shared" si="204"/>
        <v>MAM:5</v>
      </c>
    </row>
    <row r="393" spans="1:22" ht="12.75" hidden="1" customHeight="1" x14ac:dyDescent="0.25">
      <c r="A393" s="267">
        <f t="shared" si="198"/>
        <v>6</v>
      </c>
      <c r="B393" s="393">
        <v>43779</v>
      </c>
      <c r="C393" s="75" t="s">
        <v>55</v>
      </c>
      <c r="D393" s="268"/>
      <c r="E393" s="74"/>
      <c r="F393" s="74"/>
      <c r="G393" s="74"/>
      <c r="H393" s="75"/>
      <c r="J393" s="138"/>
      <c r="U393" s="129"/>
      <c r="V393" s="120" t="str">
        <f t="shared" si="204"/>
        <v>MAM:6</v>
      </c>
    </row>
    <row r="394" spans="1:22" ht="12.75" hidden="1" customHeight="1" x14ac:dyDescent="0.25">
      <c r="A394" s="120">
        <f t="shared" si="198"/>
        <v>6</v>
      </c>
      <c r="B394" s="392">
        <v>43786</v>
      </c>
      <c r="C394" s="77" t="s">
        <v>55</v>
      </c>
      <c r="D394" s="231"/>
      <c r="E394" s="76"/>
      <c r="F394" s="76"/>
      <c r="G394" s="76"/>
      <c r="H394" s="77"/>
      <c r="J394" s="138"/>
      <c r="U394" s="129"/>
      <c r="V394" s="120" t="str">
        <f t="shared" si="204"/>
        <v>MAM:6</v>
      </c>
    </row>
    <row r="395" spans="1:22" ht="12.75" hidden="1" customHeight="1" x14ac:dyDescent="0.25">
      <c r="A395" s="120">
        <f t="shared" si="198"/>
        <v>6</v>
      </c>
      <c r="B395" s="392">
        <v>43793</v>
      </c>
      <c r="C395" s="77" t="s">
        <v>55</v>
      </c>
      <c r="D395" s="231"/>
      <c r="E395" s="76"/>
      <c r="F395" s="76"/>
      <c r="G395" s="76"/>
      <c r="H395" s="77"/>
      <c r="J395" s="138"/>
      <c r="U395" s="129"/>
      <c r="V395" s="120" t="str">
        <f t="shared" si="204"/>
        <v>MAM:6</v>
      </c>
    </row>
    <row r="396" spans="1:22" ht="12.75" hidden="1" customHeight="1" x14ac:dyDescent="0.25">
      <c r="A396" s="123">
        <f t="shared" si="198"/>
        <v>6</v>
      </c>
      <c r="B396" s="394">
        <v>43800</v>
      </c>
      <c r="C396" s="79" t="s">
        <v>55</v>
      </c>
      <c r="D396" s="269"/>
      <c r="E396" s="78"/>
      <c r="F396" s="78"/>
      <c r="G396" s="78"/>
      <c r="H396" s="79"/>
      <c r="J396" s="138"/>
      <c r="U396" s="129"/>
      <c r="V396" s="120" t="str">
        <f t="shared" si="204"/>
        <v>MAM:6</v>
      </c>
    </row>
    <row r="397" spans="1:22" ht="12.75" hidden="1" customHeight="1" x14ac:dyDescent="0.25">
      <c r="A397" s="267">
        <f t="shared" si="198"/>
        <v>7</v>
      </c>
      <c r="B397" s="393">
        <v>43807</v>
      </c>
      <c r="C397" s="75" t="s">
        <v>55</v>
      </c>
      <c r="D397" s="268"/>
      <c r="E397" s="74"/>
      <c r="F397" s="74"/>
      <c r="G397" s="74"/>
      <c r="H397" s="75"/>
      <c r="J397" s="138"/>
      <c r="U397" s="129"/>
      <c r="V397" s="120" t="str">
        <f t="shared" si="204"/>
        <v>MAM:7</v>
      </c>
    </row>
    <row r="398" spans="1:22" ht="12.75" hidden="1" customHeight="1" x14ac:dyDescent="0.25">
      <c r="A398" s="120">
        <f t="shared" si="198"/>
        <v>7</v>
      </c>
      <c r="B398" s="392">
        <v>43814</v>
      </c>
      <c r="C398" s="77" t="s">
        <v>55</v>
      </c>
      <c r="D398" s="231"/>
      <c r="E398" s="76"/>
      <c r="F398" s="76"/>
      <c r="G398" s="76"/>
      <c r="H398" s="77"/>
      <c r="J398" s="138"/>
      <c r="U398" s="129"/>
      <c r="V398" s="120" t="str">
        <f t="shared" si="204"/>
        <v>MAM:7</v>
      </c>
    </row>
    <row r="399" spans="1:22" ht="12.75" hidden="1" customHeight="1" x14ac:dyDescent="0.25">
      <c r="A399" s="120">
        <f t="shared" si="198"/>
        <v>7</v>
      </c>
      <c r="B399" s="392">
        <v>43821</v>
      </c>
      <c r="C399" s="77" t="s">
        <v>55</v>
      </c>
      <c r="D399" s="231"/>
      <c r="E399" s="76"/>
      <c r="F399" s="76"/>
      <c r="G399" s="76"/>
      <c r="H399" s="77"/>
      <c r="J399" s="138"/>
      <c r="U399" s="129"/>
      <c r="V399" s="120" t="str">
        <f t="shared" si="204"/>
        <v>MAM:7</v>
      </c>
    </row>
    <row r="400" spans="1:22" ht="12.75" hidden="1" customHeight="1" x14ac:dyDescent="0.3">
      <c r="A400" s="123">
        <f t="shared" si="198"/>
        <v>7</v>
      </c>
      <c r="B400" s="394">
        <v>43828</v>
      </c>
      <c r="C400" s="79" t="s">
        <v>55</v>
      </c>
      <c r="D400" s="269"/>
      <c r="E400" s="78"/>
      <c r="F400" s="78"/>
      <c r="G400" s="78"/>
      <c r="H400" s="79"/>
      <c r="I400" s="328"/>
      <c r="J400" s="138"/>
      <c r="O400" s="270"/>
      <c r="U400" s="129"/>
      <c r="V400" s="120" t="str">
        <f t="shared" si="204"/>
        <v>MAM:7</v>
      </c>
    </row>
    <row r="401" spans="1:22" ht="12.75" hidden="1" customHeight="1" x14ac:dyDescent="0.3">
      <c r="A401" s="267">
        <f t="shared" si="198"/>
        <v>8</v>
      </c>
      <c r="B401" s="393">
        <v>43835</v>
      </c>
      <c r="C401" s="75" t="s">
        <v>55</v>
      </c>
      <c r="D401" s="268"/>
      <c r="E401" s="74"/>
      <c r="F401" s="74"/>
      <c r="G401" s="74"/>
      <c r="H401" s="75"/>
      <c r="I401" s="328"/>
      <c r="J401" s="138"/>
      <c r="O401" s="270"/>
      <c r="U401" s="129"/>
      <c r="V401" s="120" t="str">
        <f t="shared" si="204"/>
        <v>MAM:8</v>
      </c>
    </row>
    <row r="402" spans="1:22" ht="12.75" hidden="1" customHeight="1" x14ac:dyDescent="0.3">
      <c r="A402" s="120">
        <f t="shared" si="198"/>
        <v>8</v>
      </c>
      <c r="B402" s="392">
        <v>43842</v>
      </c>
      <c r="C402" s="77" t="s">
        <v>55</v>
      </c>
      <c r="D402" s="231"/>
      <c r="E402" s="76"/>
      <c r="F402" s="76"/>
      <c r="G402" s="76"/>
      <c r="H402" s="77"/>
      <c r="I402" s="328"/>
      <c r="J402" s="138"/>
      <c r="O402" s="270"/>
      <c r="U402" s="129"/>
      <c r="V402" s="120" t="str">
        <f t="shared" si="204"/>
        <v>MAM:8</v>
      </c>
    </row>
    <row r="403" spans="1:22" ht="12.75" hidden="1" customHeight="1" x14ac:dyDescent="0.3">
      <c r="A403" s="120">
        <f t="shared" ref="A403:A422" si="205">GETPAYMONTH(DATE(YEAR(B403),MONTH(B403-4)+1,1))</f>
        <v>8</v>
      </c>
      <c r="B403" s="392">
        <v>43849</v>
      </c>
      <c r="C403" s="77" t="s">
        <v>55</v>
      </c>
      <c r="D403" s="231"/>
      <c r="E403" s="76"/>
      <c r="F403" s="76"/>
      <c r="G403" s="76"/>
      <c r="H403" s="77"/>
      <c r="I403" s="384"/>
      <c r="J403" s="138"/>
      <c r="O403" s="271"/>
      <c r="U403" s="129"/>
      <c r="V403" s="120" t="str">
        <f t="shared" si="204"/>
        <v>MAM:8</v>
      </c>
    </row>
    <row r="404" spans="1:22" ht="12.75" hidden="1" customHeight="1" x14ac:dyDescent="0.25">
      <c r="A404" s="120">
        <f t="shared" si="205"/>
        <v>8</v>
      </c>
      <c r="B404" s="392">
        <v>43856</v>
      </c>
      <c r="C404" s="77" t="s">
        <v>55</v>
      </c>
      <c r="D404" s="231"/>
      <c r="E404" s="76"/>
      <c r="F404" s="76"/>
      <c r="G404" s="76"/>
      <c r="H404" s="77"/>
      <c r="J404" s="138"/>
      <c r="U404" s="129"/>
      <c r="V404" s="120" t="str">
        <f t="shared" si="204"/>
        <v>MAM:8</v>
      </c>
    </row>
    <row r="405" spans="1:22" ht="12.75" hidden="1" customHeight="1" x14ac:dyDescent="0.25">
      <c r="A405" s="123">
        <f t="shared" si="205"/>
        <v>8</v>
      </c>
      <c r="B405" s="394">
        <v>43863</v>
      </c>
      <c r="C405" s="79" t="s">
        <v>55</v>
      </c>
      <c r="D405" s="269"/>
      <c r="E405" s="78"/>
      <c r="F405" s="78"/>
      <c r="G405" s="78"/>
      <c r="H405" s="79"/>
      <c r="I405" s="328"/>
      <c r="J405" s="138"/>
      <c r="U405" s="129"/>
      <c r="V405" s="120" t="str">
        <f t="shared" si="204"/>
        <v>MAM:8</v>
      </c>
    </row>
    <row r="406" spans="1:22" ht="12.75" hidden="1" customHeight="1" x14ac:dyDescent="0.25">
      <c r="A406" s="267">
        <f t="shared" si="205"/>
        <v>9</v>
      </c>
      <c r="B406" s="393">
        <v>43870</v>
      </c>
      <c r="C406" s="75" t="s">
        <v>55</v>
      </c>
      <c r="D406" s="268"/>
      <c r="E406" s="74"/>
      <c r="F406" s="74"/>
      <c r="G406" s="74"/>
      <c r="H406" s="75"/>
      <c r="I406" s="328"/>
      <c r="J406" s="138"/>
      <c r="U406" s="129"/>
      <c r="V406" s="120" t="str">
        <f t="shared" si="204"/>
        <v>MAM:9</v>
      </c>
    </row>
    <row r="407" spans="1:22" ht="12.75" hidden="1" customHeight="1" x14ac:dyDescent="0.25">
      <c r="A407" s="120">
        <f t="shared" si="205"/>
        <v>9</v>
      </c>
      <c r="B407" s="392">
        <v>43877</v>
      </c>
      <c r="C407" s="77" t="s">
        <v>55</v>
      </c>
      <c r="D407" s="231"/>
      <c r="E407" s="76"/>
      <c r="F407" s="76"/>
      <c r="G407" s="76"/>
      <c r="H407" s="77"/>
      <c r="J407" s="138"/>
      <c r="U407" s="129"/>
      <c r="V407" s="120" t="str">
        <f t="shared" si="204"/>
        <v>MAM:9</v>
      </c>
    </row>
    <row r="408" spans="1:22" ht="12.75" hidden="1" customHeight="1" x14ac:dyDescent="0.25">
      <c r="A408" s="120">
        <f t="shared" si="205"/>
        <v>9</v>
      </c>
      <c r="B408" s="392">
        <v>43884</v>
      </c>
      <c r="C408" s="77" t="s">
        <v>55</v>
      </c>
      <c r="D408" s="231"/>
      <c r="E408" s="76"/>
      <c r="F408" s="76"/>
      <c r="G408" s="76"/>
      <c r="H408" s="77"/>
      <c r="J408" s="138"/>
      <c r="U408" s="129"/>
      <c r="V408" s="120" t="str">
        <f t="shared" si="204"/>
        <v>MAM:9</v>
      </c>
    </row>
    <row r="409" spans="1:22" ht="12.75" hidden="1" customHeight="1" x14ac:dyDescent="0.25">
      <c r="A409" s="123">
        <f t="shared" si="205"/>
        <v>9</v>
      </c>
      <c r="B409" s="394">
        <v>43891</v>
      </c>
      <c r="C409" s="79" t="s">
        <v>55</v>
      </c>
      <c r="D409" s="269"/>
      <c r="E409" s="78"/>
      <c r="F409" s="78"/>
      <c r="G409" s="78"/>
      <c r="H409" s="79"/>
      <c r="J409" s="138"/>
      <c r="U409" s="129"/>
      <c r="V409" s="120" t="str">
        <f t="shared" si="204"/>
        <v>MAM:9</v>
      </c>
    </row>
    <row r="410" spans="1:22" ht="12.75" hidden="1" customHeight="1" x14ac:dyDescent="0.25">
      <c r="A410" s="267">
        <f t="shared" si="205"/>
        <v>10</v>
      </c>
      <c r="B410" s="393">
        <v>43898</v>
      </c>
      <c r="C410" s="75" t="s">
        <v>55</v>
      </c>
      <c r="D410" s="268"/>
      <c r="E410" s="74"/>
      <c r="F410" s="74"/>
      <c r="G410" s="74"/>
      <c r="H410" s="75"/>
      <c r="J410" s="138"/>
      <c r="U410" s="129"/>
      <c r="V410" s="120" t="str">
        <f t="shared" si="204"/>
        <v>MAM:10</v>
      </c>
    </row>
    <row r="411" spans="1:22" ht="12.75" hidden="1" customHeight="1" x14ac:dyDescent="0.25">
      <c r="A411" s="120">
        <f t="shared" si="205"/>
        <v>10</v>
      </c>
      <c r="B411" s="392">
        <v>43905</v>
      </c>
      <c r="C411" s="77" t="s">
        <v>55</v>
      </c>
      <c r="D411" s="231"/>
      <c r="E411" s="76"/>
      <c r="F411" s="76"/>
      <c r="G411" s="76"/>
      <c r="H411" s="77"/>
      <c r="J411" s="138"/>
      <c r="U411" s="129"/>
      <c r="V411" s="120" t="str">
        <f t="shared" si="204"/>
        <v>MAM:10</v>
      </c>
    </row>
    <row r="412" spans="1:22" ht="12.75" hidden="1" customHeight="1" x14ac:dyDescent="0.25">
      <c r="A412" s="120">
        <f t="shared" si="205"/>
        <v>10</v>
      </c>
      <c r="B412" s="392">
        <v>43912</v>
      </c>
      <c r="C412" s="77" t="s">
        <v>55</v>
      </c>
      <c r="D412" s="231"/>
      <c r="E412" s="76"/>
      <c r="F412" s="76"/>
      <c r="G412" s="76"/>
      <c r="H412" s="77"/>
      <c r="J412" s="138"/>
      <c r="U412" s="129"/>
      <c r="V412" s="120" t="str">
        <f t="shared" si="204"/>
        <v>MAM:10</v>
      </c>
    </row>
    <row r="413" spans="1:22" ht="12.75" hidden="1" customHeight="1" x14ac:dyDescent="0.25">
      <c r="A413" s="123">
        <f t="shared" si="205"/>
        <v>10</v>
      </c>
      <c r="B413" s="394">
        <v>43919</v>
      </c>
      <c r="C413" s="79" t="s">
        <v>55</v>
      </c>
      <c r="D413" s="269"/>
      <c r="E413" s="78"/>
      <c r="F413" s="78"/>
      <c r="G413" s="78"/>
      <c r="H413" s="79"/>
      <c r="I413" s="328"/>
      <c r="J413" s="138"/>
      <c r="U413" s="129"/>
      <c r="V413" s="120" t="str">
        <f t="shared" si="204"/>
        <v>MAM:10</v>
      </c>
    </row>
    <row r="414" spans="1:22" ht="12.75" hidden="1" customHeight="1" x14ac:dyDescent="0.25">
      <c r="A414" s="267">
        <f t="shared" si="205"/>
        <v>11</v>
      </c>
      <c r="B414" s="393">
        <v>43926</v>
      </c>
      <c r="C414" s="75" t="s">
        <v>55</v>
      </c>
      <c r="D414" s="268"/>
      <c r="E414" s="74"/>
      <c r="F414" s="74"/>
      <c r="G414" s="74"/>
      <c r="H414" s="75"/>
      <c r="I414" s="328"/>
      <c r="J414" s="138"/>
      <c r="U414" s="129"/>
      <c r="V414" s="120" t="str">
        <f t="shared" si="204"/>
        <v>MAM:11</v>
      </c>
    </row>
    <row r="415" spans="1:22" ht="12.75" hidden="1" customHeight="1" x14ac:dyDescent="0.25">
      <c r="A415" s="120">
        <f t="shared" si="205"/>
        <v>11</v>
      </c>
      <c r="B415" s="392">
        <v>43933</v>
      </c>
      <c r="C415" s="77" t="s">
        <v>55</v>
      </c>
      <c r="D415" s="231"/>
      <c r="E415" s="76"/>
      <c r="F415" s="76"/>
      <c r="G415" s="76"/>
      <c r="H415" s="77"/>
      <c r="I415" s="328"/>
      <c r="J415" s="138"/>
      <c r="U415" s="129"/>
      <c r="V415" s="120" t="str">
        <f t="shared" si="204"/>
        <v>MAM:11</v>
      </c>
    </row>
    <row r="416" spans="1:22" ht="12.75" hidden="1" customHeight="1" x14ac:dyDescent="0.25">
      <c r="A416" s="120">
        <f t="shared" si="205"/>
        <v>11</v>
      </c>
      <c r="B416" s="392">
        <v>43940</v>
      </c>
      <c r="C416" s="77" t="s">
        <v>55</v>
      </c>
      <c r="D416" s="231"/>
      <c r="E416" s="76"/>
      <c r="F416" s="76"/>
      <c r="G416" s="76"/>
      <c r="H416" s="77"/>
      <c r="J416" s="138"/>
      <c r="U416" s="129"/>
      <c r="V416" s="120" t="str">
        <f t="shared" si="204"/>
        <v>MAM:11</v>
      </c>
    </row>
    <row r="417" spans="1:22" ht="12.75" hidden="1" customHeight="1" x14ac:dyDescent="0.25">
      <c r="A417" s="123">
        <f t="shared" si="205"/>
        <v>11</v>
      </c>
      <c r="B417" s="394">
        <v>43947</v>
      </c>
      <c r="C417" s="79" t="s">
        <v>55</v>
      </c>
      <c r="D417" s="269"/>
      <c r="E417" s="78"/>
      <c r="F417" s="78"/>
      <c r="G417" s="78"/>
      <c r="H417" s="79"/>
      <c r="J417" s="138"/>
      <c r="U417" s="129"/>
      <c r="V417" s="120" t="str">
        <f t="shared" si="204"/>
        <v>MAM:11</v>
      </c>
    </row>
    <row r="418" spans="1:22" ht="12.75" hidden="1" customHeight="1" x14ac:dyDescent="0.25">
      <c r="A418" s="267">
        <f t="shared" si="205"/>
        <v>11</v>
      </c>
      <c r="B418" s="393">
        <v>43954</v>
      </c>
      <c r="C418" s="75" t="s">
        <v>55</v>
      </c>
      <c r="D418" s="268"/>
      <c r="E418" s="74"/>
      <c r="F418" s="74"/>
      <c r="G418" s="74"/>
      <c r="H418" s="75"/>
      <c r="I418" s="328"/>
      <c r="J418" s="138"/>
      <c r="U418" s="129"/>
      <c r="V418" s="120" t="str">
        <f t="shared" ref="V418:V441" si="206">C418 &amp;":"&amp; A418</f>
        <v>MAM:11</v>
      </c>
    </row>
    <row r="419" spans="1:22" ht="12.75" hidden="1" customHeight="1" x14ac:dyDescent="0.25">
      <c r="A419" s="120">
        <f t="shared" si="205"/>
        <v>12</v>
      </c>
      <c r="B419" s="392">
        <v>43961</v>
      </c>
      <c r="C419" s="77" t="s">
        <v>55</v>
      </c>
      <c r="D419" s="231"/>
      <c r="E419" s="76"/>
      <c r="F419" s="76"/>
      <c r="G419" s="76"/>
      <c r="H419" s="77"/>
      <c r="J419" s="138"/>
      <c r="U419" s="129"/>
      <c r="V419" s="120" t="str">
        <f t="shared" si="206"/>
        <v>MAM:12</v>
      </c>
    </row>
    <row r="420" spans="1:22" ht="12.75" hidden="1" customHeight="1" x14ac:dyDescent="0.25">
      <c r="A420" s="120">
        <f t="shared" si="205"/>
        <v>12</v>
      </c>
      <c r="B420" s="392">
        <v>43968</v>
      </c>
      <c r="C420" s="77" t="s">
        <v>55</v>
      </c>
      <c r="D420" s="231"/>
      <c r="E420" s="76"/>
      <c r="F420" s="76"/>
      <c r="G420" s="76"/>
      <c r="H420" s="77"/>
      <c r="J420" s="138"/>
      <c r="L420" s="22"/>
      <c r="U420" s="129"/>
      <c r="V420" s="120" t="str">
        <f t="shared" si="206"/>
        <v>MAM:12</v>
      </c>
    </row>
    <row r="421" spans="1:22" ht="12.75" hidden="1" customHeight="1" x14ac:dyDescent="0.25">
      <c r="A421" s="120">
        <f t="shared" si="205"/>
        <v>12</v>
      </c>
      <c r="B421" s="392">
        <v>43975</v>
      </c>
      <c r="C421" s="77" t="s">
        <v>55</v>
      </c>
      <c r="D421" s="231"/>
      <c r="E421" s="76"/>
      <c r="F421" s="76"/>
      <c r="G421" s="76"/>
      <c r="H421" s="77"/>
      <c r="J421" s="138"/>
      <c r="U421" s="129"/>
      <c r="V421" s="120" t="str">
        <f t="shared" si="206"/>
        <v>MAM:12</v>
      </c>
    </row>
    <row r="422" spans="1:22" ht="12.75" hidden="1" customHeight="1" x14ac:dyDescent="0.25">
      <c r="A422" s="123">
        <f t="shared" si="205"/>
        <v>12</v>
      </c>
      <c r="B422" s="394">
        <v>43982</v>
      </c>
      <c r="C422" s="79" t="s">
        <v>55</v>
      </c>
      <c r="D422" s="269"/>
      <c r="E422" s="78"/>
      <c r="F422" s="78"/>
      <c r="G422" s="78"/>
      <c r="H422" s="79"/>
      <c r="J422" s="138"/>
      <c r="L422" s="22"/>
      <c r="U422" s="129"/>
      <c r="V422" s="120" t="str">
        <f t="shared" si="206"/>
        <v>MAM:12</v>
      </c>
    </row>
    <row r="423" spans="1:22" ht="12.75" hidden="1" customHeight="1" x14ac:dyDescent="0.25">
      <c r="A423" s="120">
        <v>1</v>
      </c>
      <c r="B423" s="392">
        <v>43625</v>
      </c>
      <c r="C423" s="77" t="s">
        <v>57</v>
      </c>
      <c r="D423" s="231"/>
      <c r="E423" s="76">
        <v>5</v>
      </c>
      <c r="F423" s="76"/>
      <c r="G423" s="76"/>
      <c r="H423" s="77">
        <v>551011</v>
      </c>
      <c r="I423" t="s">
        <v>689</v>
      </c>
      <c r="J423" s="138"/>
      <c r="U423" s="129"/>
      <c r="V423" s="120" t="str">
        <f t="shared" si="206"/>
        <v>CRP:1</v>
      </c>
    </row>
    <row r="424" spans="1:22" ht="12.75" hidden="1" customHeight="1" x14ac:dyDescent="0.25">
      <c r="A424" s="120">
        <f t="shared" ref="A424:A454" si="207">GETPAYMONTH(DATE(YEAR(B424),MONTH(B424-4)+1,1))</f>
        <v>1</v>
      </c>
      <c r="B424" s="392">
        <v>43632</v>
      </c>
      <c r="C424" s="77" t="s">
        <v>57</v>
      </c>
      <c r="D424" s="231"/>
      <c r="E424" s="76">
        <v>6</v>
      </c>
      <c r="F424" s="76"/>
      <c r="G424" s="76"/>
      <c r="H424" s="77">
        <v>551012</v>
      </c>
      <c r="I424" t="s">
        <v>690</v>
      </c>
      <c r="J424" s="138"/>
      <c r="K424" s="22"/>
      <c r="U424" s="129"/>
      <c r="V424" s="120" t="str">
        <f t="shared" si="206"/>
        <v>CRP:1</v>
      </c>
    </row>
    <row r="425" spans="1:22" ht="12.75" hidden="1" customHeight="1" x14ac:dyDescent="0.25">
      <c r="A425" s="120">
        <f t="shared" si="207"/>
        <v>1</v>
      </c>
      <c r="B425" s="392">
        <v>43639</v>
      </c>
      <c r="C425" s="77" t="s">
        <v>57</v>
      </c>
      <c r="D425" s="231"/>
      <c r="E425" s="76">
        <v>5</v>
      </c>
      <c r="F425" s="76"/>
      <c r="G425" s="76"/>
      <c r="H425" s="77">
        <v>551012</v>
      </c>
      <c r="J425" s="138"/>
      <c r="U425" s="129"/>
      <c r="V425" s="120" t="str">
        <f t="shared" si="206"/>
        <v>CRP:1</v>
      </c>
    </row>
    <row r="426" spans="1:22" ht="12.75" hidden="1" customHeight="1" x14ac:dyDescent="0.25">
      <c r="A426" s="120">
        <f t="shared" si="207"/>
        <v>1</v>
      </c>
      <c r="B426" s="392">
        <v>43646</v>
      </c>
      <c r="C426" s="77" t="s">
        <v>57</v>
      </c>
      <c r="D426" s="231"/>
      <c r="E426" s="76">
        <v>5</v>
      </c>
      <c r="F426" s="76"/>
      <c r="G426" s="76"/>
      <c r="H426" s="77">
        <v>551013</v>
      </c>
      <c r="J426" s="138"/>
      <c r="U426" s="129"/>
      <c r="V426" s="120" t="str">
        <f t="shared" si="206"/>
        <v>CRP:1</v>
      </c>
    </row>
    <row r="427" spans="1:22" ht="12.75" hidden="1" customHeight="1" x14ac:dyDescent="0.25">
      <c r="A427" s="123">
        <f t="shared" si="207"/>
        <v>1</v>
      </c>
      <c r="B427" s="394">
        <v>43646</v>
      </c>
      <c r="C427" s="79" t="s">
        <v>58</v>
      </c>
      <c r="D427" s="269"/>
      <c r="E427" s="316">
        <f>SUM(E423:E426)</f>
        <v>21</v>
      </c>
      <c r="F427" s="316"/>
      <c r="G427" s="316"/>
      <c r="H427" s="315"/>
      <c r="J427" s="138"/>
      <c r="V427" s="120" t="str">
        <f t="shared" si="206"/>
        <v>SM:1</v>
      </c>
    </row>
    <row r="428" spans="1:22" ht="12.75" hidden="1" customHeight="1" x14ac:dyDescent="0.25">
      <c r="A428" s="120">
        <f t="shared" si="207"/>
        <v>2</v>
      </c>
      <c r="B428" s="392">
        <v>43653</v>
      </c>
      <c r="C428" s="77" t="s">
        <v>57</v>
      </c>
      <c r="D428" s="231"/>
      <c r="E428" s="74">
        <v>4</v>
      </c>
      <c r="F428" s="74"/>
      <c r="G428" s="74"/>
      <c r="H428" s="75">
        <v>551013</v>
      </c>
      <c r="I428" s="383" t="s">
        <v>696</v>
      </c>
      <c r="J428" s="138"/>
      <c r="V428" s="120" t="str">
        <f t="shared" si="206"/>
        <v>CRP:2</v>
      </c>
    </row>
    <row r="429" spans="1:22" ht="12.75" hidden="1" customHeight="1" x14ac:dyDescent="0.25">
      <c r="A429" s="120">
        <f t="shared" si="207"/>
        <v>2</v>
      </c>
      <c r="B429" s="392">
        <v>43660</v>
      </c>
      <c r="C429" s="77" t="s">
        <v>57</v>
      </c>
      <c r="D429" s="231"/>
      <c r="E429" s="76">
        <v>6</v>
      </c>
      <c r="F429" s="76"/>
      <c r="G429" s="76"/>
      <c r="H429" s="77">
        <v>551014</v>
      </c>
      <c r="I429" t="s">
        <v>690</v>
      </c>
      <c r="J429" s="138"/>
      <c r="V429" s="120" t="str">
        <f t="shared" si="206"/>
        <v>CRP:2</v>
      </c>
    </row>
    <row r="430" spans="1:22" ht="12.75" hidden="1" customHeight="1" x14ac:dyDescent="0.25">
      <c r="A430" s="120">
        <f t="shared" si="207"/>
        <v>2</v>
      </c>
      <c r="B430" s="392">
        <v>43667</v>
      </c>
      <c r="C430" s="77" t="s">
        <v>57</v>
      </c>
      <c r="D430" s="231"/>
      <c r="E430" s="76">
        <v>7</v>
      </c>
      <c r="F430" s="76"/>
      <c r="G430" s="76"/>
      <c r="H430" s="77">
        <v>551014</v>
      </c>
      <c r="J430" s="138"/>
      <c r="U430" s="129"/>
      <c r="V430" s="120" t="str">
        <f t="shared" si="206"/>
        <v>CRP:2</v>
      </c>
    </row>
    <row r="431" spans="1:22" ht="12.75" hidden="1" customHeight="1" x14ac:dyDescent="0.25">
      <c r="A431" s="120">
        <f t="shared" si="207"/>
        <v>2</v>
      </c>
      <c r="B431" s="392">
        <v>43674</v>
      </c>
      <c r="C431" s="77" t="s">
        <v>57</v>
      </c>
      <c r="D431" s="231"/>
      <c r="E431" s="78">
        <v>6.5</v>
      </c>
      <c r="F431" s="78"/>
      <c r="G431" s="78"/>
      <c r="H431" s="79">
        <v>551015</v>
      </c>
      <c r="I431" t="s">
        <v>810</v>
      </c>
      <c r="J431" s="138"/>
      <c r="V431" s="120" t="str">
        <f t="shared" si="206"/>
        <v>CRP:2</v>
      </c>
    </row>
    <row r="432" spans="1:22" ht="12.75" hidden="1" customHeight="1" x14ac:dyDescent="0.25">
      <c r="A432" s="123">
        <f t="shared" si="207"/>
        <v>2</v>
      </c>
      <c r="B432" s="394">
        <v>43674</v>
      </c>
      <c r="C432" s="79" t="s">
        <v>58</v>
      </c>
      <c r="D432" s="269"/>
      <c r="E432" s="78">
        <f>SUM(E428:E431)</f>
        <v>23.5</v>
      </c>
      <c r="F432" s="78"/>
      <c r="G432" s="78"/>
      <c r="H432" s="79"/>
      <c r="J432" s="138"/>
      <c r="V432" s="120" t="str">
        <f t="shared" si="206"/>
        <v>SM:2</v>
      </c>
    </row>
    <row r="433" spans="1:22" ht="12.75" hidden="1" customHeight="1" x14ac:dyDescent="0.25">
      <c r="A433" s="120">
        <f t="shared" ref="A433" si="208">GETPAYMONTH(DATE(YEAR(B433),MONTH(B433-4)+1,1))</f>
        <v>2</v>
      </c>
      <c r="B433" s="392">
        <v>43681</v>
      </c>
      <c r="C433" s="77" t="s">
        <v>57</v>
      </c>
      <c r="D433" s="231"/>
      <c r="E433" s="74">
        <v>6.5</v>
      </c>
      <c r="F433" s="74"/>
      <c r="G433" s="74"/>
      <c r="H433" s="75">
        <v>551015</v>
      </c>
      <c r="I433" t="s">
        <v>811</v>
      </c>
      <c r="J433" s="138"/>
      <c r="V433" s="120" t="str">
        <f t="shared" ref="V433" si="209">C433 &amp;":"&amp; A433</f>
        <v>CRP:2</v>
      </c>
    </row>
    <row r="434" spans="1:22" ht="12.75" hidden="1" customHeight="1" x14ac:dyDescent="0.25">
      <c r="A434" s="120">
        <f t="shared" si="207"/>
        <v>3</v>
      </c>
      <c r="B434" s="392">
        <v>43688</v>
      </c>
      <c r="C434" s="77" t="s">
        <v>57</v>
      </c>
      <c r="D434" s="231"/>
      <c r="E434" s="76">
        <v>7</v>
      </c>
      <c r="F434" s="76"/>
      <c r="G434" s="76"/>
      <c r="H434" s="77">
        <v>551016</v>
      </c>
      <c r="J434" s="138"/>
      <c r="U434" s="129"/>
      <c r="V434" s="120" t="str">
        <f t="shared" si="206"/>
        <v>CRP:3</v>
      </c>
    </row>
    <row r="435" spans="1:22" ht="12.75" hidden="1" customHeight="1" x14ac:dyDescent="0.25">
      <c r="A435" s="120">
        <f t="shared" si="207"/>
        <v>3</v>
      </c>
      <c r="B435" s="392">
        <v>43695</v>
      </c>
      <c r="C435" s="77" t="s">
        <v>57</v>
      </c>
      <c r="D435" s="231"/>
      <c r="E435" s="76">
        <v>5</v>
      </c>
      <c r="F435" s="76"/>
      <c r="G435" s="76"/>
      <c r="H435" s="77">
        <v>551016</v>
      </c>
      <c r="J435" s="138"/>
      <c r="V435" s="120" t="str">
        <f t="shared" si="206"/>
        <v>CRP:3</v>
      </c>
    </row>
    <row r="436" spans="1:22" ht="12.75" hidden="1" customHeight="1" x14ac:dyDescent="0.25">
      <c r="A436" s="120">
        <f t="shared" si="207"/>
        <v>3</v>
      </c>
      <c r="B436" s="392">
        <v>43702</v>
      </c>
      <c r="C436" s="77" t="s">
        <v>57</v>
      </c>
      <c r="D436" s="231"/>
      <c r="E436" s="76">
        <v>7</v>
      </c>
      <c r="F436" s="76"/>
      <c r="G436" s="76"/>
      <c r="H436" s="77">
        <v>551017</v>
      </c>
      <c r="J436" s="138"/>
      <c r="V436" s="120" t="str">
        <f t="shared" si="206"/>
        <v>CRP:3</v>
      </c>
    </row>
    <row r="437" spans="1:22" ht="12.75" hidden="1" customHeight="1" x14ac:dyDescent="0.25">
      <c r="A437" s="120">
        <f t="shared" si="207"/>
        <v>3</v>
      </c>
      <c r="B437" s="392">
        <v>43709</v>
      </c>
      <c r="C437" s="77" t="s">
        <v>57</v>
      </c>
      <c r="D437" s="231"/>
      <c r="E437" s="78">
        <v>7</v>
      </c>
      <c r="F437" s="78"/>
      <c r="G437" s="78"/>
      <c r="H437" s="79">
        <v>551017</v>
      </c>
      <c r="J437" s="138"/>
      <c r="U437" s="129"/>
      <c r="V437" s="120" t="str">
        <f t="shared" si="206"/>
        <v>CRP:3</v>
      </c>
    </row>
    <row r="438" spans="1:22" ht="12.75" hidden="1" customHeight="1" x14ac:dyDescent="0.25">
      <c r="A438" s="123">
        <f t="shared" si="207"/>
        <v>3</v>
      </c>
      <c r="B438" s="394">
        <v>43709</v>
      </c>
      <c r="C438" s="79" t="s">
        <v>58</v>
      </c>
      <c r="D438" s="269"/>
      <c r="E438" s="78">
        <f>SUM(E433:E437)</f>
        <v>32.5</v>
      </c>
      <c r="F438" s="78"/>
      <c r="G438" s="78"/>
      <c r="H438" s="79"/>
      <c r="J438" s="138"/>
      <c r="V438" s="120" t="str">
        <f t="shared" si="206"/>
        <v>SM:3</v>
      </c>
    </row>
    <row r="439" spans="1:22" ht="12.75" hidden="1" customHeight="1" x14ac:dyDescent="0.25">
      <c r="A439" s="120">
        <f t="shared" si="207"/>
        <v>4</v>
      </c>
      <c r="B439" s="392">
        <v>43716</v>
      </c>
      <c r="C439" s="77" t="s">
        <v>57</v>
      </c>
      <c r="D439" s="231"/>
      <c r="E439" s="76"/>
      <c r="F439" s="76"/>
      <c r="G439" s="76"/>
      <c r="H439" s="77"/>
      <c r="J439" s="138"/>
      <c r="V439" s="120" t="str">
        <f t="shared" si="206"/>
        <v>CRP:4</v>
      </c>
    </row>
    <row r="440" spans="1:22" ht="12.75" hidden="1" customHeight="1" x14ac:dyDescent="0.25">
      <c r="A440" s="120">
        <f t="shared" si="207"/>
        <v>4</v>
      </c>
      <c r="B440" s="392">
        <v>43723</v>
      </c>
      <c r="C440" s="77" t="s">
        <v>57</v>
      </c>
      <c r="D440" s="231"/>
      <c r="E440" s="76"/>
      <c r="F440" s="76"/>
      <c r="G440" s="76"/>
      <c r="H440" s="77"/>
      <c r="J440" s="138"/>
      <c r="V440" s="120" t="str">
        <f t="shared" si="206"/>
        <v>CRP:4</v>
      </c>
    </row>
    <row r="441" spans="1:22" ht="12.75" hidden="1" customHeight="1" x14ac:dyDescent="0.25">
      <c r="A441" s="120">
        <f t="shared" si="207"/>
        <v>4</v>
      </c>
      <c r="B441" s="392">
        <v>43730</v>
      </c>
      <c r="C441" s="77" t="s">
        <v>57</v>
      </c>
      <c r="D441" s="231"/>
      <c r="E441" s="76"/>
      <c r="F441" s="76"/>
      <c r="G441" s="76"/>
      <c r="H441" s="77"/>
      <c r="J441" s="138"/>
      <c r="U441" s="129"/>
      <c r="V441" s="120" t="str">
        <f t="shared" si="206"/>
        <v>CRP:4</v>
      </c>
    </row>
    <row r="442" spans="1:22" ht="12.75" hidden="1" customHeight="1" x14ac:dyDescent="0.25">
      <c r="A442" s="120">
        <f t="shared" si="207"/>
        <v>4</v>
      </c>
      <c r="B442" s="392">
        <v>43737</v>
      </c>
      <c r="C442" s="77" t="s">
        <v>57</v>
      </c>
      <c r="D442" s="231"/>
      <c r="E442" s="78"/>
      <c r="F442" s="78"/>
      <c r="G442" s="78"/>
      <c r="H442" s="79"/>
      <c r="J442" s="138"/>
      <c r="V442" s="120" t="str">
        <f t="shared" ref="V442:V464" si="210">C442 &amp;":"&amp; A442</f>
        <v>CRP:4</v>
      </c>
    </row>
    <row r="443" spans="1:22" ht="12.75" hidden="1" customHeight="1" x14ac:dyDescent="0.25">
      <c r="A443" s="123">
        <f t="shared" si="207"/>
        <v>4</v>
      </c>
      <c r="B443" s="394">
        <v>43737</v>
      </c>
      <c r="C443" s="79" t="s">
        <v>58</v>
      </c>
      <c r="D443" s="269"/>
      <c r="E443" s="78">
        <f>SUM(E439:E442)</f>
        <v>0</v>
      </c>
      <c r="F443" s="78"/>
      <c r="G443" s="78"/>
      <c r="H443" s="79"/>
      <c r="J443" s="138"/>
      <c r="V443" s="120" t="str">
        <f t="shared" si="210"/>
        <v>SM:4</v>
      </c>
    </row>
    <row r="444" spans="1:22" ht="12.75" hidden="1" customHeight="1" x14ac:dyDescent="0.25">
      <c r="A444" s="120">
        <f t="shared" si="207"/>
        <v>5</v>
      </c>
      <c r="B444" s="392">
        <v>43744</v>
      </c>
      <c r="C444" s="77" t="s">
        <v>57</v>
      </c>
      <c r="D444" s="231"/>
      <c r="E444" s="74"/>
      <c r="F444" s="74"/>
      <c r="G444" s="74"/>
      <c r="H444" s="75"/>
      <c r="I444" s="328"/>
      <c r="J444" s="138"/>
      <c r="V444" s="120" t="str">
        <f t="shared" si="210"/>
        <v>CRP:5</v>
      </c>
    </row>
    <row r="445" spans="1:22" ht="12.75" hidden="1" customHeight="1" x14ac:dyDescent="0.25">
      <c r="A445" s="120">
        <f t="shared" si="207"/>
        <v>5</v>
      </c>
      <c r="B445" s="392">
        <v>43751</v>
      </c>
      <c r="C445" s="77" t="s">
        <v>57</v>
      </c>
      <c r="D445" s="231"/>
      <c r="E445" s="76"/>
      <c r="F445" s="76"/>
      <c r="G445" s="76"/>
      <c r="H445" s="77"/>
      <c r="J445" s="138"/>
      <c r="U445" s="129"/>
      <c r="V445" s="120" t="str">
        <f t="shared" si="210"/>
        <v>CRP:5</v>
      </c>
    </row>
    <row r="446" spans="1:22" ht="12.75" hidden="1" customHeight="1" x14ac:dyDescent="0.25">
      <c r="A446" s="120">
        <f t="shared" si="207"/>
        <v>5</v>
      </c>
      <c r="B446" s="392">
        <v>43758</v>
      </c>
      <c r="C446" s="77" t="s">
        <v>57</v>
      </c>
      <c r="D446" s="231"/>
      <c r="E446" s="76"/>
      <c r="F446" s="76"/>
      <c r="G446" s="76"/>
      <c r="H446" s="77"/>
      <c r="J446" s="138"/>
      <c r="V446" s="120" t="str">
        <f t="shared" si="210"/>
        <v>CRP:5</v>
      </c>
    </row>
    <row r="447" spans="1:22" ht="12.75" hidden="1" customHeight="1" x14ac:dyDescent="0.25">
      <c r="A447" s="120">
        <f t="shared" si="207"/>
        <v>5</v>
      </c>
      <c r="B447" s="392">
        <v>43765</v>
      </c>
      <c r="C447" s="77" t="s">
        <v>57</v>
      </c>
      <c r="D447" s="231"/>
      <c r="E447" s="76"/>
      <c r="F447" s="76"/>
      <c r="G447" s="76"/>
      <c r="H447" s="77"/>
      <c r="J447" s="138"/>
      <c r="V447" s="120" t="str">
        <f t="shared" si="210"/>
        <v>CRP:5</v>
      </c>
    </row>
    <row r="448" spans="1:22" ht="12.75" hidden="1" customHeight="1" x14ac:dyDescent="0.25">
      <c r="A448" s="120">
        <f t="shared" si="207"/>
        <v>5</v>
      </c>
      <c r="B448" s="392">
        <v>43772</v>
      </c>
      <c r="C448" s="77" t="s">
        <v>57</v>
      </c>
      <c r="D448" s="231"/>
      <c r="E448" s="78"/>
      <c r="F448" s="78"/>
      <c r="G448" s="78"/>
      <c r="H448" s="79"/>
      <c r="J448" s="138"/>
      <c r="V448" s="120" t="str">
        <f>C448 &amp;":"&amp; A448</f>
        <v>CRP:5</v>
      </c>
    </row>
    <row r="449" spans="1:22" ht="12.75" hidden="1" customHeight="1" x14ac:dyDescent="0.25">
      <c r="A449" s="123">
        <f t="shared" si="207"/>
        <v>5</v>
      </c>
      <c r="B449" s="394">
        <v>43765</v>
      </c>
      <c r="C449" s="79" t="s">
        <v>58</v>
      </c>
      <c r="D449" s="269"/>
      <c r="E449" s="316">
        <f>SUM(E444:E448)</f>
        <v>0</v>
      </c>
      <c r="F449" s="316"/>
      <c r="G449" s="316"/>
      <c r="H449" s="315"/>
      <c r="J449" s="138"/>
      <c r="V449" s="120" t="str">
        <f t="shared" si="210"/>
        <v>SM:5</v>
      </c>
    </row>
    <row r="450" spans="1:22" ht="12.75" hidden="1" customHeight="1" x14ac:dyDescent="0.25">
      <c r="A450" s="120">
        <f t="shared" si="207"/>
        <v>6</v>
      </c>
      <c r="B450" s="392">
        <v>43779</v>
      </c>
      <c r="C450" s="77" t="s">
        <v>57</v>
      </c>
      <c r="D450" s="231"/>
      <c r="E450" s="76"/>
      <c r="F450" s="76"/>
      <c r="G450" s="76"/>
      <c r="H450" s="77"/>
      <c r="J450" s="138"/>
      <c r="U450" s="129"/>
      <c r="V450" s="120" t="str">
        <f t="shared" si="210"/>
        <v>CRP:6</v>
      </c>
    </row>
    <row r="451" spans="1:22" ht="12.75" hidden="1" customHeight="1" x14ac:dyDescent="0.25">
      <c r="A451" s="120">
        <f t="shared" si="207"/>
        <v>6</v>
      </c>
      <c r="B451" s="392">
        <v>43786</v>
      </c>
      <c r="C451" s="77" t="s">
        <v>57</v>
      </c>
      <c r="D451" s="231"/>
      <c r="E451" s="76"/>
      <c r="F451" s="76"/>
      <c r="G451" s="76"/>
      <c r="H451" s="77"/>
      <c r="I451" s="383"/>
      <c r="J451" s="138"/>
      <c r="V451" s="120" t="str">
        <f t="shared" si="210"/>
        <v>CRP:6</v>
      </c>
    </row>
    <row r="452" spans="1:22" ht="12.75" hidden="1" customHeight="1" x14ac:dyDescent="0.25">
      <c r="A452" s="120">
        <f t="shared" si="207"/>
        <v>6</v>
      </c>
      <c r="B452" s="392">
        <v>43793</v>
      </c>
      <c r="C452" s="77" t="s">
        <v>57</v>
      </c>
      <c r="D452" s="231"/>
      <c r="E452" s="76"/>
      <c r="F452" s="76"/>
      <c r="G452" s="76"/>
      <c r="H452" s="77"/>
      <c r="J452" s="138"/>
      <c r="V452" s="120" t="str">
        <f t="shared" si="210"/>
        <v>CRP:6</v>
      </c>
    </row>
    <row r="453" spans="1:22" ht="12.75" hidden="1" customHeight="1" x14ac:dyDescent="0.25">
      <c r="A453" s="120">
        <f>GETPAYMONTH(DATE(YEAR(B453),MONTH(B453-4)+1,1))</f>
        <v>6</v>
      </c>
      <c r="B453" s="392">
        <v>43800</v>
      </c>
      <c r="C453" s="77" t="s">
        <v>57</v>
      </c>
      <c r="D453" s="231"/>
      <c r="E453" s="78"/>
      <c r="F453" s="78"/>
      <c r="G453" s="78"/>
      <c r="H453" s="79"/>
      <c r="J453" s="138"/>
      <c r="V453" s="120" t="str">
        <f>C453 &amp;":"&amp; A453</f>
        <v>CRP:6</v>
      </c>
    </row>
    <row r="454" spans="1:22" ht="12.75" hidden="1" customHeight="1" x14ac:dyDescent="0.25">
      <c r="A454" s="123">
        <f t="shared" si="207"/>
        <v>6</v>
      </c>
      <c r="B454" s="394">
        <v>43800</v>
      </c>
      <c r="C454" s="79" t="s">
        <v>58</v>
      </c>
      <c r="D454" s="269"/>
      <c r="E454" s="316">
        <f>SUM(E450:E453)</f>
        <v>0</v>
      </c>
      <c r="F454" s="316"/>
      <c r="G454" s="316"/>
      <c r="H454" s="315"/>
      <c r="J454" s="138"/>
      <c r="U454" s="129"/>
      <c r="V454" s="120" t="str">
        <f t="shared" si="210"/>
        <v>SM:6</v>
      </c>
    </row>
    <row r="455" spans="1:22" ht="12.75" hidden="1" customHeight="1" x14ac:dyDescent="0.25">
      <c r="A455" s="120">
        <f t="shared" ref="A455:A508" si="211">GETPAYMONTH(DATE(YEAR(B455),MONTH(B455-4)+1,1))</f>
        <v>7</v>
      </c>
      <c r="B455" s="392">
        <v>43807</v>
      </c>
      <c r="C455" s="77" t="s">
        <v>57</v>
      </c>
      <c r="D455" s="231"/>
      <c r="E455" s="76"/>
      <c r="F455" s="76"/>
      <c r="G455" s="76"/>
      <c r="H455" s="77"/>
      <c r="J455" s="138"/>
      <c r="V455" s="120" t="str">
        <f t="shared" si="210"/>
        <v>CRP:7</v>
      </c>
    </row>
    <row r="456" spans="1:22" ht="12.75" hidden="1" customHeight="1" x14ac:dyDescent="0.25">
      <c r="A456" s="120">
        <f t="shared" si="211"/>
        <v>7</v>
      </c>
      <c r="B456" s="392">
        <v>43814</v>
      </c>
      <c r="C456" s="77" t="s">
        <v>57</v>
      </c>
      <c r="D456" s="231"/>
      <c r="E456" s="76"/>
      <c r="F456" s="76"/>
      <c r="G456" s="76"/>
      <c r="H456" s="77"/>
      <c r="J456" s="138"/>
      <c r="V456" s="120" t="str">
        <f t="shared" si="210"/>
        <v>CRP:7</v>
      </c>
    </row>
    <row r="457" spans="1:22" ht="12.75" hidden="1" customHeight="1" x14ac:dyDescent="0.25">
      <c r="A457" s="120">
        <f t="shared" si="211"/>
        <v>7</v>
      </c>
      <c r="B457" s="392">
        <v>43821</v>
      </c>
      <c r="C457" s="77" t="s">
        <v>57</v>
      </c>
      <c r="D457" s="231"/>
      <c r="E457" s="76"/>
      <c r="F457" s="76"/>
      <c r="G457" s="76"/>
      <c r="H457" s="77"/>
      <c r="J457" s="138"/>
      <c r="V457" s="120" t="str">
        <f t="shared" si="210"/>
        <v>CRP:7</v>
      </c>
    </row>
    <row r="458" spans="1:22" ht="12.75" hidden="1" customHeight="1" x14ac:dyDescent="0.25">
      <c r="A458" s="120">
        <f t="shared" si="211"/>
        <v>7</v>
      </c>
      <c r="B458" s="392">
        <v>43828</v>
      </c>
      <c r="C458" s="77" t="s">
        <v>57</v>
      </c>
      <c r="D458" s="231"/>
      <c r="E458" s="78"/>
      <c r="F458" s="78"/>
      <c r="G458" s="78"/>
      <c r="H458" s="79"/>
      <c r="I458" s="328"/>
      <c r="J458" s="138"/>
      <c r="V458" s="120" t="str">
        <f t="shared" si="210"/>
        <v>CRP:7</v>
      </c>
    </row>
    <row r="459" spans="1:22" ht="12.75" hidden="1" customHeight="1" x14ac:dyDescent="0.25">
      <c r="A459" s="123">
        <f t="shared" si="211"/>
        <v>7</v>
      </c>
      <c r="B459" s="394">
        <v>43828</v>
      </c>
      <c r="C459" s="79" t="s">
        <v>58</v>
      </c>
      <c r="D459" s="269"/>
      <c r="E459" s="78">
        <f>SUM(E455:E458)</f>
        <v>0</v>
      </c>
      <c r="F459" s="78"/>
      <c r="G459" s="78"/>
      <c r="H459" s="79"/>
      <c r="J459" s="138"/>
      <c r="V459" s="120" t="str">
        <f t="shared" si="210"/>
        <v>SM:7</v>
      </c>
    </row>
    <row r="460" spans="1:22" ht="12.75" hidden="1" customHeight="1" x14ac:dyDescent="0.25">
      <c r="A460" s="120">
        <f t="shared" si="211"/>
        <v>8</v>
      </c>
      <c r="B460" s="392">
        <v>43836</v>
      </c>
      <c r="C460" s="77" t="s">
        <v>57</v>
      </c>
      <c r="D460" s="231"/>
      <c r="E460" s="74"/>
      <c r="F460" s="74"/>
      <c r="G460" s="74"/>
      <c r="H460" s="75"/>
      <c r="I460" s="328"/>
      <c r="J460" s="138"/>
      <c r="V460" s="120" t="str">
        <f t="shared" si="210"/>
        <v>CRP:8</v>
      </c>
    </row>
    <row r="461" spans="1:22" ht="12.75" hidden="1" customHeight="1" x14ac:dyDescent="0.25">
      <c r="A461" s="120">
        <f t="shared" ref="A461" si="212">GETPAYMONTH(DATE(YEAR(B461),MONTH(B461-4)+1,1))</f>
        <v>8</v>
      </c>
      <c r="B461" s="392">
        <v>43842</v>
      </c>
      <c r="C461" s="77" t="s">
        <v>57</v>
      </c>
      <c r="D461" s="231"/>
      <c r="E461" s="76"/>
      <c r="F461" s="76"/>
      <c r="G461" s="76"/>
      <c r="H461" s="77"/>
      <c r="J461" s="138"/>
      <c r="V461" s="120" t="str">
        <f t="shared" ref="V461" si="213">C461 &amp;":"&amp; A461</f>
        <v>CRP:8</v>
      </c>
    </row>
    <row r="462" spans="1:22" ht="12.75" hidden="1" customHeight="1" x14ac:dyDescent="0.25">
      <c r="A462" s="120">
        <f t="shared" si="211"/>
        <v>8</v>
      </c>
      <c r="B462" s="392">
        <v>43842</v>
      </c>
      <c r="C462" s="77" t="s">
        <v>57</v>
      </c>
      <c r="D462" s="231"/>
      <c r="E462" s="76"/>
      <c r="F462" s="76"/>
      <c r="G462" s="76"/>
      <c r="H462" s="77"/>
      <c r="I462" s="384"/>
      <c r="J462" s="138"/>
      <c r="V462" s="120" t="str">
        <f t="shared" si="210"/>
        <v>CRP:8</v>
      </c>
    </row>
    <row r="463" spans="1:22" ht="12.75" hidden="1" customHeight="1" x14ac:dyDescent="0.25">
      <c r="A463" s="120">
        <f t="shared" si="211"/>
        <v>8</v>
      </c>
      <c r="B463" s="392">
        <v>43849</v>
      </c>
      <c r="C463" s="77" t="s">
        <v>57</v>
      </c>
      <c r="D463" s="231"/>
      <c r="E463" s="76"/>
      <c r="F463" s="76"/>
      <c r="G463" s="76"/>
      <c r="H463" s="77"/>
      <c r="I463" s="384"/>
      <c r="J463" s="138"/>
      <c r="V463" s="120" t="str">
        <f t="shared" si="210"/>
        <v>CRP:8</v>
      </c>
    </row>
    <row r="464" spans="1:22" ht="12.75" hidden="1" customHeight="1" x14ac:dyDescent="0.25">
      <c r="A464" s="120">
        <f t="shared" si="211"/>
        <v>8</v>
      </c>
      <c r="B464" s="392">
        <v>43856</v>
      </c>
      <c r="C464" s="77" t="s">
        <v>57</v>
      </c>
      <c r="D464" s="231"/>
      <c r="E464" s="76"/>
      <c r="F464" s="76"/>
      <c r="G464" s="76"/>
      <c r="H464" s="77"/>
      <c r="I464" s="22"/>
      <c r="J464" s="138"/>
      <c r="V464" s="120" t="str">
        <f t="shared" si="210"/>
        <v>CRP:8</v>
      </c>
    </row>
    <row r="465" spans="1:22" ht="12.75" hidden="1" customHeight="1" x14ac:dyDescent="0.25">
      <c r="A465" s="120">
        <f>GETPAYMONTH(DATE(YEAR(B465),MONTH(B465-4)+1,1))</f>
        <v>8</v>
      </c>
      <c r="B465" s="392">
        <v>43863</v>
      </c>
      <c r="C465" s="77" t="s">
        <v>57</v>
      </c>
      <c r="D465" s="238"/>
      <c r="E465" s="78"/>
      <c r="F465" s="78"/>
      <c r="G465" s="78"/>
      <c r="H465" s="79"/>
      <c r="J465" s="138"/>
      <c r="V465" s="120" t="str">
        <f>C465 &amp;":"&amp; A465</f>
        <v>CRP:8</v>
      </c>
    </row>
    <row r="466" spans="1:22" ht="12.75" hidden="1" customHeight="1" x14ac:dyDescent="0.25">
      <c r="A466" s="123">
        <f>GETPAYMONTH(DATE(YEAR(B466),MONTH(B466-4)+1,1))</f>
        <v>8</v>
      </c>
      <c r="B466" s="394">
        <v>43863</v>
      </c>
      <c r="C466" s="79" t="s">
        <v>58</v>
      </c>
      <c r="D466" s="269"/>
      <c r="E466" s="78">
        <f>SUM(E460:E465)</f>
        <v>0</v>
      </c>
      <c r="F466" s="78"/>
      <c r="G466" s="78"/>
      <c r="H466" s="79"/>
      <c r="J466" s="138"/>
      <c r="V466" s="120" t="str">
        <f t="shared" ref="V466:V470" si="214">C466 &amp;":"&amp; A466</f>
        <v>SM:8</v>
      </c>
    </row>
    <row r="467" spans="1:22" ht="12.75" hidden="1" customHeight="1" x14ac:dyDescent="0.25">
      <c r="A467" s="120">
        <f t="shared" si="211"/>
        <v>9</v>
      </c>
      <c r="B467" s="392">
        <v>43870</v>
      </c>
      <c r="C467" s="77" t="s">
        <v>57</v>
      </c>
      <c r="D467" s="238"/>
      <c r="E467" s="76"/>
      <c r="F467" s="76"/>
      <c r="G467" s="76"/>
      <c r="H467" s="77"/>
      <c r="J467" s="138"/>
      <c r="V467" s="120" t="str">
        <f t="shared" si="214"/>
        <v>CRP:9</v>
      </c>
    </row>
    <row r="468" spans="1:22" ht="12.75" hidden="1" customHeight="1" x14ac:dyDescent="0.25">
      <c r="A468" s="120">
        <f t="shared" ref="A468" si="215">GETPAYMONTH(DATE(YEAR(B468),MONTH(B468-4)+1,1))</f>
        <v>9</v>
      </c>
      <c r="B468" s="392">
        <v>43877</v>
      </c>
      <c r="C468" s="77" t="s">
        <v>57</v>
      </c>
      <c r="D468" s="238"/>
      <c r="E468" s="76"/>
      <c r="F468" s="76"/>
      <c r="G468" s="76"/>
      <c r="H468" s="77"/>
      <c r="J468" s="138"/>
      <c r="V468" s="120" t="str">
        <f t="shared" si="214"/>
        <v>CRP:9</v>
      </c>
    </row>
    <row r="469" spans="1:22" ht="12.75" hidden="1" customHeight="1" x14ac:dyDescent="0.25">
      <c r="A469" s="120">
        <f t="shared" si="211"/>
        <v>9</v>
      </c>
      <c r="B469" s="392">
        <v>43884</v>
      </c>
      <c r="C469" s="77" t="s">
        <v>57</v>
      </c>
      <c r="D469" s="238"/>
      <c r="E469" s="76"/>
      <c r="F469" s="76"/>
      <c r="G469" s="76"/>
      <c r="H469" s="77"/>
      <c r="J469" s="138"/>
      <c r="V469" s="120" t="str">
        <f t="shared" si="214"/>
        <v>CRP:9</v>
      </c>
    </row>
    <row r="470" spans="1:22" ht="12.75" hidden="1" customHeight="1" x14ac:dyDescent="0.25">
      <c r="A470" s="120">
        <f t="shared" si="211"/>
        <v>9</v>
      </c>
      <c r="B470" s="392">
        <v>43891</v>
      </c>
      <c r="C470" s="77" t="s">
        <v>57</v>
      </c>
      <c r="D470" s="238"/>
      <c r="E470" s="78"/>
      <c r="F470" s="78"/>
      <c r="G470" s="78"/>
      <c r="H470" s="79"/>
      <c r="J470" s="138"/>
      <c r="V470" s="120" t="str">
        <f t="shared" si="214"/>
        <v>CRP:9</v>
      </c>
    </row>
    <row r="471" spans="1:22" ht="12.75" hidden="1" customHeight="1" x14ac:dyDescent="0.25">
      <c r="A471" s="123">
        <f t="shared" si="211"/>
        <v>9</v>
      </c>
      <c r="B471" s="394">
        <v>43891</v>
      </c>
      <c r="C471" s="79" t="s">
        <v>58</v>
      </c>
      <c r="D471" s="269"/>
      <c r="E471" s="78">
        <f>SUM(E467:E470)</f>
        <v>0</v>
      </c>
      <c r="F471" s="78"/>
      <c r="G471" s="78"/>
      <c r="H471" s="79"/>
      <c r="J471" s="138"/>
      <c r="V471" s="120" t="str">
        <f t="shared" ref="V471:V673" si="216">C471 &amp;":"&amp; A471</f>
        <v>SM:9</v>
      </c>
    </row>
    <row r="472" spans="1:22" ht="12.75" hidden="1" customHeight="1" x14ac:dyDescent="0.25">
      <c r="A472" s="120">
        <f t="shared" si="211"/>
        <v>10</v>
      </c>
      <c r="B472" s="392">
        <v>43898</v>
      </c>
      <c r="C472" s="77" t="s">
        <v>57</v>
      </c>
      <c r="D472" s="238"/>
      <c r="E472" s="74"/>
      <c r="F472" s="74"/>
      <c r="G472" s="74"/>
      <c r="H472" s="75"/>
      <c r="J472" s="138"/>
      <c r="V472" s="120" t="str">
        <f t="shared" si="216"/>
        <v>CRP:10</v>
      </c>
    </row>
    <row r="473" spans="1:22" ht="12.75" hidden="1" customHeight="1" x14ac:dyDescent="0.25">
      <c r="A473" s="120">
        <f t="shared" si="211"/>
        <v>10</v>
      </c>
      <c r="B473" s="392">
        <v>43905</v>
      </c>
      <c r="C473" s="77" t="s">
        <v>57</v>
      </c>
      <c r="D473" s="231"/>
      <c r="E473" s="76"/>
      <c r="F473" s="76"/>
      <c r="G473" s="76"/>
      <c r="H473" s="77"/>
      <c r="J473" s="138"/>
      <c r="K473" s="62"/>
      <c r="V473" s="120" t="str">
        <f t="shared" si="216"/>
        <v>CRP:10</v>
      </c>
    </row>
    <row r="474" spans="1:22" ht="12.75" hidden="1" customHeight="1" x14ac:dyDescent="0.25">
      <c r="A474" s="120">
        <f t="shared" si="211"/>
        <v>10</v>
      </c>
      <c r="B474" s="392">
        <v>43912</v>
      </c>
      <c r="C474" s="77" t="s">
        <v>57</v>
      </c>
      <c r="D474" s="231"/>
      <c r="E474" s="76"/>
      <c r="F474" s="76"/>
      <c r="G474" s="76"/>
      <c r="H474" s="77"/>
      <c r="J474" s="138"/>
      <c r="V474" s="120" t="str">
        <f t="shared" si="216"/>
        <v>CRP:10</v>
      </c>
    </row>
    <row r="475" spans="1:22" ht="12.75" hidden="1" customHeight="1" x14ac:dyDescent="0.25">
      <c r="A475" s="120">
        <f t="shared" ref="A475" si="217">GETPAYMONTH(DATE(YEAR(B475),MONTH(B475-4)+1,1))</f>
        <v>10</v>
      </c>
      <c r="B475" s="392">
        <v>43919</v>
      </c>
      <c r="C475" s="77" t="s">
        <v>57</v>
      </c>
      <c r="D475" s="231"/>
      <c r="E475" s="78"/>
      <c r="F475" s="78"/>
      <c r="G475" s="78"/>
      <c r="H475" s="79"/>
      <c r="J475" s="138"/>
      <c r="V475" s="120" t="str">
        <f t="shared" si="216"/>
        <v>CRP:10</v>
      </c>
    </row>
    <row r="476" spans="1:22" ht="12.75" hidden="1" customHeight="1" x14ac:dyDescent="0.25">
      <c r="A476" s="123">
        <f>GETPAYMONTH(DATE(YEAR(B476),MONTH(B476-4)+1,1))</f>
        <v>10</v>
      </c>
      <c r="B476" s="394">
        <v>43919</v>
      </c>
      <c r="C476" s="79" t="s">
        <v>58</v>
      </c>
      <c r="D476" s="269"/>
      <c r="E476" s="78">
        <f>SUM(E472:E475)</f>
        <v>0</v>
      </c>
      <c r="F476" s="78"/>
      <c r="G476" s="78"/>
      <c r="H476" s="79"/>
      <c r="J476" s="138"/>
      <c r="V476" s="120" t="str">
        <f>C476 &amp;":"&amp; A476</f>
        <v>SM:10</v>
      </c>
    </row>
    <row r="477" spans="1:22" ht="12.75" hidden="1" customHeight="1" x14ac:dyDescent="0.25">
      <c r="A477" s="120">
        <f t="shared" si="211"/>
        <v>11</v>
      </c>
      <c r="B477" s="392">
        <v>43926</v>
      </c>
      <c r="C477" s="77" t="s">
        <v>57</v>
      </c>
      <c r="D477" s="231"/>
      <c r="E477" s="76"/>
      <c r="F477" s="76"/>
      <c r="G477" s="76"/>
      <c r="H477" s="77"/>
      <c r="J477" s="138"/>
      <c r="V477" s="120" t="str">
        <f t="shared" si="216"/>
        <v>CRP:11</v>
      </c>
    </row>
    <row r="478" spans="1:22" ht="12.75" hidden="1" customHeight="1" x14ac:dyDescent="0.25">
      <c r="A478" s="120">
        <f t="shared" ref="A478" si="218">GETPAYMONTH(DATE(YEAR(B478),MONTH(B478-4)+1,1))</f>
        <v>11</v>
      </c>
      <c r="B478" s="392">
        <v>43933</v>
      </c>
      <c r="C478" s="77" t="s">
        <v>57</v>
      </c>
      <c r="D478" s="231"/>
      <c r="E478" s="76"/>
      <c r="F478" s="76"/>
      <c r="G478" s="76"/>
      <c r="H478" s="77"/>
      <c r="J478" s="138"/>
      <c r="V478" s="120" t="str">
        <f t="shared" ref="V478" si="219">C478 &amp;":"&amp; A478</f>
        <v>CRP:11</v>
      </c>
    </row>
    <row r="479" spans="1:22" ht="12.75" hidden="1" customHeight="1" x14ac:dyDescent="0.25">
      <c r="A479" s="120">
        <f t="shared" si="211"/>
        <v>11</v>
      </c>
      <c r="B479" s="392">
        <v>43940</v>
      </c>
      <c r="C479" s="77" t="s">
        <v>57</v>
      </c>
      <c r="D479" s="231"/>
      <c r="E479" s="76"/>
      <c r="F479" s="76"/>
      <c r="G479" s="76"/>
      <c r="H479" s="77"/>
      <c r="J479" s="138"/>
      <c r="V479" s="120" t="str">
        <f t="shared" si="216"/>
        <v>CRP:11</v>
      </c>
    </row>
    <row r="480" spans="1:22" ht="12.75" hidden="1" customHeight="1" x14ac:dyDescent="0.25">
      <c r="A480" s="120">
        <f t="shared" si="211"/>
        <v>11</v>
      </c>
      <c r="B480" s="392">
        <v>43947</v>
      </c>
      <c r="C480" s="77" t="s">
        <v>57</v>
      </c>
      <c r="D480" s="231"/>
      <c r="E480" s="78"/>
      <c r="F480" s="78"/>
      <c r="G480" s="78"/>
      <c r="H480" s="79"/>
      <c r="J480" s="138"/>
      <c r="V480" s="120" t="str">
        <f t="shared" si="216"/>
        <v>CRP:11</v>
      </c>
    </row>
    <row r="481" spans="1:22" ht="12.75" hidden="1" customHeight="1" x14ac:dyDescent="0.25">
      <c r="A481" s="123">
        <f t="shared" si="211"/>
        <v>11</v>
      </c>
      <c r="B481" s="394">
        <v>43947</v>
      </c>
      <c r="C481" s="79" t="s">
        <v>58</v>
      </c>
      <c r="D481" s="269"/>
      <c r="E481" s="78">
        <f>SUM(E477:E480)</f>
        <v>0</v>
      </c>
      <c r="F481" s="78"/>
      <c r="G481" s="78"/>
      <c r="H481" s="79"/>
      <c r="J481" s="138"/>
      <c r="V481" s="120" t="str">
        <f t="shared" si="216"/>
        <v>SM:11</v>
      </c>
    </row>
    <row r="482" spans="1:22" ht="12.75" hidden="1" customHeight="1" x14ac:dyDescent="0.25">
      <c r="A482" s="120">
        <f t="shared" si="211"/>
        <v>11</v>
      </c>
      <c r="B482" s="392">
        <v>43954</v>
      </c>
      <c r="C482" s="77" t="s">
        <v>57</v>
      </c>
      <c r="D482" s="231"/>
      <c r="E482" s="74"/>
      <c r="F482" s="74"/>
      <c r="G482" s="74"/>
      <c r="H482" s="75"/>
      <c r="J482" s="138"/>
      <c r="K482" s="253"/>
      <c r="V482" s="120" t="str">
        <f t="shared" si="216"/>
        <v>CRP:11</v>
      </c>
    </row>
    <row r="483" spans="1:22" ht="12.75" hidden="1" customHeight="1" x14ac:dyDescent="0.25">
      <c r="A483" s="120">
        <f t="shared" si="211"/>
        <v>12</v>
      </c>
      <c r="B483" s="392">
        <v>43961</v>
      </c>
      <c r="C483" s="77" t="s">
        <v>57</v>
      </c>
      <c r="D483" s="231"/>
      <c r="E483" s="76"/>
      <c r="F483" s="76"/>
      <c r="G483" s="76"/>
      <c r="H483" s="77"/>
      <c r="J483" s="138"/>
      <c r="K483" s="253"/>
      <c r="V483" s="120" t="str">
        <f t="shared" si="216"/>
        <v>CRP:12</v>
      </c>
    </row>
    <row r="484" spans="1:22" ht="12.75" hidden="1" customHeight="1" x14ac:dyDescent="0.25">
      <c r="A484" s="120">
        <f t="shared" si="211"/>
        <v>12</v>
      </c>
      <c r="B484" s="392">
        <v>43968</v>
      </c>
      <c r="C484" s="77" t="s">
        <v>57</v>
      </c>
      <c r="D484" s="231"/>
      <c r="E484" s="76"/>
      <c r="F484" s="76"/>
      <c r="G484" s="76"/>
      <c r="H484" s="77"/>
      <c r="J484" s="138"/>
      <c r="K484" s="353"/>
      <c r="L484" s="161"/>
      <c r="M484" s="161"/>
      <c r="V484" s="120" t="str">
        <f t="shared" si="216"/>
        <v>CRP:12</v>
      </c>
    </row>
    <row r="485" spans="1:22" ht="12.75" hidden="1" customHeight="1" x14ac:dyDescent="0.25">
      <c r="A485" s="120">
        <f t="shared" si="211"/>
        <v>12</v>
      </c>
      <c r="B485" s="392">
        <v>43975</v>
      </c>
      <c r="C485" s="77" t="s">
        <v>57</v>
      </c>
      <c r="D485" s="231"/>
      <c r="E485" s="76"/>
      <c r="F485" s="76"/>
      <c r="G485" s="76"/>
      <c r="H485" s="77"/>
      <c r="J485" s="138"/>
      <c r="K485" s="253"/>
      <c r="V485" s="120" t="str">
        <f t="shared" si="216"/>
        <v>CRP:12</v>
      </c>
    </row>
    <row r="486" spans="1:22" ht="12.75" hidden="1" customHeight="1" x14ac:dyDescent="0.25">
      <c r="A486" s="120">
        <f t="shared" si="211"/>
        <v>12</v>
      </c>
      <c r="B486" s="392">
        <v>43982</v>
      </c>
      <c r="C486" s="77" t="s">
        <v>57</v>
      </c>
      <c r="D486" s="231"/>
      <c r="E486" s="78"/>
      <c r="F486" s="78"/>
      <c r="G486" s="78"/>
      <c r="H486" s="79"/>
      <c r="J486" s="138"/>
      <c r="K486" s="253"/>
      <c r="V486" s="120" t="str">
        <f t="shared" si="216"/>
        <v>CRP:12</v>
      </c>
    </row>
    <row r="487" spans="1:22" ht="12.75" hidden="1" customHeight="1" x14ac:dyDescent="0.25">
      <c r="A487" s="123">
        <f t="shared" si="211"/>
        <v>12</v>
      </c>
      <c r="B487" s="394">
        <v>43982</v>
      </c>
      <c r="C487" s="79" t="s">
        <v>58</v>
      </c>
      <c r="D487" s="269"/>
      <c r="E487" s="78">
        <f>SUM(E482:E486)</f>
        <v>0</v>
      </c>
      <c r="F487" s="78"/>
      <c r="G487" s="78"/>
      <c r="H487" s="79"/>
      <c r="J487" s="138"/>
      <c r="K487" s="253"/>
      <c r="V487" s="120" t="str">
        <f t="shared" si="216"/>
        <v>SM:12</v>
      </c>
    </row>
    <row r="488" spans="1:22" ht="12.75" customHeight="1" x14ac:dyDescent="0.25">
      <c r="A488" s="120">
        <v>1</v>
      </c>
      <c r="B488" s="392">
        <v>43625</v>
      </c>
      <c r="C488" s="77" t="s">
        <v>657</v>
      </c>
      <c r="D488" s="231">
        <v>43640</v>
      </c>
      <c r="E488" s="76">
        <v>5</v>
      </c>
      <c r="F488" s="76"/>
      <c r="G488" s="76"/>
      <c r="H488" s="77">
        <v>590143</v>
      </c>
      <c r="J488" s="138"/>
      <c r="U488" s="129"/>
      <c r="V488" s="120" t="str">
        <f t="shared" si="216"/>
        <v>VAK:1</v>
      </c>
    </row>
    <row r="489" spans="1:22" ht="12.75" customHeight="1" x14ac:dyDescent="0.25">
      <c r="A489" s="120">
        <f t="shared" ref="A489:A497" si="220">GETPAYMONTH(DATE(YEAR(B489),MONTH(B489-4)+1,1))</f>
        <v>1</v>
      </c>
      <c r="B489" s="392">
        <v>43632</v>
      </c>
      <c r="C489" s="77" t="s">
        <v>657</v>
      </c>
      <c r="D489" s="231">
        <v>43647</v>
      </c>
      <c r="E489" s="76">
        <v>5.5</v>
      </c>
      <c r="F489" s="76"/>
      <c r="G489" s="76"/>
      <c r="H489" s="77">
        <v>590144</v>
      </c>
      <c r="J489" s="138"/>
      <c r="K489" s="22"/>
      <c r="U489" s="129"/>
      <c r="V489" s="120" t="str">
        <f t="shared" si="216"/>
        <v>VAK:1</v>
      </c>
    </row>
    <row r="490" spans="1:22" ht="12.75" customHeight="1" x14ac:dyDescent="0.25">
      <c r="A490" s="120">
        <f t="shared" si="220"/>
        <v>1</v>
      </c>
      <c r="B490" s="392">
        <v>43639</v>
      </c>
      <c r="C490" s="77" t="s">
        <v>657</v>
      </c>
      <c r="D490" s="231">
        <v>43654</v>
      </c>
      <c r="E490" s="76">
        <v>5</v>
      </c>
      <c r="F490" s="76"/>
      <c r="G490" s="76"/>
      <c r="H490" s="77">
        <v>590145</v>
      </c>
      <c r="J490" s="138"/>
      <c r="U490" s="129"/>
      <c r="V490" s="120" t="str">
        <f t="shared" si="216"/>
        <v>VAK:1</v>
      </c>
    </row>
    <row r="491" spans="1:22" ht="12.75" customHeight="1" x14ac:dyDescent="0.25">
      <c r="A491" s="120">
        <f t="shared" si="220"/>
        <v>1</v>
      </c>
      <c r="B491" s="392">
        <v>43646</v>
      </c>
      <c r="C491" s="77" t="s">
        <v>657</v>
      </c>
      <c r="D491" s="231">
        <v>43661</v>
      </c>
      <c r="E491" s="76">
        <v>5</v>
      </c>
      <c r="F491" s="76"/>
      <c r="G491" s="76"/>
      <c r="H491" s="77">
        <v>590146</v>
      </c>
      <c r="J491" s="138"/>
      <c r="U491" s="129"/>
      <c r="V491" s="120" t="str">
        <f t="shared" si="216"/>
        <v>VAK:1</v>
      </c>
    </row>
    <row r="492" spans="1:22" ht="12.75" hidden="1" customHeight="1" x14ac:dyDescent="0.25">
      <c r="A492" s="123">
        <f t="shared" si="220"/>
        <v>1</v>
      </c>
      <c r="B492" s="394">
        <v>43646</v>
      </c>
      <c r="C492" s="79" t="s">
        <v>658</v>
      </c>
      <c r="D492" s="269"/>
      <c r="E492" s="316">
        <f>SUM(E488:E491)</f>
        <v>20.5</v>
      </c>
      <c r="F492" s="316"/>
      <c r="G492" s="316"/>
      <c r="H492" s="315"/>
      <c r="J492" s="138"/>
      <c r="V492" s="120" t="str">
        <f t="shared" si="216"/>
        <v>ASW:1</v>
      </c>
    </row>
    <row r="493" spans="1:22" ht="12.75" customHeight="1" x14ac:dyDescent="0.25">
      <c r="A493" s="120">
        <f t="shared" si="220"/>
        <v>2</v>
      </c>
      <c r="B493" s="392">
        <v>43653</v>
      </c>
      <c r="C493" s="77" t="s">
        <v>657</v>
      </c>
      <c r="D493" s="231">
        <v>43668</v>
      </c>
      <c r="E493" s="74">
        <v>5</v>
      </c>
      <c r="F493" s="74"/>
      <c r="G493" s="74"/>
      <c r="H493" s="75">
        <v>590247</v>
      </c>
      <c r="J493" s="138"/>
      <c r="V493" s="120" t="str">
        <f t="shared" si="216"/>
        <v>VAK:2</v>
      </c>
    </row>
    <row r="494" spans="1:22" ht="12.75" customHeight="1" x14ac:dyDescent="0.25">
      <c r="A494" s="120">
        <f t="shared" si="220"/>
        <v>2</v>
      </c>
      <c r="B494" s="392">
        <v>43660</v>
      </c>
      <c r="C494" s="77" t="s">
        <v>657</v>
      </c>
      <c r="D494" s="231">
        <v>43675</v>
      </c>
      <c r="E494" s="76">
        <v>5</v>
      </c>
      <c r="F494" s="76"/>
      <c r="G494" s="76"/>
      <c r="H494" s="77">
        <v>590248</v>
      </c>
      <c r="J494" s="138"/>
      <c r="V494" s="120" t="str">
        <f t="shared" si="216"/>
        <v>VAK:2</v>
      </c>
    </row>
    <row r="495" spans="1:22" ht="12.75" customHeight="1" x14ac:dyDescent="0.25">
      <c r="A495" s="120">
        <f t="shared" si="220"/>
        <v>2</v>
      </c>
      <c r="B495" s="392">
        <v>43667</v>
      </c>
      <c r="C495" s="77" t="s">
        <v>657</v>
      </c>
      <c r="D495" s="231">
        <v>43682</v>
      </c>
      <c r="E495" s="76">
        <v>5</v>
      </c>
      <c r="F495" s="76"/>
      <c r="G495" s="76"/>
      <c r="H495" s="77">
        <v>590249</v>
      </c>
      <c r="J495" s="138"/>
      <c r="U495" s="129"/>
      <c r="V495" s="120" t="str">
        <f t="shared" si="216"/>
        <v>VAK:2</v>
      </c>
    </row>
    <row r="496" spans="1:22" ht="12.75" customHeight="1" x14ac:dyDescent="0.25">
      <c r="A496" s="120">
        <f t="shared" si="220"/>
        <v>2</v>
      </c>
      <c r="B496" s="392">
        <v>43674</v>
      </c>
      <c r="C496" s="77" t="s">
        <v>657</v>
      </c>
      <c r="D496" s="231">
        <v>43689</v>
      </c>
      <c r="E496" s="78">
        <v>5</v>
      </c>
      <c r="F496" s="78"/>
      <c r="G496" s="78"/>
      <c r="H496" s="79">
        <v>590250</v>
      </c>
      <c r="J496" s="138"/>
      <c r="V496" s="120" t="str">
        <f t="shared" si="216"/>
        <v>VAK:2</v>
      </c>
    </row>
    <row r="497" spans="1:22" ht="12.75" hidden="1" customHeight="1" x14ac:dyDescent="0.25">
      <c r="A497" s="123">
        <f t="shared" si="220"/>
        <v>2</v>
      </c>
      <c r="B497" s="394">
        <v>43674</v>
      </c>
      <c r="C497" s="79" t="s">
        <v>658</v>
      </c>
      <c r="D497" s="269"/>
      <c r="E497" s="78">
        <f>SUM(E493:E496)</f>
        <v>20</v>
      </c>
      <c r="F497" s="78"/>
      <c r="G497" s="78"/>
      <c r="H497" s="79"/>
      <c r="J497" s="138"/>
      <c r="V497" s="120" t="str">
        <f t="shared" si="216"/>
        <v>ASW:2</v>
      </c>
    </row>
    <row r="498" spans="1:22" ht="12.75" customHeight="1" x14ac:dyDescent="0.25">
      <c r="A498" s="120">
        <f t="shared" si="211"/>
        <v>2</v>
      </c>
      <c r="B498" s="392">
        <v>43681</v>
      </c>
      <c r="C498" s="77" t="s">
        <v>657</v>
      </c>
      <c r="D498" s="231">
        <v>43696</v>
      </c>
      <c r="E498" s="74">
        <v>5</v>
      </c>
      <c r="F498" s="74"/>
      <c r="G498" s="74"/>
      <c r="H498" s="75">
        <v>590251</v>
      </c>
      <c r="J498" s="138"/>
      <c r="V498" s="120" t="str">
        <f t="shared" si="216"/>
        <v>VAK:2</v>
      </c>
    </row>
    <row r="499" spans="1:22" ht="12.75" customHeight="1" x14ac:dyDescent="0.25">
      <c r="A499" s="120">
        <f t="shared" si="211"/>
        <v>3</v>
      </c>
      <c r="B499" s="392">
        <v>43688</v>
      </c>
      <c r="C499" s="77" t="s">
        <v>657</v>
      </c>
      <c r="D499" s="231">
        <v>43703</v>
      </c>
      <c r="E499" s="76">
        <v>5</v>
      </c>
      <c r="F499" s="76"/>
      <c r="G499" s="76"/>
      <c r="H499" s="77">
        <v>590252</v>
      </c>
      <c r="I499" s="328"/>
      <c r="J499" s="138"/>
      <c r="U499" s="129"/>
      <c r="V499" s="120" t="str">
        <f t="shared" si="216"/>
        <v>VAK:3</v>
      </c>
    </row>
    <row r="500" spans="1:22" ht="12.75" customHeight="1" x14ac:dyDescent="0.25">
      <c r="A500" s="120">
        <f t="shared" si="211"/>
        <v>3</v>
      </c>
      <c r="B500" s="392">
        <v>43695</v>
      </c>
      <c r="C500" s="77" t="s">
        <v>657</v>
      </c>
      <c r="D500" s="231">
        <v>43710</v>
      </c>
      <c r="E500" s="76">
        <v>5</v>
      </c>
      <c r="F500" s="76"/>
      <c r="G500" s="76"/>
      <c r="H500" s="77">
        <v>590253</v>
      </c>
      <c r="I500" s="328"/>
      <c r="J500" s="138"/>
      <c r="V500" s="120" t="str">
        <f t="shared" si="216"/>
        <v>VAK:3</v>
      </c>
    </row>
    <row r="501" spans="1:22" ht="12.75" customHeight="1" x14ac:dyDescent="0.25">
      <c r="A501" s="120">
        <f t="shared" si="211"/>
        <v>3</v>
      </c>
      <c r="B501" s="392">
        <v>43702</v>
      </c>
      <c r="C501" s="77" t="s">
        <v>657</v>
      </c>
      <c r="D501" s="231"/>
      <c r="E501" s="76">
        <v>5</v>
      </c>
      <c r="F501" s="76"/>
      <c r="G501" s="76"/>
      <c r="H501" s="77">
        <v>590254</v>
      </c>
      <c r="J501" s="138"/>
      <c r="V501" s="120" t="str">
        <f t="shared" si="216"/>
        <v>VAK:3</v>
      </c>
    </row>
    <row r="502" spans="1:22" ht="12.75" customHeight="1" x14ac:dyDescent="0.25">
      <c r="A502" s="120">
        <f t="shared" si="211"/>
        <v>3</v>
      </c>
      <c r="B502" s="392">
        <v>43709</v>
      </c>
      <c r="C502" s="77" t="s">
        <v>657</v>
      </c>
      <c r="D502" s="231"/>
      <c r="E502" s="78"/>
      <c r="F502" s="78"/>
      <c r="G502" s="78"/>
      <c r="H502" s="79"/>
      <c r="J502" s="138"/>
      <c r="U502" s="129"/>
      <c r="V502" s="120" t="str">
        <f t="shared" si="216"/>
        <v>VAK:3</v>
      </c>
    </row>
    <row r="503" spans="1:22" ht="12.75" hidden="1" customHeight="1" x14ac:dyDescent="0.25">
      <c r="A503" s="123">
        <f t="shared" si="211"/>
        <v>3</v>
      </c>
      <c r="B503" s="394">
        <v>43709</v>
      </c>
      <c r="C503" s="79" t="s">
        <v>658</v>
      </c>
      <c r="D503" s="269"/>
      <c r="E503" s="78">
        <f>SUM(E498:E502)</f>
        <v>20</v>
      </c>
      <c r="F503" s="78"/>
      <c r="G503" s="78"/>
      <c r="H503" s="79"/>
      <c r="J503" s="138"/>
      <c r="V503" s="120" t="str">
        <f t="shared" si="216"/>
        <v>ASW:3</v>
      </c>
    </row>
    <row r="504" spans="1:22" ht="12.75" customHeight="1" x14ac:dyDescent="0.25">
      <c r="A504" s="120">
        <f t="shared" si="211"/>
        <v>4</v>
      </c>
      <c r="B504" s="392">
        <v>43716</v>
      </c>
      <c r="C504" s="77" t="s">
        <v>657</v>
      </c>
      <c r="D504" s="231"/>
      <c r="E504" s="76"/>
      <c r="F504" s="76"/>
      <c r="G504" s="76"/>
      <c r="H504" s="77"/>
      <c r="J504" s="138"/>
      <c r="V504" s="120" t="str">
        <f t="shared" si="216"/>
        <v>VAK:4</v>
      </c>
    </row>
    <row r="505" spans="1:22" ht="12.75" customHeight="1" x14ac:dyDescent="0.25">
      <c r="A505" s="120">
        <f t="shared" si="211"/>
        <v>4</v>
      </c>
      <c r="B505" s="392">
        <v>43723</v>
      </c>
      <c r="C505" s="77" t="s">
        <v>657</v>
      </c>
      <c r="D505" s="231"/>
      <c r="E505" s="76"/>
      <c r="F505" s="76"/>
      <c r="G505" s="76"/>
      <c r="H505" s="77"/>
      <c r="J505" s="138"/>
      <c r="V505" s="120" t="str">
        <f t="shared" si="216"/>
        <v>VAK:4</v>
      </c>
    </row>
    <row r="506" spans="1:22" ht="12.75" customHeight="1" x14ac:dyDescent="0.25">
      <c r="A506" s="120">
        <f t="shared" si="211"/>
        <v>4</v>
      </c>
      <c r="B506" s="392">
        <v>43730</v>
      </c>
      <c r="C506" s="77" t="s">
        <v>657</v>
      </c>
      <c r="D506" s="231"/>
      <c r="E506" s="76"/>
      <c r="F506" s="76"/>
      <c r="G506" s="76"/>
      <c r="H506" s="77"/>
      <c r="J506" s="138"/>
      <c r="U506" s="129"/>
      <c r="V506" s="120" t="str">
        <f t="shared" si="216"/>
        <v>VAK:4</v>
      </c>
    </row>
    <row r="507" spans="1:22" ht="12.75" customHeight="1" x14ac:dyDescent="0.25">
      <c r="A507" s="120">
        <f t="shared" si="211"/>
        <v>4</v>
      </c>
      <c r="B507" s="392">
        <v>43737</v>
      </c>
      <c r="C507" s="77" t="s">
        <v>657</v>
      </c>
      <c r="D507" s="231"/>
      <c r="E507" s="78"/>
      <c r="F507" s="78"/>
      <c r="G507" s="78"/>
      <c r="H507" s="79"/>
      <c r="J507" s="138"/>
      <c r="V507" s="120" t="str">
        <f t="shared" si="216"/>
        <v>VAK:4</v>
      </c>
    </row>
    <row r="508" spans="1:22" ht="12.75" hidden="1" customHeight="1" x14ac:dyDescent="0.25">
      <c r="A508" s="123">
        <f t="shared" si="211"/>
        <v>4</v>
      </c>
      <c r="B508" s="394">
        <v>43737</v>
      </c>
      <c r="C508" s="79" t="s">
        <v>658</v>
      </c>
      <c r="D508" s="269"/>
      <c r="E508" s="78">
        <f>SUM(E504:E507)</f>
        <v>0</v>
      </c>
      <c r="F508" s="78"/>
      <c r="G508" s="78"/>
      <c r="H508" s="79"/>
      <c r="J508" s="138"/>
      <c r="V508" s="120" t="str">
        <f t="shared" si="216"/>
        <v>ASW:4</v>
      </c>
    </row>
    <row r="509" spans="1:22" ht="12.75" customHeight="1" x14ac:dyDescent="0.25">
      <c r="A509" s="120">
        <f t="shared" ref="A509:A517" si="221">GETPAYMONTH(DATE(YEAR(B509),MONTH(B509-4)+1,1))</f>
        <v>5</v>
      </c>
      <c r="B509" s="392">
        <v>43744</v>
      </c>
      <c r="C509" s="77" t="s">
        <v>657</v>
      </c>
      <c r="D509" s="231"/>
      <c r="E509" s="74"/>
      <c r="F509" s="74"/>
      <c r="G509" s="74"/>
      <c r="H509" s="75"/>
      <c r="J509" s="138"/>
      <c r="V509" s="120" t="str">
        <f t="shared" ref="V509:V517" si="222">C509 &amp;":"&amp; A509</f>
        <v>VAK:5</v>
      </c>
    </row>
    <row r="510" spans="1:22" ht="12.75" customHeight="1" x14ac:dyDescent="0.25">
      <c r="A510" s="120">
        <f t="shared" si="221"/>
        <v>5</v>
      </c>
      <c r="B510" s="392">
        <v>43751</v>
      </c>
      <c r="C510" s="77" t="s">
        <v>657</v>
      </c>
      <c r="D510" s="231"/>
      <c r="E510" s="76"/>
      <c r="F510" s="76"/>
      <c r="G510" s="76"/>
      <c r="H510" s="77"/>
      <c r="J510" s="138"/>
      <c r="U510" s="129"/>
      <c r="V510" s="120" t="str">
        <f t="shared" si="222"/>
        <v>VAK:5</v>
      </c>
    </row>
    <row r="511" spans="1:22" ht="12.75" customHeight="1" x14ac:dyDescent="0.25">
      <c r="A511" s="120">
        <f t="shared" si="221"/>
        <v>5</v>
      </c>
      <c r="B511" s="392">
        <v>43758</v>
      </c>
      <c r="C511" s="77" t="s">
        <v>657</v>
      </c>
      <c r="D511" s="231"/>
      <c r="E511" s="76"/>
      <c r="F511" s="76"/>
      <c r="G511" s="76"/>
      <c r="H511" s="77"/>
      <c r="J511" s="138"/>
      <c r="V511" s="120" t="str">
        <f t="shared" si="222"/>
        <v>VAK:5</v>
      </c>
    </row>
    <row r="512" spans="1:22" ht="12.75" customHeight="1" x14ac:dyDescent="0.25">
      <c r="A512" s="120">
        <f t="shared" si="221"/>
        <v>5</v>
      </c>
      <c r="B512" s="392">
        <v>43765</v>
      </c>
      <c r="C512" s="77" t="s">
        <v>657</v>
      </c>
      <c r="D512" s="231"/>
      <c r="E512" s="78"/>
      <c r="F512" s="78"/>
      <c r="G512" s="78"/>
      <c r="H512" s="79"/>
      <c r="J512" s="138"/>
      <c r="V512" s="120" t="str">
        <f t="shared" si="222"/>
        <v>VAK:5</v>
      </c>
    </row>
    <row r="513" spans="1:22" ht="12.75" hidden="1" customHeight="1" x14ac:dyDescent="0.25">
      <c r="A513" s="123">
        <f t="shared" si="221"/>
        <v>5</v>
      </c>
      <c r="B513" s="394">
        <v>43765</v>
      </c>
      <c r="C513" s="79" t="s">
        <v>658</v>
      </c>
      <c r="D513" s="269"/>
      <c r="E513" s="316">
        <f>SUM(E509:E512)</f>
        <v>0</v>
      </c>
      <c r="F513" s="316"/>
      <c r="G513" s="316"/>
      <c r="H513" s="315"/>
      <c r="J513" s="138"/>
      <c r="V513" s="120" t="str">
        <f t="shared" si="222"/>
        <v>ASW:5</v>
      </c>
    </row>
    <row r="514" spans="1:22" ht="12.75" customHeight="1" x14ac:dyDescent="0.25">
      <c r="A514" s="120">
        <f t="shared" si="221"/>
        <v>5</v>
      </c>
      <c r="B514" s="392">
        <v>43772</v>
      </c>
      <c r="C514" s="77" t="s">
        <v>657</v>
      </c>
      <c r="D514" s="231"/>
      <c r="E514" s="74"/>
      <c r="F514" s="74"/>
      <c r="G514" s="74"/>
      <c r="H514" s="75"/>
      <c r="J514" s="138"/>
      <c r="V514" s="120" t="str">
        <f t="shared" si="222"/>
        <v>VAK:5</v>
      </c>
    </row>
    <row r="515" spans="1:22" ht="12.75" customHeight="1" x14ac:dyDescent="0.25">
      <c r="A515" s="120">
        <f t="shared" si="221"/>
        <v>6</v>
      </c>
      <c r="B515" s="392">
        <v>43779</v>
      </c>
      <c r="C515" s="77" t="s">
        <v>657</v>
      </c>
      <c r="D515" s="231"/>
      <c r="E515" s="76"/>
      <c r="F515" s="76"/>
      <c r="G515" s="76"/>
      <c r="H515" s="77"/>
      <c r="J515" s="138"/>
      <c r="U515" s="129"/>
      <c r="V515" s="120" t="str">
        <f t="shared" si="222"/>
        <v>VAK:6</v>
      </c>
    </row>
    <row r="516" spans="1:22" ht="12.75" customHeight="1" x14ac:dyDescent="0.25">
      <c r="A516" s="120">
        <f t="shared" si="221"/>
        <v>6</v>
      </c>
      <c r="B516" s="392">
        <v>43786</v>
      </c>
      <c r="C516" s="77" t="s">
        <v>657</v>
      </c>
      <c r="D516" s="231"/>
      <c r="E516" s="76"/>
      <c r="F516" s="76"/>
      <c r="G516" s="76"/>
      <c r="H516" s="77"/>
      <c r="J516" s="138"/>
      <c r="V516" s="120" t="str">
        <f t="shared" si="222"/>
        <v>VAK:6</v>
      </c>
    </row>
    <row r="517" spans="1:22" ht="12.75" customHeight="1" x14ac:dyDescent="0.25">
      <c r="A517" s="120">
        <f t="shared" si="221"/>
        <v>6</v>
      </c>
      <c r="B517" s="392">
        <v>43793</v>
      </c>
      <c r="C517" s="77" t="s">
        <v>657</v>
      </c>
      <c r="D517" s="231"/>
      <c r="E517" s="78"/>
      <c r="F517" s="78"/>
      <c r="G517" s="78"/>
      <c r="H517" s="79"/>
      <c r="J517" s="138"/>
      <c r="V517" s="120" t="str">
        <f t="shared" si="222"/>
        <v>VAK:6</v>
      </c>
    </row>
    <row r="518" spans="1:22" ht="12.75" hidden="1" customHeight="1" x14ac:dyDescent="0.25">
      <c r="A518" s="123">
        <f>GETPAYMONTH(DATE(YEAR(B518),MONTH(B518-4)+1,1))</f>
        <v>6</v>
      </c>
      <c r="B518" s="394">
        <v>43800</v>
      </c>
      <c r="C518" s="79" t="s">
        <v>658</v>
      </c>
      <c r="D518" s="269"/>
      <c r="E518" s="78">
        <f>SUM(E514:E517)</f>
        <v>0</v>
      </c>
      <c r="F518" s="78"/>
      <c r="G518" s="78"/>
      <c r="H518" s="79"/>
      <c r="J518" s="138"/>
      <c r="U518" s="129"/>
      <c r="V518" s="120" t="str">
        <f>C518 &amp;":"&amp; A518</f>
        <v>ASW:6</v>
      </c>
    </row>
    <row r="519" spans="1:22" ht="12.75" customHeight="1" x14ac:dyDescent="0.25">
      <c r="A519" s="123">
        <f>GETPAYMONTH(DATE(YEAR(B519),MONTH(B519-4)+1,1))</f>
        <v>6</v>
      </c>
      <c r="B519" s="392">
        <v>43800</v>
      </c>
      <c r="C519" s="77" t="s">
        <v>657</v>
      </c>
      <c r="D519" s="231"/>
      <c r="E519" s="76"/>
      <c r="F519" s="76"/>
      <c r="G519" s="76"/>
      <c r="H519" s="77"/>
      <c r="J519" s="138"/>
      <c r="V519" s="120" t="str">
        <f>C519 &amp;":"&amp; A519</f>
        <v>VAK:6</v>
      </c>
    </row>
    <row r="520" spans="1:22" ht="12.75" customHeight="1" x14ac:dyDescent="0.25">
      <c r="A520" s="120">
        <f t="shared" ref="A520:A566" si="223">GETPAYMONTH(DATE(YEAR(B520),MONTH(B520-4)+1,1))</f>
        <v>7</v>
      </c>
      <c r="B520" s="392">
        <v>43807</v>
      </c>
      <c r="C520" s="77" t="s">
        <v>657</v>
      </c>
      <c r="D520" s="231"/>
      <c r="E520" s="76"/>
      <c r="F520" s="76"/>
      <c r="G520" s="76"/>
      <c r="H520" s="77"/>
      <c r="J520" s="138"/>
      <c r="V520" s="120" t="str">
        <f t="shared" ref="V520:V528" si="224">C520 &amp;":"&amp; A520</f>
        <v>VAK:7</v>
      </c>
    </row>
    <row r="521" spans="1:22" ht="12.75" customHeight="1" x14ac:dyDescent="0.25">
      <c r="A521" s="120">
        <f t="shared" si="223"/>
        <v>7</v>
      </c>
      <c r="B521" s="392">
        <v>43814</v>
      </c>
      <c r="C521" s="77" t="s">
        <v>657</v>
      </c>
      <c r="D521" s="231"/>
      <c r="E521" s="76"/>
      <c r="F521" s="76"/>
      <c r="G521" s="76"/>
      <c r="H521" s="77"/>
      <c r="J521" s="138"/>
      <c r="V521" s="120" t="str">
        <f t="shared" si="224"/>
        <v>VAK:7</v>
      </c>
    </row>
    <row r="522" spans="1:22" ht="12.75" customHeight="1" x14ac:dyDescent="0.25">
      <c r="A522" s="120">
        <f t="shared" si="223"/>
        <v>7</v>
      </c>
      <c r="B522" s="392">
        <v>43821</v>
      </c>
      <c r="C522" s="77" t="s">
        <v>657</v>
      </c>
      <c r="D522" s="231"/>
      <c r="E522" s="76"/>
      <c r="F522" s="76"/>
      <c r="G522" s="76"/>
      <c r="H522" s="77"/>
      <c r="J522" s="138"/>
      <c r="V522" s="120" t="str">
        <f t="shared" si="224"/>
        <v>VAK:7</v>
      </c>
    </row>
    <row r="523" spans="1:22" ht="12.75" customHeight="1" x14ac:dyDescent="0.25">
      <c r="A523" s="120">
        <f t="shared" si="223"/>
        <v>7</v>
      </c>
      <c r="B523" s="392">
        <v>43828</v>
      </c>
      <c r="C523" s="77" t="s">
        <v>657</v>
      </c>
      <c r="D523" s="231"/>
      <c r="E523" s="78"/>
      <c r="F523" s="78"/>
      <c r="G523" s="78"/>
      <c r="H523" s="79"/>
      <c r="J523" s="138"/>
      <c r="V523" s="120" t="str">
        <f t="shared" si="224"/>
        <v>VAK:7</v>
      </c>
    </row>
    <row r="524" spans="1:22" ht="12.75" hidden="1" customHeight="1" x14ac:dyDescent="0.25">
      <c r="A524" s="123">
        <f t="shared" si="223"/>
        <v>7</v>
      </c>
      <c r="B524" s="394">
        <v>43828</v>
      </c>
      <c r="C524" s="79" t="s">
        <v>658</v>
      </c>
      <c r="D524" s="269"/>
      <c r="E524" s="78">
        <f>SUM(E519:E523)</f>
        <v>0</v>
      </c>
      <c r="F524" s="78"/>
      <c r="G524" s="78"/>
      <c r="H524" s="79"/>
      <c r="J524" s="138"/>
      <c r="V524" s="120" t="str">
        <f t="shared" si="224"/>
        <v>ASW:7</v>
      </c>
    </row>
    <row r="525" spans="1:22" ht="12.75" customHeight="1" x14ac:dyDescent="0.25">
      <c r="A525" s="120">
        <f t="shared" si="223"/>
        <v>8</v>
      </c>
      <c r="B525" s="392">
        <v>43836</v>
      </c>
      <c r="C525" s="77" t="s">
        <v>657</v>
      </c>
      <c r="D525" s="231"/>
      <c r="E525" s="74"/>
      <c r="F525" s="74"/>
      <c r="G525" s="74"/>
      <c r="H525" s="75"/>
      <c r="J525" s="138"/>
      <c r="V525" s="120" t="str">
        <f t="shared" si="224"/>
        <v>VAK:8</v>
      </c>
    </row>
    <row r="526" spans="1:22" ht="12.75" customHeight="1" x14ac:dyDescent="0.25">
      <c r="A526" s="120">
        <f t="shared" si="223"/>
        <v>8</v>
      </c>
      <c r="B526" s="392">
        <v>43842</v>
      </c>
      <c r="C526" s="77" t="s">
        <v>657</v>
      </c>
      <c r="D526" s="231"/>
      <c r="E526" s="76"/>
      <c r="F526" s="76"/>
      <c r="G526" s="76"/>
      <c r="H526" s="77"/>
      <c r="J526" s="138"/>
      <c r="V526" s="120" t="str">
        <f t="shared" si="224"/>
        <v>VAK:8</v>
      </c>
    </row>
    <row r="527" spans="1:22" ht="12.75" customHeight="1" x14ac:dyDescent="0.25">
      <c r="A527" s="120">
        <f t="shared" si="223"/>
        <v>8</v>
      </c>
      <c r="B527" s="392">
        <v>43849</v>
      </c>
      <c r="C527" s="77" t="s">
        <v>657</v>
      </c>
      <c r="D527" s="231"/>
      <c r="E527" s="76"/>
      <c r="F527" s="76"/>
      <c r="G527" s="76"/>
      <c r="H527" s="77"/>
      <c r="J527" s="138"/>
      <c r="V527" s="120" t="str">
        <f t="shared" si="224"/>
        <v>VAK:8</v>
      </c>
    </row>
    <row r="528" spans="1:22" ht="12.75" customHeight="1" x14ac:dyDescent="0.25">
      <c r="A528" s="120">
        <f t="shared" si="223"/>
        <v>8</v>
      </c>
      <c r="B528" s="392">
        <v>43856</v>
      </c>
      <c r="C528" s="77" t="s">
        <v>657</v>
      </c>
      <c r="D528" s="231"/>
      <c r="E528" s="78"/>
      <c r="F528" s="78"/>
      <c r="G528" s="78"/>
      <c r="H528" s="79"/>
      <c r="I528" s="22"/>
      <c r="J528" s="138"/>
      <c r="V528" s="120" t="str">
        <f t="shared" si="224"/>
        <v>VAK:8</v>
      </c>
    </row>
    <row r="529" spans="1:22" ht="12.75" hidden="1" customHeight="1" x14ac:dyDescent="0.25">
      <c r="A529" s="395">
        <f t="shared" si="223"/>
        <v>8</v>
      </c>
      <c r="B529" s="394">
        <v>43863</v>
      </c>
      <c r="C529" s="79" t="s">
        <v>658</v>
      </c>
      <c r="D529" s="269"/>
      <c r="E529" s="316">
        <f>SUM(E525:E528)</f>
        <v>0</v>
      </c>
      <c r="F529" s="316"/>
      <c r="G529" s="316"/>
      <c r="H529" s="315"/>
      <c r="J529" s="138"/>
      <c r="V529" s="120" t="str">
        <f>C529 &amp;":"&amp; A529</f>
        <v>ASW:8</v>
      </c>
    </row>
    <row r="530" spans="1:22" ht="12.75" customHeight="1" x14ac:dyDescent="0.25">
      <c r="A530" s="395">
        <f t="shared" si="223"/>
        <v>8</v>
      </c>
      <c r="B530" s="392">
        <v>43863</v>
      </c>
      <c r="C530" s="77" t="s">
        <v>657</v>
      </c>
      <c r="D530" s="231"/>
      <c r="E530" s="74"/>
      <c r="F530" s="74"/>
      <c r="G530" s="74"/>
      <c r="H530" s="75"/>
      <c r="J530" s="138"/>
      <c r="V530" s="120" t="str">
        <f>C530 &amp;":"&amp; A530</f>
        <v>VAK:8</v>
      </c>
    </row>
    <row r="531" spans="1:22" ht="12.75" customHeight="1" x14ac:dyDescent="0.25">
      <c r="A531" s="395">
        <f t="shared" si="223"/>
        <v>9</v>
      </c>
      <c r="B531" s="392">
        <v>43870</v>
      </c>
      <c r="C531" s="77" t="s">
        <v>657</v>
      </c>
      <c r="D531" s="231"/>
      <c r="E531" s="76"/>
      <c r="F531" s="76"/>
      <c r="G531" s="76"/>
      <c r="H531" s="77"/>
      <c r="J531" s="138"/>
      <c r="V531" s="120" t="str">
        <f t="shared" ref="V531:V539" si="225">C531 &amp;":"&amp; A531</f>
        <v>VAK:9</v>
      </c>
    </row>
    <row r="532" spans="1:22" ht="12.75" customHeight="1" x14ac:dyDescent="0.25">
      <c r="A532" s="395">
        <f t="shared" si="223"/>
        <v>9</v>
      </c>
      <c r="B532" s="392">
        <v>43877</v>
      </c>
      <c r="C532" s="77" t="s">
        <v>657</v>
      </c>
      <c r="D532" s="231"/>
      <c r="E532" s="76"/>
      <c r="F532" s="76"/>
      <c r="G532" s="76"/>
      <c r="H532" s="77"/>
      <c r="J532" s="138"/>
      <c r="V532" s="120" t="str">
        <f t="shared" si="225"/>
        <v>VAK:9</v>
      </c>
    </row>
    <row r="533" spans="1:22" ht="12.75" customHeight="1" x14ac:dyDescent="0.25">
      <c r="A533" s="395">
        <f t="shared" si="223"/>
        <v>9</v>
      </c>
      <c r="B533" s="392">
        <v>43884</v>
      </c>
      <c r="C533" s="77" t="s">
        <v>657</v>
      </c>
      <c r="D533" s="231"/>
      <c r="E533" s="78"/>
      <c r="F533" s="78"/>
      <c r="G533" s="78"/>
      <c r="H533" s="79"/>
      <c r="J533" s="138"/>
      <c r="V533" s="120" t="str">
        <f t="shared" si="225"/>
        <v>VAK:9</v>
      </c>
    </row>
    <row r="534" spans="1:22" ht="12.75" hidden="1" customHeight="1" x14ac:dyDescent="0.25">
      <c r="A534" s="395">
        <f t="shared" si="223"/>
        <v>9</v>
      </c>
      <c r="B534" s="394">
        <v>43884</v>
      </c>
      <c r="C534" s="79" t="s">
        <v>658</v>
      </c>
      <c r="D534" s="269"/>
      <c r="E534" s="78">
        <f>SUM(E530:E533)</f>
        <v>0</v>
      </c>
      <c r="F534" s="78"/>
      <c r="G534" s="78"/>
      <c r="H534" s="79"/>
      <c r="J534" s="138"/>
      <c r="V534" s="120" t="str">
        <f t="shared" si="225"/>
        <v>ASW:9</v>
      </c>
    </row>
    <row r="535" spans="1:22" ht="12.75" customHeight="1" x14ac:dyDescent="0.25">
      <c r="A535" s="395">
        <f t="shared" si="223"/>
        <v>9</v>
      </c>
      <c r="B535" s="392">
        <v>43891</v>
      </c>
      <c r="C535" s="77" t="s">
        <v>657</v>
      </c>
      <c r="D535" s="231"/>
      <c r="E535" s="74"/>
      <c r="F535" s="74"/>
      <c r="G535" s="74"/>
      <c r="H535" s="75"/>
      <c r="J535" s="138"/>
      <c r="V535" s="120" t="str">
        <f t="shared" si="225"/>
        <v>VAK:9</v>
      </c>
    </row>
    <row r="536" spans="1:22" ht="12.75" customHeight="1" x14ac:dyDescent="0.25">
      <c r="A536" s="395">
        <f t="shared" si="223"/>
        <v>10</v>
      </c>
      <c r="B536" s="392">
        <v>43898</v>
      </c>
      <c r="C536" s="77" t="s">
        <v>657</v>
      </c>
      <c r="D536" s="231"/>
      <c r="E536" s="76"/>
      <c r="F536" s="76"/>
      <c r="G536" s="76"/>
      <c r="H536" s="77"/>
      <c r="J536" s="138"/>
      <c r="K536" s="62"/>
      <c r="V536" s="120" t="str">
        <f t="shared" ref="V536" si="226">C536 &amp;":"&amp; A536</f>
        <v>VAK:10</v>
      </c>
    </row>
    <row r="537" spans="1:22" ht="12.75" customHeight="1" x14ac:dyDescent="0.25">
      <c r="A537" s="395">
        <f t="shared" si="223"/>
        <v>10</v>
      </c>
      <c r="B537" s="392">
        <v>43905</v>
      </c>
      <c r="C537" s="77" t="s">
        <v>657</v>
      </c>
      <c r="D537" s="231"/>
      <c r="E537" s="76"/>
      <c r="F537" s="76"/>
      <c r="G537" s="76"/>
      <c r="H537" s="77"/>
      <c r="J537" s="138"/>
      <c r="K537" s="62"/>
      <c r="V537" s="120" t="str">
        <f t="shared" si="225"/>
        <v>VAK:10</v>
      </c>
    </row>
    <row r="538" spans="1:22" ht="12.75" customHeight="1" x14ac:dyDescent="0.25">
      <c r="A538" s="395">
        <f t="shared" si="223"/>
        <v>10</v>
      </c>
      <c r="B538" s="392">
        <v>43912</v>
      </c>
      <c r="C538" s="77" t="s">
        <v>657</v>
      </c>
      <c r="D538" s="231"/>
      <c r="E538" s="76"/>
      <c r="F538" s="76"/>
      <c r="G538" s="76"/>
      <c r="H538" s="77"/>
      <c r="J538" s="138"/>
      <c r="V538" s="120" t="str">
        <f t="shared" si="225"/>
        <v>VAK:10</v>
      </c>
    </row>
    <row r="539" spans="1:22" ht="12.75" customHeight="1" x14ac:dyDescent="0.25">
      <c r="A539" s="395">
        <f t="shared" si="223"/>
        <v>10</v>
      </c>
      <c r="B539" s="392">
        <v>43919</v>
      </c>
      <c r="C539" s="77" t="s">
        <v>657</v>
      </c>
      <c r="D539" s="231"/>
      <c r="E539" s="78"/>
      <c r="F539" s="78"/>
      <c r="G539" s="78"/>
      <c r="H539" s="79"/>
      <c r="J539" s="138"/>
      <c r="V539" s="120" t="str">
        <f t="shared" si="225"/>
        <v>VAK:10</v>
      </c>
    </row>
    <row r="540" spans="1:22" ht="12.75" hidden="1" customHeight="1" x14ac:dyDescent="0.25">
      <c r="A540" s="395">
        <f t="shared" si="223"/>
        <v>10</v>
      </c>
      <c r="B540" s="394">
        <v>43919</v>
      </c>
      <c r="C540" s="79" t="s">
        <v>658</v>
      </c>
      <c r="D540" s="269"/>
      <c r="E540" s="78">
        <f>SUM(E535:E539)</f>
        <v>0</v>
      </c>
      <c r="F540" s="78"/>
      <c r="G540" s="78"/>
      <c r="H540" s="79"/>
      <c r="J540" s="138"/>
      <c r="V540" s="120" t="str">
        <f>C540 &amp;":"&amp; A540</f>
        <v>ASW:10</v>
      </c>
    </row>
    <row r="541" spans="1:22" ht="12.75" customHeight="1" x14ac:dyDescent="0.25">
      <c r="A541" s="395">
        <f t="shared" si="223"/>
        <v>11</v>
      </c>
      <c r="B541" s="392">
        <v>43926</v>
      </c>
      <c r="C541" s="77" t="s">
        <v>657</v>
      </c>
      <c r="D541" s="231"/>
      <c r="E541" s="76"/>
      <c r="F541" s="76"/>
      <c r="G541" s="76"/>
      <c r="H541" s="77"/>
      <c r="J541" s="138"/>
      <c r="V541" s="120" t="str">
        <f t="shared" ref="V541:V551" si="227">C541 &amp;":"&amp; A541</f>
        <v>VAK:11</v>
      </c>
    </row>
    <row r="542" spans="1:22" ht="12.75" customHeight="1" x14ac:dyDescent="0.25">
      <c r="A542" s="395">
        <f t="shared" si="223"/>
        <v>11</v>
      </c>
      <c r="B542" s="392">
        <v>43933</v>
      </c>
      <c r="C542" s="77" t="s">
        <v>657</v>
      </c>
      <c r="D542" s="231"/>
      <c r="E542" s="76"/>
      <c r="F542" s="76"/>
      <c r="G542" s="76"/>
      <c r="H542" s="77"/>
      <c r="J542" s="138"/>
      <c r="V542" s="120" t="str">
        <f t="shared" si="227"/>
        <v>VAK:11</v>
      </c>
    </row>
    <row r="543" spans="1:22" ht="12.75" customHeight="1" x14ac:dyDescent="0.25">
      <c r="A543" s="395">
        <f t="shared" si="223"/>
        <v>11</v>
      </c>
      <c r="B543" s="392">
        <v>43940</v>
      </c>
      <c r="C543" s="77" t="s">
        <v>657</v>
      </c>
      <c r="D543" s="231"/>
      <c r="E543" s="76"/>
      <c r="F543" s="76"/>
      <c r="G543" s="76"/>
      <c r="H543" s="77"/>
      <c r="J543" s="138"/>
      <c r="V543" s="120" t="str">
        <f t="shared" si="227"/>
        <v>VAK:11</v>
      </c>
    </row>
    <row r="544" spans="1:22" ht="12.75" customHeight="1" x14ac:dyDescent="0.25">
      <c r="A544" s="395">
        <f t="shared" si="223"/>
        <v>11</v>
      </c>
      <c r="B544" s="392">
        <v>43947</v>
      </c>
      <c r="C544" s="77" t="s">
        <v>657</v>
      </c>
      <c r="D544" s="231"/>
      <c r="E544" s="78"/>
      <c r="F544" s="78"/>
      <c r="G544" s="78"/>
      <c r="H544" s="79"/>
      <c r="J544" s="138"/>
      <c r="V544" s="120" t="str">
        <f t="shared" si="227"/>
        <v>VAK:11</v>
      </c>
    </row>
    <row r="545" spans="1:22" ht="12.75" hidden="1" customHeight="1" x14ac:dyDescent="0.25">
      <c r="A545" s="395">
        <f t="shared" si="223"/>
        <v>11</v>
      </c>
      <c r="B545" s="394">
        <v>43947</v>
      </c>
      <c r="C545" s="79" t="s">
        <v>658</v>
      </c>
      <c r="D545" s="269"/>
      <c r="E545" s="78">
        <f>SUM(E541:E544)</f>
        <v>0</v>
      </c>
      <c r="F545" s="78"/>
      <c r="G545" s="78"/>
      <c r="H545" s="79"/>
      <c r="J545" s="138"/>
      <c r="V545" s="120" t="str">
        <f t="shared" si="227"/>
        <v>ASW:11</v>
      </c>
    </row>
    <row r="546" spans="1:22" ht="12.75" customHeight="1" x14ac:dyDescent="0.25">
      <c r="A546" s="395">
        <f t="shared" si="223"/>
        <v>11</v>
      </c>
      <c r="B546" s="392">
        <v>43954</v>
      </c>
      <c r="C546" s="77" t="s">
        <v>657</v>
      </c>
      <c r="D546" s="231"/>
      <c r="E546" s="74"/>
      <c r="F546" s="74"/>
      <c r="G546" s="74"/>
      <c r="H546" s="75"/>
      <c r="J546" s="138"/>
      <c r="K546" s="253"/>
      <c r="V546" s="120" t="str">
        <f t="shared" si="227"/>
        <v>VAK:11</v>
      </c>
    </row>
    <row r="547" spans="1:22" ht="12.75" customHeight="1" x14ac:dyDescent="0.25">
      <c r="A547" s="395">
        <f t="shared" si="223"/>
        <v>12</v>
      </c>
      <c r="B547" s="392">
        <v>43961</v>
      </c>
      <c r="C547" s="77" t="s">
        <v>657</v>
      </c>
      <c r="D547" s="231"/>
      <c r="E547" s="76"/>
      <c r="F547" s="76"/>
      <c r="G547" s="76"/>
      <c r="H547" s="77"/>
      <c r="J547" s="138"/>
      <c r="K547" s="253"/>
      <c r="V547" s="120" t="str">
        <f t="shared" si="227"/>
        <v>VAK:12</v>
      </c>
    </row>
    <row r="548" spans="1:22" ht="12.75" customHeight="1" x14ac:dyDescent="0.25">
      <c r="A548" s="395">
        <f t="shared" si="223"/>
        <v>12</v>
      </c>
      <c r="B548" s="392">
        <v>43968</v>
      </c>
      <c r="C548" s="77" t="s">
        <v>657</v>
      </c>
      <c r="D548" s="231"/>
      <c r="E548" s="76"/>
      <c r="F548" s="76"/>
      <c r="G548" s="76"/>
      <c r="H548" s="77"/>
      <c r="J548" s="138"/>
      <c r="K548" s="353"/>
      <c r="L548" s="161"/>
      <c r="M548" s="161"/>
      <c r="V548" s="120" t="str">
        <f t="shared" si="227"/>
        <v>VAK:12</v>
      </c>
    </row>
    <row r="549" spans="1:22" ht="12.75" customHeight="1" x14ac:dyDescent="0.25">
      <c r="A549" s="395">
        <f t="shared" si="223"/>
        <v>12</v>
      </c>
      <c r="B549" s="392">
        <v>43975</v>
      </c>
      <c r="C549" s="77" t="s">
        <v>657</v>
      </c>
      <c r="D549" s="231"/>
      <c r="E549" s="76"/>
      <c r="F549" s="76"/>
      <c r="G549" s="76"/>
      <c r="H549" s="77"/>
      <c r="J549" s="138"/>
      <c r="K549" s="253"/>
      <c r="V549" s="120" t="str">
        <f t="shared" si="227"/>
        <v>VAK:12</v>
      </c>
    </row>
    <row r="550" spans="1:22" ht="12.75" customHeight="1" x14ac:dyDescent="0.25">
      <c r="A550" s="395">
        <f t="shared" si="223"/>
        <v>12</v>
      </c>
      <c r="B550" s="392">
        <v>43982</v>
      </c>
      <c r="C550" s="77" t="s">
        <v>657</v>
      </c>
      <c r="D550" s="231"/>
      <c r="E550" s="78"/>
      <c r="F550" s="78"/>
      <c r="G550" s="78"/>
      <c r="H550" s="79"/>
      <c r="J550" s="138"/>
      <c r="K550" s="253"/>
      <c r="V550" s="120" t="str">
        <f t="shared" si="227"/>
        <v>VAK:12</v>
      </c>
    </row>
    <row r="551" spans="1:22" ht="12.75" hidden="1" customHeight="1" x14ac:dyDescent="0.25">
      <c r="A551" s="395">
        <f t="shared" si="223"/>
        <v>12</v>
      </c>
      <c r="B551" s="394">
        <v>43982</v>
      </c>
      <c r="C551" s="79" t="s">
        <v>658</v>
      </c>
      <c r="D551" s="269"/>
      <c r="E551" s="78">
        <f>SUM(E546:E550)</f>
        <v>0</v>
      </c>
      <c r="F551" s="78"/>
      <c r="G551" s="78"/>
      <c r="H551" s="79"/>
      <c r="J551" s="138"/>
      <c r="K551" s="253"/>
      <c r="V551" s="120" t="str">
        <f t="shared" si="227"/>
        <v>ASW:12</v>
      </c>
    </row>
    <row r="552" spans="1:22" ht="12.75" hidden="1" customHeight="1" x14ac:dyDescent="0.25">
      <c r="A552" s="120">
        <f t="shared" ref="A552:A554" si="228">GETPAYMONTH(DATE(YEAR(B552),MONTH(B552-4)+1,1))</f>
        <v>1</v>
      </c>
      <c r="B552" s="392">
        <v>43646</v>
      </c>
      <c r="C552" s="77" t="s">
        <v>669</v>
      </c>
      <c r="D552" s="231">
        <v>43653</v>
      </c>
      <c r="E552" s="74">
        <v>4</v>
      </c>
      <c r="F552" s="378"/>
      <c r="G552" s="74"/>
      <c r="H552" s="75">
        <v>551113</v>
      </c>
      <c r="I552" s="383" t="s">
        <v>692</v>
      </c>
      <c r="J552" s="138"/>
      <c r="K552" s="253"/>
      <c r="V552" s="120" t="str">
        <f>C552 &amp;":"&amp; D552</f>
        <v>DP:43653</v>
      </c>
    </row>
    <row r="553" spans="1:22" ht="12.75" hidden="1" customHeight="1" x14ac:dyDescent="0.25">
      <c r="A553" s="120">
        <f t="shared" si="228"/>
        <v>2</v>
      </c>
      <c r="B553" s="392">
        <v>43653</v>
      </c>
      <c r="C553" s="77" t="s">
        <v>669</v>
      </c>
      <c r="D553" s="231">
        <v>43653</v>
      </c>
      <c r="E553" s="78">
        <v>4</v>
      </c>
      <c r="F553" s="340"/>
      <c r="G553" s="78"/>
      <c r="H553" s="79">
        <v>551113</v>
      </c>
      <c r="I553" s="383" t="s">
        <v>693</v>
      </c>
      <c r="J553" s="138"/>
      <c r="K553" s="253"/>
      <c r="V553" s="120" t="str">
        <f t="shared" ref="V553:V615" si="229">C553 &amp;":"&amp; D553</f>
        <v>DP:43653</v>
      </c>
    </row>
    <row r="554" spans="1:22" ht="12.75" hidden="1" customHeight="1" x14ac:dyDescent="0.25">
      <c r="A554" s="123">
        <f t="shared" si="228"/>
        <v>2</v>
      </c>
      <c r="B554" s="394">
        <v>43653</v>
      </c>
      <c r="C554" s="79" t="s">
        <v>678</v>
      </c>
      <c r="D554" s="269">
        <v>43653</v>
      </c>
      <c r="E554" s="316">
        <f>SUM(E552:E553)</f>
        <v>8</v>
      </c>
      <c r="F554" s="78"/>
      <c r="G554" s="78"/>
      <c r="H554" s="79"/>
      <c r="J554" s="138"/>
      <c r="K554" s="253"/>
      <c r="V554" s="120" t="str">
        <f t="shared" si="229"/>
        <v>ANK:43653</v>
      </c>
    </row>
    <row r="555" spans="1:22" ht="12.75" hidden="1" customHeight="1" x14ac:dyDescent="0.25">
      <c r="A555" s="120">
        <f>GETPAYMONTH(DATE(YEAR(B555),MONTH(B555-4)+1,1))</f>
        <v>2</v>
      </c>
      <c r="B555" s="392">
        <v>43660</v>
      </c>
      <c r="C555" s="77" t="s">
        <v>669</v>
      </c>
      <c r="D555" s="231">
        <v>43667</v>
      </c>
      <c r="E555" s="74">
        <v>6</v>
      </c>
      <c r="F555" s="378"/>
      <c r="G555" s="74"/>
      <c r="H555" s="75">
        <v>551114</v>
      </c>
      <c r="I555" s="383" t="s">
        <v>780</v>
      </c>
      <c r="J555" s="138"/>
      <c r="K555" s="253"/>
      <c r="V555" s="120" t="str">
        <f t="shared" si="229"/>
        <v>DP:43667</v>
      </c>
    </row>
    <row r="556" spans="1:22" ht="12.75" hidden="1" customHeight="1" x14ac:dyDescent="0.25">
      <c r="A556" s="120">
        <f>GETPAYMONTH(DATE(YEAR(B556),MONTH(B556-4)+1,1))</f>
        <v>2</v>
      </c>
      <c r="B556" s="392">
        <v>43667</v>
      </c>
      <c r="C556" s="77" t="s">
        <v>669</v>
      </c>
      <c r="D556" s="231">
        <v>43667</v>
      </c>
      <c r="E556" s="78">
        <v>7</v>
      </c>
      <c r="F556" s="340"/>
      <c r="G556" s="78"/>
      <c r="H556" s="79">
        <v>551114</v>
      </c>
      <c r="J556" s="138"/>
      <c r="K556" s="253"/>
      <c r="V556" s="120" t="str">
        <f t="shared" si="229"/>
        <v>DP:43667</v>
      </c>
    </row>
    <row r="557" spans="1:22" ht="12.75" hidden="1" customHeight="1" x14ac:dyDescent="0.25">
      <c r="A557" s="123">
        <f>GETPAYMONTH(DATE(YEAR(B557),MONTH(B557-4)+1,1))</f>
        <v>2</v>
      </c>
      <c r="B557" s="394">
        <v>43667</v>
      </c>
      <c r="C557" s="79" t="s">
        <v>678</v>
      </c>
      <c r="D557" s="269">
        <v>43667</v>
      </c>
      <c r="E557" s="316">
        <f>SUM(E555:E556)</f>
        <v>13</v>
      </c>
      <c r="F557" s="78"/>
      <c r="G557" s="78"/>
      <c r="H557" s="79"/>
      <c r="J557" s="138"/>
      <c r="K557" s="253"/>
      <c r="V557" s="120" t="str">
        <f t="shared" si="229"/>
        <v>ANK:43667</v>
      </c>
    </row>
    <row r="558" spans="1:22" ht="12.75" hidden="1" customHeight="1" x14ac:dyDescent="0.25">
      <c r="A558" s="120">
        <f t="shared" ref="A558:A560" si="230">GETPAYMONTH(DATE(YEAR(B558),MONTH(B558-4)+1,1))</f>
        <v>2</v>
      </c>
      <c r="B558" s="392">
        <v>43674</v>
      </c>
      <c r="C558" s="77" t="s">
        <v>669</v>
      </c>
      <c r="D558" s="231">
        <v>43681</v>
      </c>
      <c r="E558" s="74">
        <v>6.5</v>
      </c>
      <c r="F558" s="378"/>
      <c r="G558" s="74"/>
      <c r="H558" s="75">
        <v>551115</v>
      </c>
      <c r="I558" t="s">
        <v>810</v>
      </c>
      <c r="J558" s="138"/>
      <c r="K558" s="253"/>
      <c r="V558" s="120" t="str">
        <f t="shared" si="229"/>
        <v>DP:43681</v>
      </c>
    </row>
    <row r="559" spans="1:22" ht="12.75" hidden="1" customHeight="1" x14ac:dyDescent="0.25">
      <c r="A559" s="120">
        <f t="shared" si="230"/>
        <v>2</v>
      </c>
      <c r="B559" s="392">
        <v>43681</v>
      </c>
      <c r="C559" s="77" t="s">
        <v>669</v>
      </c>
      <c r="D559" s="231">
        <v>43681</v>
      </c>
      <c r="E559" s="78">
        <v>6</v>
      </c>
      <c r="F559" s="340"/>
      <c r="G559" s="78"/>
      <c r="H559" s="79">
        <v>551115</v>
      </c>
      <c r="I559" s="383" t="s">
        <v>780</v>
      </c>
      <c r="J559" s="138"/>
      <c r="K559" s="253"/>
      <c r="V559" s="120" t="str">
        <f t="shared" si="229"/>
        <v>DP:43681</v>
      </c>
    </row>
    <row r="560" spans="1:22" ht="12.75" hidden="1" customHeight="1" x14ac:dyDescent="0.25">
      <c r="A560" s="123">
        <f t="shared" si="230"/>
        <v>2</v>
      </c>
      <c r="B560" s="394">
        <v>43681</v>
      </c>
      <c r="C560" s="79" t="s">
        <v>678</v>
      </c>
      <c r="D560" s="269">
        <v>43681</v>
      </c>
      <c r="E560" s="316">
        <f>SUM(E558:E559)</f>
        <v>12.5</v>
      </c>
      <c r="F560" s="78"/>
      <c r="G560" s="78"/>
      <c r="H560" s="79"/>
      <c r="J560" s="138"/>
      <c r="K560" s="253"/>
      <c r="V560" s="120" t="str">
        <f t="shared" si="229"/>
        <v>ANK:43681</v>
      </c>
    </row>
    <row r="561" spans="1:22" ht="12.75" hidden="1" customHeight="1" x14ac:dyDescent="0.25">
      <c r="A561" s="120">
        <f>GETPAYMONTH(DATE(YEAR(B561),MONTH(B561-4)+1,1))</f>
        <v>3</v>
      </c>
      <c r="B561" s="392">
        <v>43688</v>
      </c>
      <c r="C561" s="77" t="s">
        <v>669</v>
      </c>
      <c r="D561" s="231">
        <v>43695</v>
      </c>
      <c r="E561" s="74">
        <v>6</v>
      </c>
      <c r="F561" s="378"/>
      <c r="G561" s="74"/>
      <c r="H561" s="75">
        <v>551116</v>
      </c>
      <c r="I561" s="383" t="s">
        <v>843</v>
      </c>
      <c r="J561" s="138"/>
      <c r="K561" s="253"/>
      <c r="V561" s="120" t="str">
        <f t="shared" si="229"/>
        <v>DP:43695</v>
      </c>
    </row>
    <row r="562" spans="1:22" ht="12.75" hidden="1" customHeight="1" x14ac:dyDescent="0.25">
      <c r="A562" s="120">
        <f>GETPAYMONTH(DATE(YEAR(B562),MONTH(B562-4)+1,1))</f>
        <v>3</v>
      </c>
      <c r="B562" s="392">
        <v>43695</v>
      </c>
      <c r="C562" s="77" t="s">
        <v>669</v>
      </c>
      <c r="D562" s="231">
        <v>43695</v>
      </c>
      <c r="E562" s="78">
        <v>5</v>
      </c>
      <c r="F562" s="340"/>
      <c r="G562" s="78"/>
      <c r="H562" s="79">
        <v>551116</v>
      </c>
      <c r="J562" s="138"/>
      <c r="K562" s="253"/>
      <c r="V562" s="120" t="str">
        <f t="shared" si="229"/>
        <v>DP:43695</v>
      </c>
    </row>
    <row r="563" spans="1:22" ht="12.75" hidden="1" customHeight="1" x14ac:dyDescent="0.25">
      <c r="A563" s="123">
        <f>GETPAYMONTH(DATE(YEAR(B563),MONTH(B563-4)+1,1))</f>
        <v>3</v>
      </c>
      <c r="B563" s="394">
        <v>43695</v>
      </c>
      <c r="C563" s="79" t="s">
        <v>678</v>
      </c>
      <c r="D563" s="269">
        <v>43695</v>
      </c>
      <c r="E563" s="316">
        <f>SUM(E561:E562)</f>
        <v>11</v>
      </c>
      <c r="F563" s="78"/>
      <c r="G563" s="78"/>
      <c r="H563" s="79"/>
      <c r="J563" s="138"/>
      <c r="K563" s="253"/>
      <c r="V563" s="120" t="str">
        <f t="shared" si="229"/>
        <v>ANK:43695</v>
      </c>
    </row>
    <row r="564" spans="1:22" ht="12.75" hidden="1" customHeight="1" x14ac:dyDescent="0.25">
      <c r="A564" s="120">
        <f t="shared" si="223"/>
        <v>3</v>
      </c>
      <c r="B564" s="392">
        <v>43702</v>
      </c>
      <c r="C564" s="77" t="s">
        <v>669</v>
      </c>
      <c r="D564" s="231">
        <v>43709</v>
      </c>
      <c r="E564" s="74">
        <v>7</v>
      </c>
      <c r="F564" s="378"/>
      <c r="G564" s="74"/>
      <c r="H564" s="75">
        <v>551117</v>
      </c>
      <c r="I564" s="383" t="s">
        <v>854</v>
      </c>
      <c r="J564" s="138"/>
      <c r="K564" s="253"/>
      <c r="V564" s="120" t="str">
        <f t="shared" si="229"/>
        <v>DP:43709</v>
      </c>
    </row>
    <row r="565" spans="1:22" ht="12.75" hidden="1" customHeight="1" x14ac:dyDescent="0.25">
      <c r="A565" s="120">
        <f t="shared" si="223"/>
        <v>3</v>
      </c>
      <c r="B565" s="392">
        <v>43709</v>
      </c>
      <c r="C565" s="77" t="s">
        <v>669</v>
      </c>
      <c r="D565" s="231">
        <v>43709</v>
      </c>
      <c r="E565" s="78">
        <v>6.5</v>
      </c>
      <c r="F565" s="340"/>
      <c r="G565" s="78"/>
      <c r="H565" s="79">
        <v>551117</v>
      </c>
      <c r="I565" s="383" t="s">
        <v>855</v>
      </c>
      <c r="J565" s="138"/>
      <c r="K565" s="253"/>
      <c r="V565" s="120" t="str">
        <f t="shared" si="229"/>
        <v>DP:43709</v>
      </c>
    </row>
    <row r="566" spans="1:22" ht="12.75" hidden="1" customHeight="1" x14ac:dyDescent="0.25">
      <c r="A566" s="123">
        <f t="shared" si="223"/>
        <v>3</v>
      </c>
      <c r="B566" s="394">
        <v>43709</v>
      </c>
      <c r="C566" s="79" t="s">
        <v>678</v>
      </c>
      <c r="D566" s="269">
        <v>43709</v>
      </c>
      <c r="E566" s="316">
        <f>SUM(E564:E565)</f>
        <v>13.5</v>
      </c>
      <c r="F566" s="78"/>
      <c r="G566" s="78"/>
      <c r="H566" s="79"/>
      <c r="J566" s="138"/>
      <c r="K566" s="253"/>
      <c r="V566" s="120" t="str">
        <f t="shared" si="229"/>
        <v>ANK:43709</v>
      </c>
    </row>
    <row r="567" spans="1:22" ht="12.75" hidden="1" customHeight="1" x14ac:dyDescent="0.25">
      <c r="A567" s="120">
        <f>GETPAYMONTH(DATE(YEAR(B567),MONTH(B567-4)+1,1))</f>
        <v>4</v>
      </c>
      <c r="B567" s="392">
        <v>43716</v>
      </c>
      <c r="C567" s="77" t="s">
        <v>669</v>
      </c>
      <c r="D567" s="231"/>
      <c r="E567" s="74"/>
      <c r="F567" s="378"/>
      <c r="G567" s="74"/>
      <c r="H567" s="75"/>
      <c r="J567" s="138"/>
      <c r="K567" s="253"/>
      <c r="V567" s="120" t="str">
        <f t="shared" si="229"/>
        <v>DP:</v>
      </c>
    </row>
    <row r="568" spans="1:22" ht="12.75" hidden="1" customHeight="1" x14ac:dyDescent="0.25">
      <c r="A568" s="120">
        <f>GETPAYMONTH(DATE(YEAR(B568),MONTH(B568-4)+1,1))</f>
        <v>4</v>
      </c>
      <c r="B568" s="392">
        <v>43723</v>
      </c>
      <c r="C568" s="77" t="s">
        <v>669</v>
      </c>
      <c r="D568" s="231"/>
      <c r="E568" s="78"/>
      <c r="F568" s="340"/>
      <c r="G568" s="78"/>
      <c r="H568" s="79"/>
      <c r="J568" s="138"/>
      <c r="K568" s="253"/>
      <c r="V568" s="120" t="str">
        <f t="shared" si="229"/>
        <v>DP:</v>
      </c>
    </row>
    <row r="569" spans="1:22" ht="12.75" hidden="1" customHeight="1" x14ac:dyDescent="0.25">
      <c r="A569" s="123">
        <f>GETPAYMONTH(DATE(YEAR(B569),MONTH(B569-4)+1,1))</f>
        <v>4</v>
      </c>
      <c r="B569" s="394">
        <v>43723</v>
      </c>
      <c r="C569" s="79" t="s">
        <v>678</v>
      </c>
      <c r="D569" s="269"/>
      <c r="E569" s="316">
        <f>SUM(E567:E568)</f>
        <v>0</v>
      </c>
      <c r="F569" s="78"/>
      <c r="G569" s="78"/>
      <c r="H569" s="79"/>
      <c r="J569" s="138"/>
      <c r="K569" s="253"/>
      <c r="V569" s="120" t="str">
        <f t="shared" si="229"/>
        <v>ANK:</v>
      </c>
    </row>
    <row r="570" spans="1:22" ht="12.75" hidden="1" customHeight="1" x14ac:dyDescent="0.25">
      <c r="A570" s="120">
        <f t="shared" ref="A570:A572" si="231">GETPAYMONTH(DATE(YEAR(B570),MONTH(B570-4)+1,1))</f>
        <v>4</v>
      </c>
      <c r="B570" s="392">
        <v>43730</v>
      </c>
      <c r="C570" s="77" t="s">
        <v>669</v>
      </c>
      <c r="D570" s="231"/>
      <c r="E570" s="74"/>
      <c r="F570" s="378"/>
      <c r="G570" s="74"/>
      <c r="H570" s="75"/>
      <c r="J570" s="138"/>
      <c r="K570" s="253"/>
      <c r="V570" s="120" t="str">
        <f t="shared" si="229"/>
        <v>DP:</v>
      </c>
    </row>
    <row r="571" spans="1:22" ht="12.75" hidden="1" customHeight="1" x14ac:dyDescent="0.25">
      <c r="A571" s="120">
        <f t="shared" si="231"/>
        <v>4</v>
      </c>
      <c r="B571" s="392">
        <v>43737</v>
      </c>
      <c r="C571" s="77" t="s">
        <v>669</v>
      </c>
      <c r="D571" s="231"/>
      <c r="E571" s="78"/>
      <c r="F571" s="340"/>
      <c r="G571" s="78"/>
      <c r="H571" s="79"/>
      <c r="J571" s="138"/>
      <c r="K571" s="253"/>
      <c r="V571" s="120" t="str">
        <f t="shared" si="229"/>
        <v>DP:</v>
      </c>
    </row>
    <row r="572" spans="1:22" ht="12.75" hidden="1" customHeight="1" x14ac:dyDescent="0.25">
      <c r="A572" s="123">
        <f t="shared" si="231"/>
        <v>4</v>
      </c>
      <c r="B572" s="394">
        <v>43737</v>
      </c>
      <c r="C572" s="79" t="s">
        <v>678</v>
      </c>
      <c r="D572" s="269"/>
      <c r="E572" s="316">
        <f>SUM(E570:E571)</f>
        <v>0</v>
      </c>
      <c r="F572" s="78"/>
      <c r="G572" s="78"/>
      <c r="H572" s="79"/>
      <c r="J572" s="138"/>
      <c r="K572" s="253"/>
      <c r="V572" s="120" t="str">
        <f t="shared" si="229"/>
        <v>ANK:</v>
      </c>
    </row>
    <row r="573" spans="1:22" ht="12.75" hidden="1" customHeight="1" x14ac:dyDescent="0.25">
      <c r="A573" s="120">
        <f>GETPAYMONTH(DATE(YEAR(B573),MONTH(B573-4)+1,1))</f>
        <v>5</v>
      </c>
      <c r="B573" s="392">
        <v>43744</v>
      </c>
      <c r="C573" s="77" t="s">
        <v>669</v>
      </c>
      <c r="D573" s="231"/>
      <c r="E573" s="74"/>
      <c r="F573" s="378"/>
      <c r="G573" s="74"/>
      <c r="H573" s="75"/>
      <c r="J573" s="138"/>
      <c r="K573" s="253"/>
      <c r="V573" s="120" t="str">
        <f t="shared" si="229"/>
        <v>DP:</v>
      </c>
    </row>
    <row r="574" spans="1:22" ht="12.75" hidden="1" customHeight="1" x14ac:dyDescent="0.25">
      <c r="A574" s="120">
        <f>GETPAYMONTH(DATE(YEAR(B574),MONTH(B574-4)+1,1))</f>
        <v>5</v>
      </c>
      <c r="B574" s="392">
        <v>43751</v>
      </c>
      <c r="C574" s="77" t="s">
        <v>669</v>
      </c>
      <c r="D574" s="231"/>
      <c r="E574" s="78"/>
      <c r="F574" s="340"/>
      <c r="G574" s="78"/>
      <c r="H574" s="79"/>
      <c r="J574" s="138"/>
      <c r="K574" s="253"/>
      <c r="V574" s="120" t="str">
        <f t="shared" si="229"/>
        <v>DP:</v>
      </c>
    </row>
    <row r="575" spans="1:22" ht="12.75" hidden="1" customHeight="1" x14ac:dyDescent="0.25">
      <c r="A575" s="123">
        <f>GETPAYMONTH(DATE(YEAR(B575),MONTH(B575-4)+1,1))</f>
        <v>5</v>
      </c>
      <c r="B575" s="394">
        <v>43751</v>
      </c>
      <c r="C575" s="79" t="s">
        <v>678</v>
      </c>
      <c r="D575" s="269"/>
      <c r="E575" s="316">
        <f>SUM(E573:E574)</f>
        <v>0</v>
      </c>
      <c r="F575" s="78"/>
      <c r="G575" s="78"/>
      <c r="H575" s="79"/>
      <c r="J575" s="138"/>
      <c r="K575" s="253"/>
      <c r="V575" s="120" t="str">
        <f t="shared" si="229"/>
        <v>ANK:</v>
      </c>
    </row>
    <row r="576" spans="1:22" ht="12.75" hidden="1" customHeight="1" x14ac:dyDescent="0.25">
      <c r="A576" s="120">
        <f t="shared" ref="A576:A578" si="232">GETPAYMONTH(DATE(YEAR(B576),MONTH(B576-4)+1,1))</f>
        <v>5</v>
      </c>
      <c r="B576" s="392">
        <v>43758</v>
      </c>
      <c r="C576" s="77" t="s">
        <v>669</v>
      </c>
      <c r="D576" s="231"/>
      <c r="E576" s="74"/>
      <c r="F576" s="378"/>
      <c r="G576" s="74"/>
      <c r="H576" s="75"/>
      <c r="J576" s="138"/>
      <c r="K576" s="253"/>
      <c r="V576" s="120" t="str">
        <f t="shared" si="229"/>
        <v>DP:</v>
      </c>
    </row>
    <row r="577" spans="1:22" ht="12.75" hidden="1" customHeight="1" x14ac:dyDescent="0.25">
      <c r="A577" s="120">
        <f t="shared" si="232"/>
        <v>5</v>
      </c>
      <c r="B577" s="392">
        <v>43765</v>
      </c>
      <c r="C577" s="77" t="s">
        <v>669</v>
      </c>
      <c r="D577" s="231"/>
      <c r="E577" s="78"/>
      <c r="F577" s="340"/>
      <c r="G577" s="78"/>
      <c r="H577" s="79"/>
      <c r="J577" s="138"/>
      <c r="K577" s="253"/>
      <c r="V577" s="120" t="str">
        <f t="shared" si="229"/>
        <v>DP:</v>
      </c>
    </row>
    <row r="578" spans="1:22" ht="12.75" hidden="1" customHeight="1" x14ac:dyDescent="0.25">
      <c r="A578" s="123">
        <f t="shared" si="232"/>
        <v>5</v>
      </c>
      <c r="B578" s="394">
        <v>43765</v>
      </c>
      <c r="C578" s="79" t="s">
        <v>678</v>
      </c>
      <c r="D578" s="269"/>
      <c r="E578" s="316">
        <f>SUM(E576:E577)</f>
        <v>0</v>
      </c>
      <c r="F578" s="78"/>
      <c r="G578" s="78"/>
      <c r="H578" s="79"/>
      <c r="J578" s="138"/>
      <c r="K578" s="253"/>
      <c r="V578" s="120" t="str">
        <f t="shared" si="229"/>
        <v>ANK:</v>
      </c>
    </row>
    <row r="579" spans="1:22" ht="12.75" hidden="1" customHeight="1" x14ac:dyDescent="0.25">
      <c r="A579" s="120">
        <f>GETPAYMONTH(DATE(YEAR(B579),MONTH(B579-4)+1,1))</f>
        <v>5</v>
      </c>
      <c r="B579" s="392">
        <v>43772</v>
      </c>
      <c r="C579" s="77" t="s">
        <v>669</v>
      </c>
      <c r="D579" s="231"/>
      <c r="E579" s="74"/>
      <c r="F579" s="378"/>
      <c r="G579" s="74"/>
      <c r="H579" s="75"/>
      <c r="J579" s="138"/>
      <c r="K579" s="253"/>
      <c r="V579" s="120" t="str">
        <f t="shared" si="229"/>
        <v>DP:</v>
      </c>
    </row>
    <row r="580" spans="1:22" ht="12.75" hidden="1" customHeight="1" x14ac:dyDescent="0.25">
      <c r="A580" s="120">
        <f>GETPAYMONTH(DATE(YEAR(B580),MONTH(B580-4)+1,1))</f>
        <v>6</v>
      </c>
      <c r="B580" s="392">
        <v>43779</v>
      </c>
      <c r="C580" s="77" t="s">
        <v>669</v>
      </c>
      <c r="D580" s="231"/>
      <c r="E580" s="78"/>
      <c r="F580" s="340"/>
      <c r="G580" s="78"/>
      <c r="H580" s="79"/>
      <c r="J580" s="138"/>
      <c r="K580" s="253"/>
      <c r="V580" s="120" t="str">
        <f t="shared" si="229"/>
        <v>DP:</v>
      </c>
    </row>
    <row r="581" spans="1:22" ht="12.75" hidden="1" customHeight="1" x14ac:dyDescent="0.25">
      <c r="A581" s="123">
        <f t="shared" ref="A581" si="233">GETPAYMONTH(DATE(YEAR(B581),MONTH(B581-4)+1,1))</f>
        <v>6</v>
      </c>
      <c r="B581" s="394">
        <v>43779</v>
      </c>
      <c r="C581" s="79" t="s">
        <v>678</v>
      </c>
      <c r="D581" s="269"/>
      <c r="E581" s="76">
        <f>SUM(E579:E580)</f>
        <v>0</v>
      </c>
      <c r="F581" s="76"/>
      <c r="G581" s="76"/>
      <c r="H581" s="77"/>
      <c r="J581" s="138"/>
      <c r="V581" s="120" t="str">
        <f t="shared" ref="V581:V625" si="234">C581 &amp;":"&amp; D581</f>
        <v>ANK:</v>
      </c>
    </row>
    <row r="582" spans="1:22" ht="12.75" hidden="1" customHeight="1" x14ac:dyDescent="0.25">
      <c r="A582" s="120">
        <f t="shared" ref="A582:A584" si="235">GETPAYMONTH(DATE(YEAR(B582),MONTH(B582-4)+1,1))</f>
        <v>6</v>
      </c>
      <c r="B582" s="392">
        <v>43786</v>
      </c>
      <c r="C582" s="77" t="s">
        <v>669</v>
      </c>
      <c r="D582" s="231"/>
      <c r="E582" s="74"/>
      <c r="F582" s="378"/>
      <c r="G582" s="74"/>
      <c r="H582" s="75"/>
      <c r="J582" s="138"/>
      <c r="V582" s="120" t="str">
        <f t="shared" si="229"/>
        <v>DP:</v>
      </c>
    </row>
    <row r="583" spans="1:22" ht="12.75" hidden="1" customHeight="1" x14ac:dyDescent="0.25">
      <c r="A583" s="120">
        <f t="shared" si="235"/>
        <v>6</v>
      </c>
      <c r="B583" s="392">
        <v>43793</v>
      </c>
      <c r="C583" s="77" t="s">
        <v>669</v>
      </c>
      <c r="D583" s="231"/>
      <c r="E583" s="78"/>
      <c r="F583" s="340"/>
      <c r="G583" s="78"/>
      <c r="H583" s="79"/>
      <c r="J583" s="138"/>
      <c r="V583" s="120" t="str">
        <f t="shared" si="229"/>
        <v>DP:</v>
      </c>
    </row>
    <row r="584" spans="1:22" ht="12.75" hidden="1" customHeight="1" x14ac:dyDescent="0.25">
      <c r="A584" s="123">
        <f t="shared" si="235"/>
        <v>6</v>
      </c>
      <c r="B584" s="394">
        <v>43793</v>
      </c>
      <c r="C584" s="79" t="s">
        <v>678</v>
      </c>
      <c r="D584" s="269"/>
      <c r="E584" s="76">
        <f>SUM(E582:E583)</f>
        <v>0</v>
      </c>
      <c r="F584" s="76"/>
      <c r="G584" s="76"/>
      <c r="H584" s="77"/>
      <c r="J584" s="138"/>
      <c r="U584" s="129"/>
      <c r="V584" s="120" t="str">
        <f t="shared" si="234"/>
        <v>ANK:</v>
      </c>
    </row>
    <row r="585" spans="1:22" ht="12.75" hidden="1" customHeight="1" x14ac:dyDescent="0.25">
      <c r="A585" s="120">
        <f t="shared" ref="A585:A626" si="236">GETPAYMONTH(DATE(YEAR(B585),MONTH(B585-4)+1,1))</f>
        <v>6</v>
      </c>
      <c r="B585" s="392">
        <v>43800</v>
      </c>
      <c r="C585" s="77" t="s">
        <v>669</v>
      </c>
      <c r="D585" s="231"/>
      <c r="E585" s="74"/>
      <c r="F585" s="378"/>
      <c r="G585" s="74"/>
      <c r="H585" s="75"/>
      <c r="J585" s="138"/>
      <c r="V585" s="120" t="str">
        <f t="shared" si="229"/>
        <v>DP:</v>
      </c>
    </row>
    <row r="586" spans="1:22" ht="12.75" hidden="1" customHeight="1" x14ac:dyDescent="0.25">
      <c r="A586" s="120">
        <f t="shared" si="236"/>
        <v>7</v>
      </c>
      <c r="B586" s="392">
        <v>43807</v>
      </c>
      <c r="C586" s="77" t="s">
        <v>669</v>
      </c>
      <c r="D586" s="231"/>
      <c r="E586" s="78"/>
      <c r="F586" s="340"/>
      <c r="G586" s="78"/>
      <c r="H586" s="79"/>
      <c r="J586" s="138"/>
      <c r="V586" s="120" t="str">
        <f t="shared" si="229"/>
        <v>DP:</v>
      </c>
    </row>
    <row r="587" spans="1:22" ht="12.75" hidden="1" customHeight="1" x14ac:dyDescent="0.25">
      <c r="A587" s="123">
        <f t="shared" si="236"/>
        <v>7</v>
      </c>
      <c r="B587" s="394">
        <v>43807</v>
      </c>
      <c r="C587" s="79" t="s">
        <v>678</v>
      </c>
      <c r="D587" s="269"/>
      <c r="E587" s="76">
        <f>SUM(E585:E586)</f>
        <v>0</v>
      </c>
      <c r="F587" s="76"/>
      <c r="G587" s="76"/>
      <c r="H587" s="77"/>
      <c r="J587" s="138"/>
      <c r="V587" s="120" t="str">
        <f t="shared" si="234"/>
        <v>ANK:</v>
      </c>
    </row>
    <row r="588" spans="1:22" ht="12.75" hidden="1" customHeight="1" x14ac:dyDescent="0.25">
      <c r="A588" s="120">
        <f t="shared" si="236"/>
        <v>7</v>
      </c>
      <c r="B588" s="392">
        <v>43814</v>
      </c>
      <c r="C588" s="77" t="s">
        <v>669</v>
      </c>
      <c r="D588" s="231"/>
      <c r="E588" s="74"/>
      <c r="F588" s="378"/>
      <c r="G588" s="74"/>
      <c r="H588" s="75"/>
      <c r="J588" s="138"/>
      <c r="V588" s="120" t="str">
        <f t="shared" si="229"/>
        <v>DP:</v>
      </c>
    </row>
    <row r="589" spans="1:22" ht="12.75" hidden="1" customHeight="1" x14ac:dyDescent="0.25">
      <c r="A589" s="120">
        <f t="shared" si="236"/>
        <v>7</v>
      </c>
      <c r="B589" s="392">
        <v>43821</v>
      </c>
      <c r="C589" s="77" t="s">
        <v>669</v>
      </c>
      <c r="D589" s="231"/>
      <c r="E589" s="78"/>
      <c r="F589" s="340"/>
      <c r="G589" s="78"/>
      <c r="H589" s="79"/>
      <c r="J589" s="138"/>
      <c r="V589" s="120" t="str">
        <f t="shared" si="229"/>
        <v>DP:</v>
      </c>
    </row>
    <row r="590" spans="1:22" ht="12.75" hidden="1" customHeight="1" x14ac:dyDescent="0.25">
      <c r="A590" s="123">
        <f t="shared" si="236"/>
        <v>7</v>
      </c>
      <c r="B590" s="394">
        <v>43821</v>
      </c>
      <c r="C590" s="79" t="s">
        <v>678</v>
      </c>
      <c r="D590" s="269"/>
      <c r="E590" s="76">
        <f>SUM(E588:E589)</f>
        <v>0</v>
      </c>
      <c r="F590" s="76"/>
      <c r="G590" s="76"/>
      <c r="H590" s="77"/>
      <c r="J590" s="138"/>
      <c r="V590" s="120" t="str">
        <f t="shared" si="234"/>
        <v>ANK:</v>
      </c>
    </row>
    <row r="591" spans="1:22" ht="12.75" hidden="1" customHeight="1" x14ac:dyDescent="0.25">
      <c r="A591" s="120">
        <f t="shared" si="236"/>
        <v>7</v>
      </c>
      <c r="B591" s="392">
        <v>43828</v>
      </c>
      <c r="C591" s="77" t="s">
        <v>669</v>
      </c>
      <c r="D591" s="231"/>
      <c r="E591" s="74"/>
      <c r="F591" s="378"/>
      <c r="G591" s="74"/>
      <c r="H591" s="75"/>
      <c r="I591" s="328"/>
      <c r="J591" s="138"/>
      <c r="V591" s="120" t="str">
        <f t="shared" si="229"/>
        <v>DP:</v>
      </c>
    </row>
    <row r="592" spans="1:22" ht="12.75" hidden="1" customHeight="1" x14ac:dyDescent="0.25">
      <c r="A592" s="120">
        <f t="shared" si="236"/>
        <v>8</v>
      </c>
      <c r="B592" s="392">
        <v>43835</v>
      </c>
      <c r="C592" s="77" t="s">
        <v>669</v>
      </c>
      <c r="D592" s="231"/>
      <c r="E592" s="78"/>
      <c r="F592" s="340"/>
      <c r="G592" s="78"/>
      <c r="H592" s="79"/>
      <c r="I592" s="328"/>
      <c r="J592" s="138"/>
      <c r="V592" s="120" t="str">
        <f t="shared" si="229"/>
        <v>DP:</v>
      </c>
    </row>
    <row r="593" spans="1:22" ht="12.75" hidden="1" customHeight="1" x14ac:dyDescent="0.25">
      <c r="A593" s="123">
        <f t="shared" si="236"/>
        <v>8</v>
      </c>
      <c r="B593" s="394">
        <v>43835</v>
      </c>
      <c r="C593" s="79" t="s">
        <v>678</v>
      </c>
      <c r="D593" s="269"/>
      <c r="E593" s="76">
        <f>SUM(E591:E592)</f>
        <v>0</v>
      </c>
      <c r="F593" s="76"/>
      <c r="G593" s="76"/>
      <c r="H593" s="77"/>
      <c r="I593" s="22"/>
      <c r="J593" s="138"/>
      <c r="V593" s="120" t="str">
        <f t="shared" si="234"/>
        <v>ANK:</v>
      </c>
    </row>
    <row r="594" spans="1:22" ht="12.75" hidden="1" customHeight="1" x14ac:dyDescent="0.25">
      <c r="A594" s="120">
        <f t="shared" ref="A594:A596" si="237">GETPAYMONTH(DATE(YEAR(B594),MONTH(B594-4)+1,1))</f>
        <v>8</v>
      </c>
      <c r="B594" s="392">
        <v>43842</v>
      </c>
      <c r="C594" s="77" t="s">
        <v>669</v>
      </c>
      <c r="D594" s="231"/>
      <c r="E594" s="74"/>
      <c r="F594" s="378"/>
      <c r="G594" s="74"/>
      <c r="H594" s="75"/>
      <c r="J594" s="138"/>
      <c r="V594" s="120" t="str">
        <f t="shared" si="229"/>
        <v>DP:</v>
      </c>
    </row>
    <row r="595" spans="1:22" ht="12.75" hidden="1" customHeight="1" x14ac:dyDescent="0.25">
      <c r="A595" s="120">
        <f t="shared" si="237"/>
        <v>8</v>
      </c>
      <c r="B595" s="392">
        <v>43849</v>
      </c>
      <c r="C595" s="77" t="s">
        <v>669</v>
      </c>
      <c r="D595" s="231"/>
      <c r="E595" s="78"/>
      <c r="F595" s="340"/>
      <c r="G595" s="78"/>
      <c r="H595" s="79"/>
      <c r="J595" s="138"/>
      <c r="V595" s="120" t="str">
        <f t="shared" si="229"/>
        <v>DP:</v>
      </c>
    </row>
    <row r="596" spans="1:22" ht="12.75" hidden="1" customHeight="1" x14ac:dyDescent="0.25">
      <c r="A596" s="123">
        <f t="shared" si="237"/>
        <v>8</v>
      </c>
      <c r="B596" s="394">
        <v>43849</v>
      </c>
      <c r="C596" s="79" t="s">
        <v>678</v>
      </c>
      <c r="D596" s="269"/>
      <c r="E596" s="76">
        <f>SUM(E594:E595)</f>
        <v>0</v>
      </c>
      <c r="F596" s="76"/>
      <c r="G596" s="76"/>
      <c r="H596" s="77"/>
      <c r="J596" s="138"/>
      <c r="V596" s="120" t="str">
        <f t="shared" ref="V596" si="238">C596 &amp;":"&amp; D596</f>
        <v>ANK:</v>
      </c>
    </row>
    <row r="597" spans="1:22" ht="12.75" hidden="1" customHeight="1" x14ac:dyDescent="0.25">
      <c r="A597" s="120">
        <f t="shared" si="236"/>
        <v>8</v>
      </c>
      <c r="B597" s="392">
        <v>43842</v>
      </c>
      <c r="C597" s="77" t="s">
        <v>669</v>
      </c>
      <c r="D597" s="231"/>
      <c r="E597" s="74"/>
      <c r="F597" s="378"/>
      <c r="G597" s="74"/>
      <c r="H597" s="75"/>
      <c r="J597" s="138"/>
      <c r="V597" s="120" t="str">
        <f t="shared" si="229"/>
        <v>DP:</v>
      </c>
    </row>
    <row r="598" spans="1:22" ht="12.75" hidden="1" customHeight="1" x14ac:dyDescent="0.25">
      <c r="A598" s="120">
        <f t="shared" si="236"/>
        <v>8</v>
      </c>
      <c r="B598" s="392">
        <v>43849</v>
      </c>
      <c r="C598" s="77" t="s">
        <v>669</v>
      </c>
      <c r="D598" s="231"/>
      <c r="E598" s="78"/>
      <c r="F598" s="340"/>
      <c r="G598" s="78"/>
      <c r="H598" s="79"/>
      <c r="J598" s="138"/>
      <c r="V598" s="120" t="str">
        <f t="shared" si="229"/>
        <v>DP:</v>
      </c>
    </row>
    <row r="599" spans="1:22" ht="12.75" hidden="1" customHeight="1" x14ac:dyDescent="0.25">
      <c r="A599" s="123">
        <f t="shared" si="236"/>
        <v>8</v>
      </c>
      <c r="B599" s="394">
        <v>43849</v>
      </c>
      <c r="C599" s="79" t="s">
        <v>678</v>
      </c>
      <c r="D599" s="269"/>
      <c r="E599" s="76">
        <f>SUM(E597:E598)</f>
        <v>0</v>
      </c>
      <c r="F599" s="76"/>
      <c r="G599" s="76"/>
      <c r="H599" s="77"/>
      <c r="J599" s="138"/>
      <c r="V599" s="120" t="str">
        <f t="shared" si="234"/>
        <v>ANK:</v>
      </c>
    </row>
    <row r="600" spans="1:22" ht="12.75" hidden="1" customHeight="1" x14ac:dyDescent="0.25">
      <c r="A600" s="120">
        <f t="shared" si="236"/>
        <v>8</v>
      </c>
      <c r="B600" s="392">
        <v>43856</v>
      </c>
      <c r="C600" s="77" t="s">
        <v>669</v>
      </c>
      <c r="D600" s="231"/>
      <c r="E600" s="74"/>
      <c r="F600" s="378"/>
      <c r="G600" s="74"/>
      <c r="H600" s="75"/>
      <c r="J600" s="138"/>
      <c r="V600" s="120" t="str">
        <f t="shared" si="229"/>
        <v>DP:</v>
      </c>
    </row>
    <row r="601" spans="1:22" ht="12.75" hidden="1" customHeight="1" x14ac:dyDescent="0.25">
      <c r="A601" s="120">
        <f t="shared" si="236"/>
        <v>8</v>
      </c>
      <c r="B601" s="392">
        <v>43863</v>
      </c>
      <c r="C601" s="77" t="s">
        <v>669</v>
      </c>
      <c r="D601" s="231"/>
      <c r="E601" s="78"/>
      <c r="F601" s="340"/>
      <c r="G601" s="78"/>
      <c r="H601" s="79"/>
      <c r="J601" s="138"/>
      <c r="V601" s="120" t="str">
        <f t="shared" si="229"/>
        <v>DP:</v>
      </c>
    </row>
    <row r="602" spans="1:22" ht="12.75" hidden="1" customHeight="1" x14ac:dyDescent="0.25">
      <c r="A602" s="123">
        <f t="shared" si="236"/>
        <v>8</v>
      </c>
      <c r="B602" s="394">
        <v>43863</v>
      </c>
      <c r="C602" s="79" t="s">
        <v>678</v>
      </c>
      <c r="D602" s="269"/>
      <c r="E602" s="76">
        <f>SUM(E600:E601)</f>
        <v>0</v>
      </c>
      <c r="F602" s="76"/>
      <c r="G602" s="76"/>
      <c r="H602" s="77"/>
      <c r="J602" s="138"/>
      <c r="V602" s="120" t="str">
        <f t="shared" si="234"/>
        <v>ANK:</v>
      </c>
    </row>
    <row r="603" spans="1:22" ht="12.75" hidden="1" customHeight="1" x14ac:dyDescent="0.25">
      <c r="A603" s="120">
        <f t="shared" si="236"/>
        <v>9</v>
      </c>
      <c r="B603" s="392">
        <v>43870</v>
      </c>
      <c r="C603" s="77" t="s">
        <v>669</v>
      </c>
      <c r="D603" s="231"/>
      <c r="E603" s="74"/>
      <c r="F603" s="378"/>
      <c r="G603" s="74"/>
      <c r="H603" s="75"/>
      <c r="J603" s="138"/>
      <c r="V603" s="120" t="str">
        <f t="shared" si="229"/>
        <v>DP:</v>
      </c>
    </row>
    <row r="604" spans="1:22" ht="12.75" hidden="1" customHeight="1" x14ac:dyDescent="0.25">
      <c r="A604" s="120">
        <f t="shared" si="236"/>
        <v>9</v>
      </c>
      <c r="B604" s="392">
        <v>43877</v>
      </c>
      <c r="C604" s="77" t="s">
        <v>669</v>
      </c>
      <c r="D604" s="231"/>
      <c r="E604" s="78"/>
      <c r="F604" s="340"/>
      <c r="G604" s="78"/>
      <c r="H604" s="79"/>
      <c r="J604" s="138"/>
      <c r="V604" s="120" t="str">
        <f t="shared" si="229"/>
        <v>DP:</v>
      </c>
    </row>
    <row r="605" spans="1:22" ht="12.75" hidden="1" customHeight="1" x14ac:dyDescent="0.25">
      <c r="A605" s="123">
        <f t="shared" si="236"/>
        <v>9</v>
      </c>
      <c r="B605" s="394">
        <v>43877</v>
      </c>
      <c r="C605" s="79" t="s">
        <v>678</v>
      </c>
      <c r="D605" s="269"/>
      <c r="E605" s="76">
        <f>SUM(E603:E604)</f>
        <v>0</v>
      </c>
      <c r="F605" s="76"/>
      <c r="G605" s="76"/>
      <c r="H605" s="77"/>
      <c r="J605" s="138"/>
      <c r="K605" s="62"/>
      <c r="V605" s="120" t="str">
        <f t="shared" si="234"/>
        <v>ANK:</v>
      </c>
    </row>
    <row r="606" spans="1:22" ht="12.75" hidden="1" customHeight="1" x14ac:dyDescent="0.25">
      <c r="A606" s="120">
        <f t="shared" si="236"/>
        <v>9</v>
      </c>
      <c r="B606" s="392">
        <v>43884</v>
      </c>
      <c r="C606" s="77" t="s">
        <v>669</v>
      </c>
      <c r="D606" s="231"/>
      <c r="E606" s="74"/>
      <c r="F606" s="378"/>
      <c r="G606" s="74"/>
      <c r="H606" s="75"/>
      <c r="J606" s="138"/>
      <c r="V606" s="120" t="str">
        <f t="shared" si="229"/>
        <v>DP:</v>
      </c>
    </row>
    <row r="607" spans="1:22" ht="12.75" hidden="1" customHeight="1" x14ac:dyDescent="0.25">
      <c r="A607" s="120">
        <f t="shared" si="236"/>
        <v>9</v>
      </c>
      <c r="B607" s="392">
        <v>43891</v>
      </c>
      <c r="C607" s="77" t="s">
        <v>669</v>
      </c>
      <c r="D607" s="231"/>
      <c r="E607" s="78"/>
      <c r="F607" s="340"/>
      <c r="G607" s="78"/>
      <c r="H607" s="79"/>
      <c r="I607" s="383"/>
      <c r="J607" s="138"/>
      <c r="V607" s="120" t="str">
        <f t="shared" si="229"/>
        <v>DP:</v>
      </c>
    </row>
    <row r="608" spans="1:22" ht="12.75" hidden="1" customHeight="1" x14ac:dyDescent="0.25">
      <c r="A608" s="123">
        <f t="shared" si="236"/>
        <v>9</v>
      </c>
      <c r="B608" s="394">
        <v>43891</v>
      </c>
      <c r="C608" s="79" t="s">
        <v>678</v>
      </c>
      <c r="D608" s="269"/>
      <c r="E608" s="76">
        <f>SUM(E606:E607)</f>
        <v>0</v>
      </c>
      <c r="F608" s="76"/>
      <c r="G608" s="76"/>
      <c r="H608" s="77"/>
      <c r="J608" s="138"/>
      <c r="V608" s="120" t="str">
        <f t="shared" si="234"/>
        <v>ANK:</v>
      </c>
    </row>
    <row r="609" spans="1:22" ht="12.75" hidden="1" customHeight="1" x14ac:dyDescent="0.25">
      <c r="A609" s="120">
        <f t="shared" si="236"/>
        <v>10</v>
      </c>
      <c r="B609" s="392">
        <v>43898</v>
      </c>
      <c r="C609" s="77" t="s">
        <v>669</v>
      </c>
      <c r="D609" s="231"/>
      <c r="E609" s="74"/>
      <c r="F609" s="378"/>
      <c r="G609" s="74"/>
      <c r="H609" s="75"/>
      <c r="J609" s="138"/>
      <c r="V609" s="120" t="str">
        <f t="shared" si="229"/>
        <v>DP:</v>
      </c>
    </row>
    <row r="610" spans="1:22" ht="12.75" hidden="1" customHeight="1" x14ac:dyDescent="0.25">
      <c r="A610" s="120">
        <f t="shared" si="236"/>
        <v>10</v>
      </c>
      <c r="B610" s="392">
        <v>43905</v>
      </c>
      <c r="C610" s="77" t="s">
        <v>669</v>
      </c>
      <c r="D610" s="231"/>
      <c r="E610" s="78"/>
      <c r="F610" s="340"/>
      <c r="G610" s="78"/>
      <c r="H610" s="79"/>
      <c r="J610" s="138"/>
      <c r="V610" s="120" t="str">
        <f t="shared" si="229"/>
        <v>DP:</v>
      </c>
    </row>
    <row r="611" spans="1:22" ht="12.75" hidden="1" customHeight="1" x14ac:dyDescent="0.25">
      <c r="A611" s="123">
        <f t="shared" si="236"/>
        <v>10</v>
      </c>
      <c r="B611" s="394">
        <v>43905</v>
      </c>
      <c r="C611" s="79" t="s">
        <v>678</v>
      </c>
      <c r="D611" s="269"/>
      <c r="E611" s="76">
        <f>SUM(E609:E610)</f>
        <v>0</v>
      </c>
      <c r="F611" s="76"/>
      <c r="G611" s="76"/>
      <c r="H611" s="77"/>
      <c r="J611" s="138"/>
      <c r="V611" s="120" t="str">
        <f t="shared" si="234"/>
        <v>ANK:</v>
      </c>
    </row>
    <row r="612" spans="1:22" ht="12.75" hidden="1" customHeight="1" x14ac:dyDescent="0.25">
      <c r="A612" s="120">
        <f t="shared" si="236"/>
        <v>10</v>
      </c>
      <c r="B612" s="392">
        <v>43912</v>
      </c>
      <c r="C612" s="77" t="s">
        <v>669</v>
      </c>
      <c r="D612" s="231"/>
      <c r="E612" s="74"/>
      <c r="F612" s="378"/>
      <c r="G612" s="74"/>
      <c r="H612" s="75"/>
      <c r="J612" s="138"/>
      <c r="V612" s="120" t="str">
        <f t="shared" si="229"/>
        <v>DP:</v>
      </c>
    </row>
    <row r="613" spans="1:22" ht="12.75" hidden="1" customHeight="1" x14ac:dyDescent="0.25">
      <c r="A613" s="120">
        <f t="shared" si="236"/>
        <v>10</v>
      </c>
      <c r="B613" s="392">
        <v>43919</v>
      </c>
      <c r="C613" s="77" t="s">
        <v>669</v>
      </c>
      <c r="D613" s="231"/>
      <c r="E613" s="78"/>
      <c r="F613" s="340"/>
      <c r="G613" s="78"/>
      <c r="H613" s="79"/>
      <c r="J613" s="138"/>
      <c r="V613" s="120" t="str">
        <f t="shared" si="229"/>
        <v>DP:</v>
      </c>
    </row>
    <row r="614" spans="1:22" ht="12.75" hidden="1" customHeight="1" x14ac:dyDescent="0.25">
      <c r="A614" s="123">
        <f t="shared" si="236"/>
        <v>10</v>
      </c>
      <c r="B614" s="394">
        <v>43919</v>
      </c>
      <c r="C614" s="79" t="s">
        <v>678</v>
      </c>
      <c r="D614" s="269"/>
      <c r="E614" s="76">
        <f>SUM(E612:E613)</f>
        <v>0</v>
      </c>
      <c r="F614" s="76"/>
      <c r="G614" s="76"/>
      <c r="H614" s="77"/>
      <c r="J614" s="138"/>
      <c r="K614" s="253"/>
      <c r="V614" s="120" t="str">
        <f t="shared" si="234"/>
        <v>ANK:</v>
      </c>
    </row>
    <row r="615" spans="1:22" ht="12.75" hidden="1" customHeight="1" x14ac:dyDescent="0.25">
      <c r="A615" s="120">
        <f t="shared" si="236"/>
        <v>11</v>
      </c>
      <c r="B615" s="392">
        <v>43926</v>
      </c>
      <c r="C615" s="77" t="s">
        <v>669</v>
      </c>
      <c r="D615" s="231"/>
      <c r="E615" s="74"/>
      <c r="F615" s="378"/>
      <c r="G615" s="74"/>
      <c r="H615" s="75"/>
      <c r="J615" s="138"/>
      <c r="K615" s="253"/>
      <c r="V615" s="120" t="str">
        <f t="shared" si="229"/>
        <v>DP:</v>
      </c>
    </row>
    <row r="616" spans="1:22" ht="12.75" hidden="1" customHeight="1" x14ac:dyDescent="0.25">
      <c r="A616" s="120">
        <f t="shared" si="236"/>
        <v>11</v>
      </c>
      <c r="B616" s="392">
        <v>43933</v>
      </c>
      <c r="C616" s="77" t="s">
        <v>669</v>
      </c>
      <c r="D616" s="231"/>
      <c r="E616" s="78"/>
      <c r="F616" s="340"/>
      <c r="G616" s="78"/>
      <c r="H616" s="79"/>
      <c r="J616" s="138"/>
      <c r="K616" s="353"/>
      <c r="L616" s="161"/>
      <c r="M616" s="161"/>
      <c r="V616" s="120" t="str">
        <f t="shared" ref="V616" si="239">C616 &amp;":"&amp; D616</f>
        <v>DP:</v>
      </c>
    </row>
    <row r="617" spans="1:22" ht="12.75" hidden="1" customHeight="1" x14ac:dyDescent="0.25">
      <c r="A617" s="123">
        <f t="shared" si="236"/>
        <v>11</v>
      </c>
      <c r="B617" s="394">
        <v>43933</v>
      </c>
      <c r="C617" s="79" t="s">
        <v>678</v>
      </c>
      <c r="D617" s="269"/>
      <c r="E617" s="76">
        <f>SUM(E615:E616)</f>
        <v>0</v>
      </c>
      <c r="F617" s="76"/>
      <c r="G617" s="76"/>
      <c r="H617" s="77"/>
      <c r="J617" s="138"/>
      <c r="K617" s="253"/>
      <c r="V617" s="120" t="str">
        <f t="shared" si="234"/>
        <v>ANK:</v>
      </c>
    </row>
    <row r="618" spans="1:22" ht="12.75" hidden="1" customHeight="1" x14ac:dyDescent="0.25">
      <c r="A618" s="120">
        <f t="shared" si="236"/>
        <v>11</v>
      </c>
      <c r="B618" s="392">
        <v>43940</v>
      </c>
      <c r="C618" s="77" t="s">
        <v>669</v>
      </c>
      <c r="D618" s="231"/>
      <c r="E618" s="74"/>
      <c r="F618" s="378"/>
      <c r="G618" s="74"/>
      <c r="H618" s="75"/>
      <c r="J618" s="138"/>
      <c r="K618" s="253"/>
      <c r="V618" s="120" t="str">
        <f t="shared" si="234"/>
        <v>DP:</v>
      </c>
    </row>
    <row r="619" spans="1:22" ht="12.75" hidden="1" customHeight="1" x14ac:dyDescent="0.25">
      <c r="A619" s="120">
        <f t="shared" si="236"/>
        <v>11</v>
      </c>
      <c r="B619" s="392">
        <v>43947</v>
      </c>
      <c r="C619" s="77" t="s">
        <v>669</v>
      </c>
      <c r="D619" s="231"/>
      <c r="E619" s="78"/>
      <c r="F619" s="340"/>
      <c r="G619" s="78"/>
      <c r="H619" s="79"/>
      <c r="J619" s="138"/>
      <c r="K619" s="253"/>
      <c r="V619" s="120" t="str">
        <f t="shared" si="234"/>
        <v>DP:</v>
      </c>
    </row>
    <row r="620" spans="1:22" ht="12.75" hidden="1" customHeight="1" x14ac:dyDescent="0.25">
      <c r="A620" s="123">
        <f t="shared" si="236"/>
        <v>11</v>
      </c>
      <c r="B620" s="394">
        <v>43948</v>
      </c>
      <c r="C620" s="79" t="s">
        <v>678</v>
      </c>
      <c r="D620" s="269"/>
      <c r="E620" s="76">
        <f>SUM(E618:E619)</f>
        <v>0</v>
      </c>
      <c r="F620" s="316"/>
      <c r="G620" s="316"/>
      <c r="H620" s="315"/>
      <c r="J620" s="138"/>
      <c r="K620" s="253"/>
      <c r="V620" s="120" t="str">
        <f t="shared" si="234"/>
        <v>ANK:</v>
      </c>
    </row>
    <row r="621" spans="1:22" ht="12.75" hidden="1" customHeight="1" x14ac:dyDescent="0.25">
      <c r="A621" s="120">
        <f t="shared" si="236"/>
        <v>11</v>
      </c>
      <c r="B621" s="392">
        <v>43954</v>
      </c>
      <c r="C621" s="77" t="s">
        <v>669</v>
      </c>
      <c r="D621" s="231"/>
      <c r="E621" s="74"/>
      <c r="F621" s="336"/>
      <c r="G621" s="76"/>
      <c r="H621" s="77"/>
      <c r="J621" s="138"/>
      <c r="K621" s="253"/>
      <c r="V621" s="120" t="str">
        <f t="shared" si="234"/>
        <v>DP:</v>
      </c>
    </row>
    <row r="622" spans="1:22" ht="12.75" hidden="1" customHeight="1" x14ac:dyDescent="0.25">
      <c r="A622" s="120">
        <f t="shared" si="236"/>
        <v>12</v>
      </c>
      <c r="B622" s="392">
        <v>43961</v>
      </c>
      <c r="C622" s="77" t="s">
        <v>669</v>
      </c>
      <c r="D622" s="231"/>
      <c r="E622" s="78"/>
      <c r="F622" s="340"/>
      <c r="G622" s="78"/>
      <c r="H622" s="79"/>
      <c r="J622" s="138"/>
      <c r="K622" s="253"/>
      <c r="V622" s="120" t="str">
        <f t="shared" si="234"/>
        <v>DP:</v>
      </c>
    </row>
    <row r="623" spans="1:22" ht="12.75" hidden="1" customHeight="1" x14ac:dyDescent="0.25">
      <c r="A623" s="123">
        <f t="shared" si="236"/>
        <v>12</v>
      </c>
      <c r="B623" s="394">
        <v>43961</v>
      </c>
      <c r="C623" s="79" t="s">
        <v>678</v>
      </c>
      <c r="D623" s="269"/>
      <c r="E623" s="76">
        <f>SUM(E621:E622)</f>
        <v>0</v>
      </c>
      <c r="F623" s="78"/>
      <c r="G623" s="78"/>
      <c r="H623" s="79"/>
      <c r="J623" s="138"/>
      <c r="K623" s="253"/>
      <c r="V623" s="120" t="str">
        <f t="shared" si="234"/>
        <v>ANK:</v>
      </c>
    </row>
    <row r="624" spans="1:22" ht="12.75" hidden="1" customHeight="1" x14ac:dyDescent="0.25">
      <c r="A624" s="120">
        <f t="shared" si="236"/>
        <v>12</v>
      </c>
      <c r="B624" s="392">
        <v>43968</v>
      </c>
      <c r="C624" s="77" t="s">
        <v>669</v>
      </c>
      <c r="D624" s="231"/>
      <c r="E624" s="74"/>
      <c r="F624" s="378"/>
      <c r="G624" s="74"/>
      <c r="H624" s="75"/>
      <c r="J624" s="138"/>
      <c r="K624" s="253"/>
      <c r="V624" s="120" t="str">
        <f t="shared" si="234"/>
        <v>DP:</v>
      </c>
    </row>
    <row r="625" spans="1:22" ht="12.75" hidden="1" customHeight="1" x14ac:dyDescent="0.25">
      <c r="A625" s="120">
        <f t="shared" si="236"/>
        <v>12</v>
      </c>
      <c r="B625" s="392">
        <v>43975</v>
      </c>
      <c r="C625" s="77" t="s">
        <v>669</v>
      </c>
      <c r="D625" s="231"/>
      <c r="E625" s="78"/>
      <c r="F625" s="340"/>
      <c r="G625" s="78"/>
      <c r="H625" s="79"/>
      <c r="J625" s="138"/>
      <c r="K625" s="253"/>
      <c r="V625" s="120" t="str">
        <f t="shared" si="234"/>
        <v>DP:</v>
      </c>
    </row>
    <row r="626" spans="1:22" ht="12.75" hidden="1" customHeight="1" x14ac:dyDescent="0.25">
      <c r="A626" s="123">
        <f t="shared" si="236"/>
        <v>12</v>
      </c>
      <c r="B626" s="394">
        <v>43975</v>
      </c>
      <c r="C626" s="79" t="s">
        <v>678</v>
      </c>
      <c r="D626" s="269"/>
      <c r="E626" s="316">
        <f>SUM(E624:E625)</f>
        <v>0</v>
      </c>
      <c r="F626" s="78"/>
      <c r="G626" s="78"/>
      <c r="H626" s="79"/>
      <c r="J626" s="138"/>
      <c r="K626" s="253"/>
      <c r="V626" s="120" t="str">
        <f t="shared" ref="V626" si="240">C626 &amp;":"&amp; D626</f>
        <v>ANK:</v>
      </c>
    </row>
    <row r="627" spans="1:22" ht="12.75" hidden="1" customHeight="1" x14ac:dyDescent="0.25">
      <c r="A627" s="120">
        <v>1</v>
      </c>
      <c r="B627" s="392">
        <v>43625</v>
      </c>
      <c r="C627" s="77" t="s">
        <v>622</v>
      </c>
      <c r="D627" s="231"/>
      <c r="E627" s="76">
        <v>2.5</v>
      </c>
      <c r="F627" s="76"/>
      <c r="G627" s="76"/>
      <c r="H627" s="77">
        <v>100253</v>
      </c>
      <c r="I627" t="s">
        <v>727</v>
      </c>
      <c r="J627" s="138"/>
      <c r="U627" s="129"/>
      <c r="V627" s="120" t="str">
        <f t="shared" si="216"/>
        <v>GEO:1</v>
      </c>
    </row>
    <row r="628" spans="1:22" ht="12.75" hidden="1" customHeight="1" x14ac:dyDescent="0.25">
      <c r="A628" s="120">
        <f t="shared" ref="A628:A678" si="241">GETPAYMONTH(DATE(YEAR(B628),MONTH(B628-4)+1,1))</f>
        <v>1</v>
      </c>
      <c r="B628" s="392">
        <v>43632</v>
      </c>
      <c r="C628" s="77" t="s">
        <v>622</v>
      </c>
      <c r="D628" s="231">
        <v>43635</v>
      </c>
      <c r="E628" s="76">
        <v>4</v>
      </c>
      <c r="F628" s="76"/>
      <c r="G628" s="76"/>
      <c r="H628" s="77">
        <v>100253</v>
      </c>
      <c r="J628" s="138"/>
      <c r="U628" s="129"/>
      <c r="V628" s="120" t="str">
        <f t="shared" si="216"/>
        <v>GEO:1</v>
      </c>
    </row>
    <row r="629" spans="1:22" ht="12.75" hidden="1" customHeight="1" x14ac:dyDescent="0.25">
      <c r="A629" s="120">
        <f t="shared" si="241"/>
        <v>1</v>
      </c>
      <c r="B629" s="392">
        <v>43639</v>
      </c>
      <c r="C629" s="77" t="s">
        <v>622</v>
      </c>
      <c r="D629" s="231"/>
      <c r="E629" s="76">
        <v>5</v>
      </c>
      <c r="F629" s="76"/>
      <c r="G629" s="76"/>
      <c r="H629" s="77">
        <v>100254</v>
      </c>
      <c r="J629" s="138"/>
      <c r="U629" s="129"/>
      <c r="V629" s="120" t="str">
        <f t="shared" si="216"/>
        <v>GEO:1</v>
      </c>
    </row>
    <row r="630" spans="1:22" ht="12.75" hidden="1" customHeight="1" x14ac:dyDescent="0.25">
      <c r="A630" s="123">
        <f t="shared" si="241"/>
        <v>1</v>
      </c>
      <c r="B630" s="394">
        <v>43646</v>
      </c>
      <c r="C630" s="79" t="s">
        <v>622</v>
      </c>
      <c r="D630" s="269">
        <v>43656</v>
      </c>
      <c r="E630" s="78">
        <v>5</v>
      </c>
      <c r="F630" s="78"/>
      <c r="G630" s="78"/>
      <c r="H630" s="79">
        <v>100254</v>
      </c>
      <c r="J630" s="138"/>
      <c r="U630" s="129"/>
      <c r="V630" s="120" t="str">
        <f t="shared" si="216"/>
        <v>GEO:1</v>
      </c>
    </row>
    <row r="631" spans="1:22" ht="12.75" hidden="1" customHeight="1" x14ac:dyDescent="0.25">
      <c r="A631" s="267">
        <f t="shared" si="241"/>
        <v>2</v>
      </c>
      <c r="B631" s="393">
        <v>43653</v>
      </c>
      <c r="C631" s="75" t="s">
        <v>622</v>
      </c>
      <c r="D631" s="268"/>
      <c r="E631" s="74">
        <v>5</v>
      </c>
      <c r="F631" s="74"/>
      <c r="G631" s="74"/>
      <c r="H631" s="75">
        <v>100255</v>
      </c>
      <c r="J631" s="138"/>
      <c r="U631" s="129"/>
      <c r="V631" s="120" t="str">
        <f t="shared" si="216"/>
        <v>GEO:2</v>
      </c>
    </row>
    <row r="632" spans="1:22" ht="12.75" hidden="1" customHeight="1" x14ac:dyDescent="0.25">
      <c r="A632" s="120">
        <f t="shared" si="241"/>
        <v>2</v>
      </c>
      <c r="B632" s="392">
        <v>43660</v>
      </c>
      <c r="C632" s="77" t="s">
        <v>622</v>
      </c>
      <c r="D632" s="231"/>
      <c r="E632" s="76">
        <v>4.5</v>
      </c>
      <c r="F632" s="76"/>
      <c r="G632" s="76"/>
      <c r="H632" s="77">
        <v>100255</v>
      </c>
      <c r="I632" t="s">
        <v>764</v>
      </c>
      <c r="J632" s="138"/>
      <c r="U632" s="129"/>
      <c r="V632" s="120" t="str">
        <f t="shared" si="216"/>
        <v>GEO:2</v>
      </c>
    </row>
    <row r="633" spans="1:22" ht="12.75" hidden="1" customHeight="1" x14ac:dyDescent="0.25">
      <c r="A633" s="120">
        <f t="shared" si="241"/>
        <v>2</v>
      </c>
      <c r="B633" s="392">
        <v>43667</v>
      </c>
      <c r="C633" s="77" t="s">
        <v>622</v>
      </c>
      <c r="D633" s="231"/>
      <c r="E633" s="76">
        <v>5</v>
      </c>
      <c r="F633" s="76"/>
      <c r="G633" s="76"/>
      <c r="H633" s="77">
        <v>100256</v>
      </c>
      <c r="J633" s="138"/>
      <c r="U633" s="129"/>
      <c r="V633" s="120" t="str">
        <f t="shared" si="216"/>
        <v>GEO:2</v>
      </c>
    </row>
    <row r="634" spans="1:22" ht="12.75" hidden="1" customHeight="1" x14ac:dyDescent="0.25">
      <c r="A634" s="123">
        <f t="shared" si="241"/>
        <v>2</v>
      </c>
      <c r="B634" s="394">
        <v>43674</v>
      </c>
      <c r="C634" s="79" t="s">
        <v>622</v>
      </c>
      <c r="D634" s="269"/>
      <c r="E634" s="78">
        <v>5</v>
      </c>
      <c r="F634" s="78"/>
      <c r="G634" s="78"/>
      <c r="H634" s="79">
        <v>100256</v>
      </c>
      <c r="J634" s="138"/>
      <c r="U634" s="129"/>
      <c r="V634" s="120" t="str">
        <f t="shared" si="216"/>
        <v>GEO:2</v>
      </c>
    </row>
    <row r="635" spans="1:22" ht="12.75" hidden="1" customHeight="1" x14ac:dyDescent="0.25">
      <c r="A635" s="267">
        <v>3</v>
      </c>
      <c r="B635" s="393">
        <v>43681</v>
      </c>
      <c r="C635" s="75" t="s">
        <v>622</v>
      </c>
      <c r="D635" s="268"/>
      <c r="E635" s="74">
        <v>5</v>
      </c>
      <c r="F635" s="74"/>
      <c r="G635" s="74"/>
      <c r="H635" s="75">
        <v>100257</v>
      </c>
      <c r="J635" s="138"/>
      <c r="U635" s="129"/>
      <c r="V635" s="120" t="str">
        <f t="shared" si="216"/>
        <v>GEO:3</v>
      </c>
    </row>
    <row r="636" spans="1:22" ht="12.75" hidden="1" customHeight="1" x14ac:dyDescent="0.25">
      <c r="A636" s="120">
        <f t="shared" si="241"/>
        <v>3</v>
      </c>
      <c r="B636" s="392">
        <v>43688</v>
      </c>
      <c r="C636" s="77" t="s">
        <v>622</v>
      </c>
      <c r="D636" s="231"/>
      <c r="E636" s="76">
        <v>5</v>
      </c>
      <c r="F636" s="76"/>
      <c r="G636" s="76"/>
      <c r="H636" s="77">
        <v>100257</v>
      </c>
      <c r="J636" s="138"/>
      <c r="U636" s="129"/>
      <c r="V636" s="120" t="str">
        <f t="shared" si="216"/>
        <v>GEO:3</v>
      </c>
    </row>
    <row r="637" spans="1:22" ht="12.75" hidden="1" customHeight="1" x14ac:dyDescent="0.25">
      <c r="A637" s="120">
        <f t="shared" si="241"/>
        <v>3</v>
      </c>
      <c r="B637" s="392">
        <v>43695</v>
      </c>
      <c r="C637" s="77" t="s">
        <v>622</v>
      </c>
      <c r="D637" s="231"/>
      <c r="E637" s="76">
        <v>5</v>
      </c>
      <c r="F637" s="76"/>
      <c r="G637" s="76"/>
      <c r="H637" s="77">
        <v>100257</v>
      </c>
      <c r="J637" s="138"/>
      <c r="U637" s="129"/>
      <c r="V637" s="120" t="str">
        <f t="shared" si="216"/>
        <v>GEO:3</v>
      </c>
    </row>
    <row r="638" spans="1:22" ht="12.75" hidden="1" customHeight="1" x14ac:dyDescent="0.3">
      <c r="A638" s="120">
        <f t="shared" si="241"/>
        <v>3</v>
      </c>
      <c r="B638" s="392">
        <v>43702</v>
      </c>
      <c r="C638" s="77" t="s">
        <v>622</v>
      </c>
      <c r="D638" s="231"/>
      <c r="E638" s="76">
        <v>2</v>
      </c>
      <c r="F638" s="76"/>
      <c r="G638" s="76"/>
      <c r="H638" s="77">
        <v>100257</v>
      </c>
      <c r="I638" t="s">
        <v>870</v>
      </c>
      <c r="J638" s="138"/>
      <c r="O638" s="270"/>
      <c r="U638" s="129"/>
      <c r="V638" s="120" t="str">
        <f t="shared" si="216"/>
        <v>GEO:3</v>
      </c>
    </row>
    <row r="639" spans="1:22" ht="12.75" hidden="1" customHeight="1" x14ac:dyDescent="0.3">
      <c r="A639" s="123">
        <f t="shared" si="241"/>
        <v>3</v>
      </c>
      <c r="B639" s="394">
        <v>43709</v>
      </c>
      <c r="C639" s="79" t="s">
        <v>622</v>
      </c>
      <c r="D639" s="269"/>
      <c r="E639" s="78"/>
      <c r="F639" s="78"/>
      <c r="G639" s="78"/>
      <c r="H639" s="79"/>
      <c r="J639" s="138"/>
      <c r="O639" s="270"/>
      <c r="U639" s="129"/>
      <c r="V639" s="120" t="str">
        <f t="shared" si="216"/>
        <v>GEO:3</v>
      </c>
    </row>
    <row r="640" spans="1:22" ht="12.75" hidden="1" customHeight="1" x14ac:dyDescent="0.3">
      <c r="A640" s="267">
        <f t="shared" si="241"/>
        <v>4</v>
      </c>
      <c r="B640" s="393">
        <v>43716</v>
      </c>
      <c r="C640" s="75" t="s">
        <v>622</v>
      </c>
      <c r="D640" s="268"/>
      <c r="E640" s="74"/>
      <c r="F640" s="74"/>
      <c r="G640" s="74"/>
      <c r="H640" s="75"/>
      <c r="J640" s="138"/>
      <c r="O640" s="270"/>
      <c r="U640" s="129"/>
      <c r="V640" s="120" t="str">
        <f t="shared" si="216"/>
        <v>GEO:4</v>
      </c>
    </row>
    <row r="641" spans="1:22" ht="12.75" hidden="1" customHeight="1" x14ac:dyDescent="0.3">
      <c r="A641" s="120">
        <f t="shared" si="241"/>
        <v>4</v>
      </c>
      <c r="B641" s="392">
        <v>43723</v>
      </c>
      <c r="C641" s="77" t="s">
        <v>622</v>
      </c>
      <c r="D641" s="231"/>
      <c r="E641" s="76"/>
      <c r="F641" s="76"/>
      <c r="G641" s="76"/>
      <c r="H641" s="77"/>
      <c r="J641" s="138"/>
      <c r="O641" s="270"/>
      <c r="U641" s="129"/>
      <c r="V641" s="120" t="str">
        <f t="shared" si="216"/>
        <v>GEO:4</v>
      </c>
    </row>
    <row r="642" spans="1:22" ht="12.75" hidden="1" customHeight="1" x14ac:dyDescent="0.3">
      <c r="A642" s="120">
        <f t="shared" si="241"/>
        <v>4</v>
      </c>
      <c r="B642" s="392">
        <v>43730</v>
      </c>
      <c r="C642" s="77" t="s">
        <v>622</v>
      </c>
      <c r="D642" s="231"/>
      <c r="E642" s="76"/>
      <c r="F642" s="76"/>
      <c r="G642" s="76"/>
      <c r="H642" s="77"/>
      <c r="J642" s="138"/>
      <c r="O642" s="271"/>
      <c r="U642" s="129"/>
      <c r="V642" s="120" t="str">
        <f t="shared" si="216"/>
        <v>GEO:4</v>
      </c>
    </row>
    <row r="643" spans="1:22" ht="12.75" hidden="1" customHeight="1" x14ac:dyDescent="0.25">
      <c r="A643" s="123">
        <f t="shared" si="241"/>
        <v>4</v>
      </c>
      <c r="B643" s="394">
        <v>43737</v>
      </c>
      <c r="C643" s="79" t="s">
        <v>622</v>
      </c>
      <c r="D643" s="269"/>
      <c r="E643" s="78"/>
      <c r="F643" s="78"/>
      <c r="G643" s="78"/>
      <c r="H643" s="79"/>
      <c r="J643" s="138"/>
      <c r="U643" s="129"/>
      <c r="V643" s="120" t="str">
        <f t="shared" si="216"/>
        <v>GEO:4</v>
      </c>
    </row>
    <row r="644" spans="1:22" ht="12.75" hidden="1" customHeight="1" x14ac:dyDescent="0.25">
      <c r="A644" s="267">
        <f t="shared" si="241"/>
        <v>5</v>
      </c>
      <c r="B644" s="393">
        <v>43744</v>
      </c>
      <c r="C644" s="75" t="s">
        <v>622</v>
      </c>
      <c r="D644" s="268"/>
      <c r="E644" s="74"/>
      <c r="F644" s="74"/>
      <c r="G644" s="74"/>
      <c r="H644" s="75"/>
      <c r="J644" s="138"/>
      <c r="U644" s="129"/>
      <c r="V644" s="120" t="str">
        <f t="shared" si="216"/>
        <v>GEO:5</v>
      </c>
    </row>
    <row r="645" spans="1:22" ht="12.75" hidden="1" customHeight="1" x14ac:dyDescent="0.25">
      <c r="A645" s="120">
        <f t="shared" si="241"/>
        <v>5</v>
      </c>
      <c r="B645" s="392">
        <v>43751</v>
      </c>
      <c r="C645" s="77" t="s">
        <v>622</v>
      </c>
      <c r="D645" s="231"/>
      <c r="E645" s="76"/>
      <c r="F645" s="76"/>
      <c r="G645" s="76"/>
      <c r="H645" s="77"/>
      <c r="J645" s="138"/>
      <c r="U645" s="129"/>
      <c r="V645" s="120" t="str">
        <f t="shared" si="216"/>
        <v>GEO:5</v>
      </c>
    </row>
    <row r="646" spans="1:22" ht="12.75" hidden="1" customHeight="1" x14ac:dyDescent="0.25">
      <c r="A646" s="120">
        <f t="shared" si="241"/>
        <v>5</v>
      </c>
      <c r="B646" s="392">
        <v>43758</v>
      </c>
      <c r="C646" s="77" t="s">
        <v>622</v>
      </c>
      <c r="D646" s="231"/>
      <c r="E646" s="76"/>
      <c r="F646" s="76"/>
      <c r="G646" s="76"/>
      <c r="H646" s="77"/>
      <c r="J646" s="138"/>
      <c r="U646" s="129"/>
      <c r="V646" s="120" t="str">
        <f t="shared" si="216"/>
        <v>GEO:5</v>
      </c>
    </row>
    <row r="647" spans="1:22" ht="12.75" hidden="1" customHeight="1" x14ac:dyDescent="0.25">
      <c r="A647" s="120">
        <f t="shared" si="241"/>
        <v>5</v>
      </c>
      <c r="B647" s="392">
        <v>43765</v>
      </c>
      <c r="C647" s="77" t="s">
        <v>622</v>
      </c>
      <c r="D647" s="231"/>
      <c r="E647" s="76"/>
      <c r="F647" s="76"/>
      <c r="G647" s="76"/>
      <c r="H647" s="77"/>
      <c r="J647" s="138"/>
      <c r="U647" s="129"/>
      <c r="V647" s="120" t="str">
        <f t="shared" si="216"/>
        <v>GEO:5</v>
      </c>
    </row>
    <row r="648" spans="1:22" ht="12.75" hidden="1" customHeight="1" x14ac:dyDescent="0.25">
      <c r="A648" s="123">
        <f t="shared" si="241"/>
        <v>5</v>
      </c>
      <c r="B648" s="394">
        <v>43772</v>
      </c>
      <c r="C648" s="79" t="s">
        <v>622</v>
      </c>
      <c r="D648" s="269"/>
      <c r="E648" s="78"/>
      <c r="F648" s="78"/>
      <c r="G648" s="78"/>
      <c r="H648" s="79"/>
      <c r="J648" s="138"/>
      <c r="U648" s="129"/>
      <c r="V648" s="120" t="str">
        <f t="shared" si="216"/>
        <v>GEO:5</v>
      </c>
    </row>
    <row r="649" spans="1:22" ht="12.75" hidden="1" customHeight="1" x14ac:dyDescent="0.25">
      <c r="A649" s="267">
        <f t="shared" si="241"/>
        <v>6</v>
      </c>
      <c r="B649" s="393">
        <v>43779</v>
      </c>
      <c r="C649" s="75" t="s">
        <v>622</v>
      </c>
      <c r="D649" s="268"/>
      <c r="E649" s="74"/>
      <c r="F649" s="74"/>
      <c r="G649" s="74"/>
      <c r="H649" s="75"/>
      <c r="J649" s="138"/>
      <c r="U649" s="129"/>
      <c r="V649" s="120" t="str">
        <f t="shared" si="216"/>
        <v>GEO:6</v>
      </c>
    </row>
    <row r="650" spans="1:22" ht="12.75" hidden="1" customHeight="1" x14ac:dyDescent="0.25">
      <c r="A650" s="120">
        <f t="shared" si="241"/>
        <v>6</v>
      </c>
      <c r="B650" s="392">
        <v>43786</v>
      </c>
      <c r="C650" s="77" t="s">
        <v>622</v>
      </c>
      <c r="D650" s="231"/>
      <c r="E650" s="76"/>
      <c r="F650" s="76"/>
      <c r="G650" s="76"/>
      <c r="H650" s="77"/>
      <c r="J650" s="138"/>
      <c r="U650" s="129"/>
      <c r="V650" s="120" t="str">
        <f t="shared" si="216"/>
        <v>GEO:6</v>
      </c>
    </row>
    <row r="651" spans="1:22" ht="12.75" hidden="1" customHeight="1" x14ac:dyDescent="0.25">
      <c r="A651" s="120">
        <f t="shared" si="241"/>
        <v>6</v>
      </c>
      <c r="B651" s="392">
        <v>43793</v>
      </c>
      <c r="C651" s="77" t="s">
        <v>622</v>
      </c>
      <c r="D651" s="231"/>
      <c r="E651" s="76"/>
      <c r="F651" s="76"/>
      <c r="G651" s="76"/>
      <c r="H651" s="77"/>
      <c r="J651" s="138"/>
      <c r="U651" s="129"/>
      <c r="V651" s="120" t="str">
        <f t="shared" si="216"/>
        <v>GEO:6</v>
      </c>
    </row>
    <row r="652" spans="1:22" ht="12.75" hidden="1" customHeight="1" x14ac:dyDescent="0.25">
      <c r="A652" s="123">
        <f t="shared" si="241"/>
        <v>6</v>
      </c>
      <c r="B652" s="394">
        <v>43800</v>
      </c>
      <c r="C652" s="79" t="s">
        <v>622</v>
      </c>
      <c r="D652" s="269"/>
      <c r="E652" s="78"/>
      <c r="F652" s="78"/>
      <c r="G652" s="78"/>
      <c r="H652" s="79"/>
      <c r="J652" s="138"/>
      <c r="U652" s="129"/>
      <c r="V652" s="120" t="str">
        <f t="shared" si="216"/>
        <v>GEO:6</v>
      </c>
    </row>
    <row r="653" spans="1:22" ht="12.75" hidden="1" customHeight="1" x14ac:dyDescent="0.25">
      <c r="A653" s="267">
        <f t="shared" si="241"/>
        <v>7</v>
      </c>
      <c r="B653" s="393">
        <v>43807</v>
      </c>
      <c r="C653" s="75" t="s">
        <v>622</v>
      </c>
      <c r="D653" s="268"/>
      <c r="E653" s="74"/>
      <c r="F653" s="74"/>
      <c r="G653" s="74"/>
      <c r="H653" s="75"/>
      <c r="J653" s="138"/>
      <c r="U653" s="129"/>
      <c r="V653" s="120" t="str">
        <f t="shared" si="216"/>
        <v>GEO:7</v>
      </c>
    </row>
    <row r="654" spans="1:22" ht="12.75" hidden="1" customHeight="1" x14ac:dyDescent="0.25">
      <c r="A654" s="120">
        <f t="shared" si="241"/>
        <v>7</v>
      </c>
      <c r="B654" s="392">
        <v>43814</v>
      </c>
      <c r="C654" s="77" t="s">
        <v>622</v>
      </c>
      <c r="D654" s="231"/>
      <c r="E654" s="76"/>
      <c r="F654" s="76"/>
      <c r="G654" s="76"/>
      <c r="H654" s="77"/>
      <c r="J654" s="138"/>
      <c r="U654" s="129"/>
      <c r="V654" s="120" t="str">
        <f t="shared" si="216"/>
        <v>GEO:7</v>
      </c>
    </row>
    <row r="655" spans="1:22" ht="12.75" hidden="1" customHeight="1" x14ac:dyDescent="0.25">
      <c r="A655" s="120">
        <f t="shared" si="241"/>
        <v>7</v>
      </c>
      <c r="B655" s="392">
        <v>43821</v>
      </c>
      <c r="C655" s="77" t="s">
        <v>622</v>
      </c>
      <c r="D655" s="231"/>
      <c r="E655" s="76"/>
      <c r="F655" s="76"/>
      <c r="G655" s="76"/>
      <c r="H655" s="77"/>
      <c r="J655" s="138"/>
      <c r="U655" s="129"/>
      <c r="V655" s="120" t="str">
        <f t="shared" si="216"/>
        <v>GEO:7</v>
      </c>
    </row>
    <row r="656" spans="1:22" ht="12.75" hidden="1" customHeight="1" x14ac:dyDescent="0.3">
      <c r="A656" s="123">
        <f t="shared" si="241"/>
        <v>7</v>
      </c>
      <c r="B656" s="394">
        <v>43828</v>
      </c>
      <c r="C656" s="79" t="s">
        <v>622</v>
      </c>
      <c r="D656" s="269"/>
      <c r="E656" s="78"/>
      <c r="F656" s="78"/>
      <c r="G656" s="78"/>
      <c r="H656" s="79"/>
      <c r="J656" s="138"/>
      <c r="O656" s="270"/>
      <c r="U656" s="129"/>
      <c r="V656" s="120" t="str">
        <f t="shared" si="216"/>
        <v>GEO:7</v>
      </c>
    </row>
    <row r="657" spans="1:22" ht="12.75" hidden="1" customHeight="1" x14ac:dyDescent="0.3">
      <c r="A657" s="267">
        <f t="shared" si="241"/>
        <v>8</v>
      </c>
      <c r="B657" s="393">
        <v>43835</v>
      </c>
      <c r="C657" s="75" t="s">
        <v>622</v>
      </c>
      <c r="D657" s="268"/>
      <c r="E657" s="74"/>
      <c r="F657" s="74"/>
      <c r="G657" s="74"/>
      <c r="H657" s="75"/>
      <c r="J657" s="138"/>
      <c r="O657" s="270"/>
      <c r="U657" s="129"/>
      <c r="V657" s="120" t="str">
        <f t="shared" si="216"/>
        <v>GEO:8</v>
      </c>
    </row>
    <row r="658" spans="1:22" ht="12.75" hidden="1" customHeight="1" x14ac:dyDescent="0.3">
      <c r="A658" s="120">
        <f t="shared" si="241"/>
        <v>8</v>
      </c>
      <c r="B658" s="392">
        <v>43842</v>
      </c>
      <c r="C658" s="77" t="s">
        <v>622</v>
      </c>
      <c r="D658" s="231"/>
      <c r="E658" s="76"/>
      <c r="F658" s="76"/>
      <c r="G658" s="76"/>
      <c r="H658" s="77"/>
      <c r="J658" s="138"/>
      <c r="O658" s="270"/>
      <c r="U658" s="129"/>
      <c r="V658" s="120" t="str">
        <f t="shared" si="216"/>
        <v>GEO:8</v>
      </c>
    </row>
    <row r="659" spans="1:22" ht="12.75" hidden="1" customHeight="1" x14ac:dyDescent="0.3">
      <c r="A659" s="120">
        <f t="shared" si="241"/>
        <v>8</v>
      </c>
      <c r="B659" s="392">
        <v>43849</v>
      </c>
      <c r="C659" s="77" t="s">
        <v>622</v>
      </c>
      <c r="D659" s="231"/>
      <c r="E659" s="76"/>
      <c r="F659" s="76"/>
      <c r="G659" s="76"/>
      <c r="H659" s="77"/>
      <c r="J659" s="138"/>
      <c r="O659" s="271"/>
      <c r="U659" s="129"/>
      <c r="V659" s="120" t="str">
        <f t="shared" si="216"/>
        <v>GEO:8</v>
      </c>
    </row>
    <row r="660" spans="1:22" ht="12.75" hidden="1" customHeight="1" x14ac:dyDescent="0.25">
      <c r="A660" s="120">
        <f t="shared" si="241"/>
        <v>8</v>
      </c>
      <c r="B660" s="392">
        <v>43856</v>
      </c>
      <c r="C660" s="77" t="s">
        <v>622</v>
      </c>
      <c r="D660" s="231"/>
      <c r="E660" s="76"/>
      <c r="F660" s="76"/>
      <c r="G660" s="76"/>
      <c r="H660" s="77"/>
      <c r="J660" s="138"/>
      <c r="U660" s="129"/>
      <c r="V660" s="120" t="str">
        <f t="shared" si="216"/>
        <v>GEO:8</v>
      </c>
    </row>
    <row r="661" spans="1:22" ht="12.75" hidden="1" customHeight="1" x14ac:dyDescent="0.25">
      <c r="A661" s="123">
        <f t="shared" si="241"/>
        <v>8</v>
      </c>
      <c r="B661" s="394">
        <v>43863</v>
      </c>
      <c r="C661" s="79" t="s">
        <v>622</v>
      </c>
      <c r="D661" s="269"/>
      <c r="E661" s="78"/>
      <c r="F661" s="78"/>
      <c r="G661" s="78"/>
      <c r="H661" s="79"/>
      <c r="J661" s="138"/>
      <c r="U661" s="129"/>
      <c r="V661" s="120" t="str">
        <f t="shared" si="216"/>
        <v>GEO:8</v>
      </c>
    </row>
    <row r="662" spans="1:22" ht="12.75" hidden="1" customHeight="1" x14ac:dyDescent="0.25">
      <c r="A662" s="267">
        <f t="shared" si="241"/>
        <v>9</v>
      </c>
      <c r="B662" s="393">
        <v>43870</v>
      </c>
      <c r="C662" s="75" t="s">
        <v>622</v>
      </c>
      <c r="D662" s="268"/>
      <c r="E662" s="74"/>
      <c r="F662" s="74"/>
      <c r="G662" s="74"/>
      <c r="H662" s="75"/>
      <c r="J662" s="138"/>
      <c r="U662" s="129"/>
      <c r="V662" s="120" t="str">
        <f t="shared" si="216"/>
        <v>GEO:9</v>
      </c>
    </row>
    <row r="663" spans="1:22" ht="12.75" hidden="1" customHeight="1" x14ac:dyDescent="0.25">
      <c r="A663" s="120">
        <f t="shared" si="241"/>
        <v>9</v>
      </c>
      <c r="B663" s="392">
        <v>43877</v>
      </c>
      <c r="C663" s="77" t="s">
        <v>622</v>
      </c>
      <c r="D663" s="231"/>
      <c r="E663" s="76"/>
      <c r="F663" s="76"/>
      <c r="G663" s="76"/>
      <c r="H663" s="77"/>
      <c r="J663" s="138"/>
      <c r="U663" s="129"/>
      <c r="V663" s="120" t="str">
        <f t="shared" si="216"/>
        <v>GEO:9</v>
      </c>
    </row>
    <row r="664" spans="1:22" ht="12.75" hidden="1" customHeight="1" x14ac:dyDescent="0.25">
      <c r="A664" s="120">
        <f t="shared" si="241"/>
        <v>9</v>
      </c>
      <c r="B664" s="392">
        <v>43884</v>
      </c>
      <c r="C664" s="77" t="s">
        <v>622</v>
      </c>
      <c r="D664" s="231"/>
      <c r="E664" s="76"/>
      <c r="F664" s="76"/>
      <c r="G664" s="76"/>
      <c r="H664" s="77"/>
      <c r="J664" s="138"/>
      <c r="U664" s="129"/>
      <c r="V664" s="120" t="str">
        <f t="shared" si="216"/>
        <v>GEO:9</v>
      </c>
    </row>
    <row r="665" spans="1:22" ht="12.75" hidden="1" customHeight="1" x14ac:dyDescent="0.25">
      <c r="A665" s="123">
        <f t="shared" si="241"/>
        <v>9</v>
      </c>
      <c r="B665" s="394">
        <v>43891</v>
      </c>
      <c r="C665" s="79" t="s">
        <v>622</v>
      </c>
      <c r="D665" s="269"/>
      <c r="E665" s="78"/>
      <c r="F665" s="78"/>
      <c r="G665" s="78"/>
      <c r="H665" s="79"/>
      <c r="J665" s="138"/>
      <c r="U665" s="129"/>
      <c r="V665" s="120" t="str">
        <f t="shared" si="216"/>
        <v>GEO:9</v>
      </c>
    </row>
    <row r="666" spans="1:22" ht="12.75" hidden="1" customHeight="1" x14ac:dyDescent="0.25">
      <c r="A666" s="267">
        <f t="shared" si="241"/>
        <v>10</v>
      </c>
      <c r="B666" s="393">
        <v>43898</v>
      </c>
      <c r="C666" s="75" t="s">
        <v>622</v>
      </c>
      <c r="D666" s="268"/>
      <c r="E666" s="74"/>
      <c r="F666" s="74"/>
      <c r="G666" s="74"/>
      <c r="H666" s="75"/>
      <c r="J666" s="138"/>
      <c r="U666" s="129"/>
      <c r="V666" s="120" t="str">
        <f t="shared" si="216"/>
        <v>GEO:10</v>
      </c>
    </row>
    <row r="667" spans="1:22" ht="12.75" hidden="1" customHeight="1" x14ac:dyDescent="0.25">
      <c r="A667" s="120">
        <f t="shared" si="241"/>
        <v>10</v>
      </c>
      <c r="B667" s="392">
        <v>43905</v>
      </c>
      <c r="C667" s="77" t="s">
        <v>622</v>
      </c>
      <c r="D667" s="231"/>
      <c r="E667" s="76"/>
      <c r="F667" s="76"/>
      <c r="G667" s="76"/>
      <c r="H667" s="77"/>
      <c r="J667" s="138"/>
      <c r="U667" s="129"/>
      <c r="V667" s="120" t="str">
        <f t="shared" si="216"/>
        <v>GEO:10</v>
      </c>
    </row>
    <row r="668" spans="1:22" ht="12.75" hidden="1" customHeight="1" x14ac:dyDescent="0.25">
      <c r="A668" s="120">
        <f t="shared" si="241"/>
        <v>10</v>
      </c>
      <c r="B668" s="392">
        <v>43912</v>
      </c>
      <c r="C668" s="77" t="s">
        <v>622</v>
      </c>
      <c r="D668" s="231"/>
      <c r="E668" s="76"/>
      <c r="F668" s="76"/>
      <c r="G668" s="76"/>
      <c r="H668" s="77"/>
      <c r="J668" s="138"/>
      <c r="U668" s="129"/>
      <c r="V668" s="120" t="str">
        <f t="shared" si="216"/>
        <v>GEO:10</v>
      </c>
    </row>
    <row r="669" spans="1:22" ht="12.75" hidden="1" customHeight="1" x14ac:dyDescent="0.25">
      <c r="A669" s="123">
        <f t="shared" si="241"/>
        <v>10</v>
      </c>
      <c r="B669" s="394">
        <v>43919</v>
      </c>
      <c r="C669" s="79" t="s">
        <v>622</v>
      </c>
      <c r="D669" s="269"/>
      <c r="E669" s="78"/>
      <c r="F669" s="78"/>
      <c r="G669" s="78"/>
      <c r="H669" s="79"/>
      <c r="I669" s="328"/>
      <c r="J669" s="138"/>
      <c r="U669" s="129"/>
      <c r="V669" s="120" t="str">
        <f t="shared" si="216"/>
        <v>GEO:10</v>
      </c>
    </row>
    <row r="670" spans="1:22" ht="12.75" hidden="1" customHeight="1" x14ac:dyDescent="0.25">
      <c r="A670" s="267">
        <f t="shared" si="241"/>
        <v>11</v>
      </c>
      <c r="B670" s="393">
        <v>43926</v>
      </c>
      <c r="C670" s="75" t="s">
        <v>622</v>
      </c>
      <c r="D670" s="268"/>
      <c r="E670" s="74"/>
      <c r="F670" s="74"/>
      <c r="G670" s="74"/>
      <c r="H670" s="75"/>
      <c r="I670" s="328"/>
      <c r="J670" s="138"/>
      <c r="U670" s="129"/>
      <c r="V670" s="120" t="str">
        <f t="shared" si="216"/>
        <v>GEO:11</v>
      </c>
    </row>
    <row r="671" spans="1:22" ht="12.75" hidden="1" customHeight="1" x14ac:dyDescent="0.25">
      <c r="A671" s="120">
        <f t="shared" si="241"/>
        <v>11</v>
      </c>
      <c r="B671" s="392">
        <v>43933</v>
      </c>
      <c r="C671" s="77" t="s">
        <v>622</v>
      </c>
      <c r="D671" s="231"/>
      <c r="E671" s="76"/>
      <c r="F671" s="76"/>
      <c r="G671" s="76"/>
      <c r="H671" s="77"/>
      <c r="I671" s="328"/>
      <c r="J671" s="138"/>
      <c r="U671" s="129"/>
      <c r="V671" s="120" t="str">
        <f t="shared" si="216"/>
        <v>GEO:11</v>
      </c>
    </row>
    <row r="672" spans="1:22" ht="12.75" hidden="1" customHeight="1" x14ac:dyDescent="0.25">
      <c r="A672" s="120">
        <f t="shared" si="241"/>
        <v>11</v>
      </c>
      <c r="B672" s="392">
        <v>43940</v>
      </c>
      <c r="C672" s="77" t="s">
        <v>622</v>
      </c>
      <c r="D672" s="231"/>
      <c r="E672" s="76"/>
      <c r="F672" s="76"/>
      <c r="G672" s="76"/>
      <c r="H672" s="77"/>
      <c r="J672" s="138"/>
      <c r="U672" s="129"/>
      <c r="V672" s="120" t="str">
        <f t="shared" si="216"/>
        <v>GEO:11</v>
      </c>
    </row>
    <row r="673" spans="1:22" ht="12.75" hidden="1" customHeight="1" x14ac:dyDescent="0.25">
      <c r="A673" s="123">
        <f t="shared" si="241"/>
        <v>11</v>
      </c>
      <c r="B673" s="394">
        <v>43947</v>
      </c>
      <c r="C673" s="79" t="s">
        <v>622</v>
      </c>
      <c r="D673" s="269"/>
      <c r="E673" s="78"/>
      <c r="F673" s="78"/>
      <c r="G673" s="78"/>
      <c r="H673" s="79"/>
      <c r="J673" s="138"/>
      <c r="U673" s="129"/>
      <c r="V673" s="120" t="str">
        <f t="shared" si="216"/>
        <v>GEO:11</v>
      </c>
    </row>
    <row r="674" spans="1:22" ht="12.75" hidden="1" customHeight="1" x14ac:dyDescent="0.25">
      <c r="A674" s="267">
        <f t="shared" si="241"/>
        <v>11</v>
      </c>
      <c r="B674" s="393">
        <v>43954</v>
      </c>
      <c r="C674" s="75" t="s">
        <v>622</v>
      </c>
      <c r="D674" s="268"/>
      <c r="E674" s="74"/>
      <c r="F674" s="74"/>
      <c r="G674" s="74"/>
      <c r="H674" s="75"/>
      <c r="I674" s="328"/>
      <c r="J674" s="138"/>
      <c r="U674" s="129"/>
      <c r="V674" s="120" t="str">
        <f t="shared" ref="V674:V678" si="242">C674 &amp;":"&amp; A674</f>
        <v>GEO:11</v>
      </c>
    </row>
    <row r="675" spans="1:22" ht="12.75" hidden="1" customHeight="1" x14ac:dyDescent="0.25">
      <c r="A675" s="120">
        <f t="shared" si="241"/>
        <v>12</v>
      </c>
      <c r="B675" s="392">
        <v>43961</v>
      </c>
      <c r="C675" s="77" t="s">
        <v>622</v>
      </c>
      <c r="D675" s="231"/>
      <c r="E675" s="76"/>
      <c r="F675" s="76"/>
      <c r="G675" s="76"/>
      <c r="H675" s="77"/>
      <c r="J675" s="138"/>
      <c r="U675" s="129"/>
      <c r="V675" s="120" t="str">
        <f t="shared" si="242"/>
        <v>GEO:12</v>
      </c>
    </row>
    <row r="676" spans="1:22" ht="12.75" hidden="1" customHeight="1" x14ac:dyDescent="0.25">
      <c r="A676" s="120">
        <f t="shared" si="241"/>
        <v>12</v>
      </c>
      <c r="B676" s="392">
        <v>43968</v>
      </c>
      <c r="C676" s="77" t="s">
        <v>622</v>
      </c>
      <c r="D676" s="231"/>
      <c r="E676" s="76"/>
      <c r="F676" s="76"/>
      <c r="G676" s="76"/>
      <c r="H676" s="77"/>
      <c r="J676" s="138"/>
      <c r="L676" s="22"/>
      <c r="U676" s="129"/>
      <c r="V676" s="120" t="str">
        <f t="shared" si="242"/>
        <v>GEO:12</v>
      </c>
    </row>
    <row r="677" spans="1:22" ht="12.75" hidden="1" customHeight="1" x14ac:dyDescent="0.25">
      <c r="A677" s="120">
        <f t="shared" si="241"/>
        <v>12</v>
      </c>
      <c r="B677" s="392">
        <v>43975</v>
      </c>
      <c r="C677" s="77" t="s">
        <v>622</v>
      </c>
      <c r="D677" s="231"/>
      <c r="E677" s="76"/>
      <c r="F677" s="76"/>
      <c r="G677" s="76"/>
      <c r="H677" s="77"/>
      <c r="J677" s="138"/>
      <c r="U677" s="129"/>
      <c r="V677" s="120" t="str">
        <f t="shared" si="242"/>
        <v>GEO:12</v>
      </c>
    </row>
    <row r="678" spans="1:22" ht="12.75" hidden="1" customHeight="1" x14ac:dyDescent="0.25">
      <c r="A678" s="123">
        <f t="shared" si="241"/>
        <v>12</v>
      </c>
      <c r="B678" s="394">
        <v>43982</v>
      </c>
      <c r="C678" s="79" t="s">
        <v>622</v>
      </c>
      <c r="D678" s="269"/>
      <c r="E678" s="78"/>
      <c r="F678" s="78"/>
      <c r="G678" s="78"/>
      <c r="H678" s="79"/>
      <c r="J678" s="138"/>
      <c r="L678" s="22"/>
      <c r="U678" s="129"/>
      <c r="V678" s="120" t="str">
        <f t="shared" si="242"/>
        <v>GEO:12</v>
      </c>
    </row>
  </sheetData>
  <autoFilter ref="C21:C678">
    <filterColumn colId="0">
      <filters>
        <filter val="VAK"/>
      </filters>
    </filterColumn>
  </autoFilter>
  <sortState ref="Y3:AB13">
    <sortCondition ref="Y3"/>
  </sortState>
  <conditionalFormatting sqref="B10:C10 H18:T19 B14:C14 B6:C6 H6:T6 B18:C19 E6:F6 E10:T10 H14:T14 E14:F14 E18:F19">
    <cfRule type="cellIs" dxfId="80" priority="32" operator="greaterThanOrEqual">
      <formula>0</formula>
    </cfRule>
    <cfRule type="cellIs" dxfId="79" priority="33" operator="lessThan">
      <formula>0</formula>
    </cfRule>
  </conditionalFormatting>
  <conditionalFormatting sqref="K286:L286 K279:L281 R279:R286">
    <cfRule type="expression" dxfId="78" priority="34">
      <formula>IF($W262=#REF!,1,0)</formula>
    </cfRule>
  </conditionalFormatting>
  <conditionalFormatting sqref="K282:L285">
    <cfRule type="expression" dxfId="77" priority="36">
      <formula>IF($W282=#REF!,1,0)</formula>
    </cfRule>
  </conditionalFormatting>
  <conditionalFormatting sqref="K273:L276">
    <cfRule type="expression" dxfId="76" priority="37">
      <formula>IF($W273=#REF!,1,0)</formula>
    </cfRule>
  </conditionalFormatting>
  <conditionalFormatting sqref="R290">
    <cfRule type="expression" dxfId="75" priority="38">
      <formula>IF($W290=#REF!,1,0)</formula>
    </cfRule>
  </conditionalFormatting>
  <conditionalFormatting sqref="K287:L289">
    <cfRule type="expression" dxfId="74" priority="39">
      <formula>IF($W287=#REF!,1,0)</formula>
    </cfRule>
  </conditionalFormatting>
  <conditionalFormatting sqref="K270:L270">
    <cfRule type="expression" dxfId="73" priority="40">
      <formula>IF($W270=#REF!,1,0)</formula>
    </cfRule>
  </conditionalFormatting>
  <conditionalFormatting sqref="K348:L349">
    <cfRule type="expression" dxfId="72" priority="41">
      <formula>IF($W348=#REF!,1,0)</formula>
    </cfRule>
  </conditionalFormatting>
  <conditionalFormatting sqref="K346:L347">
    <cfRule type="expression" dxfId="71" priority="42">
      <formula>IF($W346=#REF!,1,0)</formula>
    </cfRule>
  </conditionalFormatting>
  <conditionalFormatting sqref="K344:L345">
    <cfRule type="expression" dxfId="70" priority="70">
      <formula>IF($W344=#REF!,1,0)</formula>
    </cfRule>
  </conditionalFormatting>
  <conditionalFormatting sqref="K342:L343">
    <cfRule type="expression" dxfId="69" priority="71">
      <formula>IF($W342=#REF!,1,0)</formula>
    </cfRule>
  </conditionalFormatting>
  <conditionalFormatting sqref="K269:L269 R269">
    <cfRule type="expression" dxfId="68" priority="72">
      <formula>IF($W219=#REF!,1,0)</formula>
    </cfRule>
  </conditionalFormatting>
  <conditionalFormatting sqref="K354:L354 K357:L357 R354 R357">
    <cfRule type="expression" dxfId="67" priority="76">
      <formula>IF(#REF!=#REF!,1,0)</formula>
    </cfRule>
  </conditionalFormatting>
  <conditionalFormatting sqref="K356:L356 R356">
    <cfRule type="expression" dxfId="66" priority="81">
      <formula>IF(#REF!=#REF!,1,0)</formula>
    </cfRule>
  </conditionalFormatting>
  <conditionalFormatting sqref="K355:L355 R355">
    <cfRule type="expression" dxfId="65" priority="83">
      <formula>IF(#REF!=#REF!,1,0)</formula>
    </cfRule>
  </conditionalFormatting>
  <conditionalFormatting sqref="K351:L351 R351">
    <cfRule type="expression" dxfId="64" priority="28">
      <formula>IF(#REF!=#REF!,1,0)</formula>
    </cfRule>
  </conditionalFormatting>
  <conditionalFormatting sqref="K353:L353 R353">
    <cfRule type="expression" dxfId="63" priority="29">
      <formula>IF($W293=#REF!,1,0)</formula>
    </cfRule>
  </conditionalFormatting>
  <conditionalFormatting sqref="K352:L352 R352">
    <cfRule type="expression" dxfId="62" priority="30">
      <formula>IF($W291=#REF!,1,0)</formula>
    </cfRule>
  </conditionalFormatting>
  <conditionalFormatting sqref="R347:R350">
    <cfRule type="expression" dxfId="61" priority="84">
      <formula>IF($W342=#REF!,1,0)</formula>
    </cfRule>
  </conditionalFormatting>
  <conditionalFormatting sqref="K350:L350">
    <cfRule type="expression" dxfId="60" priority="85">
      <formula>IF(#REF!=#REF!,1,0)</formula>
    </cfRule>
  </conditionalFormatting>
  <conditionalFormatting sqref="R342:R343">
    <cfRule type="expression" dxfId="59" priority="86">
      <formula>IF($W285=#REF!,1,0)</formula>
    </cfRule>
  </conditionalFormatting>
  <conditionalFormatting sqref="R344:R345">
    <cfRule type="expression" dxfId="58" priority="87">
      <formula>IF($W286=#REF!,1,0)</formula>
    </cfRule>
  </conditionalFormatting>
  <conditionalFormatting sqref="K290:L293 R291:R293 R287:R289">
    <cfRule type="expression" dxfId="57" priority="140">
      <formula>IF(#REF!=#REF!,1,0)</formula>
    </cfRule>
  </conditionalFormatting>
  <conditionalFormatting sqref="R346">
    <cfRule type="expression" dxfId="56" priority="170">
      <formula>IF(#REF!=#REF!,1,0)</formula>
    </cfRule>
  </conditionalFormatting>
  <conditionalFormatting sqref="K299:L305 R299:R310">
    <cfRule type="expression" dxfId="55" priority="14">
      <formula>IF($W262=#REF!,1,0)</formula>
    </cfRule>
  </conditionalFormatting>
  <conditionalFormatting sqref="K297:L297 K322:L324">
    <cfRule type="expression" dxfId="54" priority="16">
      <formula>IF($W297=#REF!,1,0)</formula>
    </cfRule>
  </conditionalFormatting>
  <conditionalFormatting sqref="R338">
    <cfRule type="expression" dxfId="53" priority="17">
      <formula>IF($W338=#REF!,1,0)</formula>
    </cfRule>
  </conditionalFormatting>
  <conditionalFormatting sqref="K335:L337">
    <cfRule type="expression" dxfId="52" priority="18">
      <formula>IF($W335=#REF!,1,0)</formula>
    </cfRule>
  </conditionalFormatting>
  <conditionalFormatting sqref="K294:L294">
    <cfRule type="expression" dxfId="51" priority="19">
      <formula>IF($W294=#REF!,1,0)</formula>
    </cfRule>
  </conditionalFormatting>
  <conditionalFormatting sqref="K338:L341 R339:R341 R335:R337">
    <cfRule type="expression" dxfId="50" priority="20">
      <formula>IF(#REF!=#REF!,1,0)</formula>
    </cfRule>
  </conditionalFormatting>
  <conditionalFormatting sqref="K295:L297 R294:R297">
    <cfRule type="expression" dxfId="49" priority="173">
      <formula>IF($W277=#REF!,1,0)</formula>
    </cfRule>
  </conditionalFormatting>
  <conditionalFormatting sqref="K310:L310">
    <cfRule type="expression" dxfId="48" priority="8">
      <formula>IF($W273=#REF!,1,0)</formula>
    </cfRule>
  </conditionalFormatting>
  <conditionalFormatting sqref="K306:L309">
    <cfRule type="expression" dxfId="47" priority="9">
      <formula>IF($W306=#REF!,1,0)</formula>
    </cfRule>
  </conditionalFormatting>
  <conditionalFormatting sqref="K298:L300">
    <cfRule type="expression" dxfId="46" priority="10">
      <formula>IF($W298=#REF!,1,0)</formula>
    </cfRule>
  </conditionalFormatting>
  <conditionalFormatting sqref="R314">
    <cfRule type="expression" dxfId="45" priority="11">
      <formula>IF($W314=#REF!,1,0)</formula>
    </cfRule>
  </conditionalFormatting>
  <conditionalFormatting sqref="K311:L313">
    <cfRule type="expression" dxfId="44" priority="12">
      <formula>IF($W311=#REF!,1,0)</formula>
    </cfRule>
  </conditionalFormatting>
  <conditionalFormatting sqref="K314:L317 R315:R317 R311:R313">
    <cfRule type="expression" dxfId="43" priority="13">
      <formula>IF(#REF!=#REF!,1,0)</formula>
    </cfRule>
  </conditionalFormatting>
  <conditionalFormatting sqref="R334 K334:L334">
    <cfRule type="expression" dxfId="42" priority="177">
      <formula>IF($W293=#REF!,1,0)</formula>
    </cfRule>
  </conditionalFormatting>
  <conditionalFormatting sqref="K271:L276 R270:R276">
    <cfRule type="expression" dxfId="41" priority="178">
      <formula>IF($W231=#REF!,1,0)</formula>
    </cfRule>
  </conditionalFormatting>
  <conditionalFormatting sqref="K277:L278 R277:R278">
    <cfRule type="expression" dxfId="40" priority="179">
      <formula>IF($W250=#REF!,1,0)</formula>
    </cfRule>
  </conditionalFormatting>
  <conditionalFormatting sqref="K298:L298 R298">
    <cfRule type="expression" dxfId="39" priority="184">
      <formula>IF($W251=#REF!,1,0)</formula>
    </cfRule>
  </conditionalFormatting>
  <conditionalFormatting sqref="R322:R329 K322:L329">
    <cfRule type="expression" dxfId="38" priority="187">
      <formula>IF($W281=#REF!,1,0)</formula>
    </cfRule>
  </conditionalFormatting>
  <conditionalFormatting sqref="K318:L320">
    <cfRule type="expression" dxfId="37" priority="4">
      <formula>IF($W318=#REF!,1,0)</formula>
    </cfRule>
  </conditionalFormatting>
  <conditionalFormatting sqref="R318:R321 K318:L321">
    <cfRule type="expression" dxfId="36" priority="5">
      <formula>IF($W277=#REF!,1,0)</formula>
    </cfRule>
  </conditionalFormatting>
  <conditionalFormatting sqref="K331:L333">
    <cfRule type="expression" dxfId="35" priority="1">
      <formula>IF($W331=#REF!,1,0)</formula>
    </cfRule>
  </conditionalFormatting>
  <conditionalFormatting sqref="R331:R333">
    <cfRule type="expression" dxfId="34" priority="2">
      <formula>IF(#REF!=#REF!,1,0)</formula>
    </cfRule>
  </conditionalFormatting>
  <conditionalFormatting sqref="R330 K330:L330">
    <cfRule type="expression" dxfId="33" priority="3">
      <formula>IF($W289=#REF!,1,0)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" r:id="rId4" name="cboEmpId">
          <controlPr autoLine="0" linkedCell="$C$1" listFillRange="payEmpNames" r:id="rId5">
            <anchor moveWithCells="1">
              <from>
                <xdr:col>2</xdr:col>
                <xdr:colOff>30480</xdr:colOff>
                <xdr:row>0</xdr:row>
                <xdr:rowOff>0</xdr:rowOff>
              </from>
              <to>
                <xdr:col>3</xdr:col>
                <xdr:colOff>106680</xdr:colOff>
                <xdr:row>1</xdr:row>
                <xdr:rowOff>45720</xdr:rowOff>
              </to>
            </anchor>
          </controlPr>
        </control>
      </mc:Choice>
      <mc:Fallback>
        <control shapeId="3076" r:id="rId4" name="cboEmpId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I687"/>
  <sheetViews>
    <sheetView showZeros="0" topLeftCell="A156" zoomScale="75" zoomScaleNormal="75" workbookViewId="0">
      <selection activeCell="M194" sqref="M194"/>
    </sheetView>
  </sheetViews>
  <sheetFormatPr defaultRowHeight="13.2" outlineLevelRow="1" x14ac:dyDescent="0.25"/>
  <cols>
    <col min="6" max="6" width="8.88671875" style="88"/>
    <col min="8" max="19" width="11.77734375" customWidth="1"/>
    <col min="20" max="21" width="9.109375" customWidth="1"/>
    <col min="22" max="22" width="13.44140625" customWidth="1"/>
    <col min="23" max="23" width="11.33203125" bestFit="1" customWidth="1"/>
  </cols>
  <sheetData>
    <row r="1" spans="1:27" ht="22.8" x14ac:dyDescent="0.4">
      <c r="A1" s="221" t="s">
        <v>462</v>
      </c>
      <c r="B1" s="219"/>
      <c r="C1" s="244" t="s">
        <v>469</v>
      </c>
      <c r="D1" s="220"/>
      <c r="E1" s="245" t="str">
        <f>VLOOKUP($C$1,payEmpNames,2)</f>
        <v>All Employees</v>
      </c>
      <c r="F1" s="381"/>
      <c r="G1" s="219"/>
      <c r="H1" s="221"/>
      <c r="I1" s="66"/>
      <c r="J1" s="221" t="s">
        <v>463</v>
      </c>
      <c r="K1" s="66"/>
      <c r="L1" s="66"/>
      <c r="M1" s="66"/>
      <c r="N1" s="66"/>
      <c r="O1" s="66"/>
      <c r="P1" s="66"/>
      <c r="Q1" s="66"/>
      <c r="R1" s="66"/>
      <c r="S1" s="66"/>
      <c r="U1" s="66"/>
      <c r="X1" s="246"/>
      <c r="Y1" s="219"/>
      <c r="Z1" s="219"/>
      <c r="AA1" s="219"/>
    </row>
    <row r="2" spans="1:27" s="224" customFormat="1" ht="13.8" thickBot="1" x14ac:dyDescent="0.3">
      <c r="A2" s="222" t="s">
        <v>444</v>
      </c>
      <c r="B2" s="156" t="s">
        <v>445</v>
      </c>
      <c r="C2" s="223" t="s">
        <v>464</v>
      </c>
      <c r="D2" s="156" t="s">
        <v>446</v>
      </c>
      <c r="E2" s="156" t="s">
        <v>126</v>
      </c>
      <c r="F2" s="380" t="s">
        <v>445</v>
      </c>
      <c r="G2" s="156"/>
      <c r="H2" s="156" t="s">
        <v>448</v>
      </c>
      <c r="I2" s="156" t="s">
        <v>449</v>
      </c>
      <c r="J2" s="156" t="s">
        <v>450</v>
      </c>
      <c r="K2" s="156" t="s">
        <v>455</v>
      </c>
      <c r="L2" s="156" t="s">
        <v>452</v>
      </c>
      <c r="M2" s="156" t="s">
        <v>453</v>
      </c>
      <c r="N2" s="156" t="s">
        <v>454</v>
      </c>
      <c r="O2" s="156" t="s">
        <v>456</v>
      </c>
      <c r="P2" s="156" t="s">
        <v>457</v>
      </c>
      <c r="Q2" s="156" t="s">
        <v>458</v>
      </c>
      <c r="R2" s="156" t="s">
        <v>459</v>
      </c>
      <c r="S2" s="156" t="s">
        <v>460</v>
      </c>
      <c r="U2" s="222" t="s">
        <v>465</v>
      </c>
      <c r="X2" s="246" t="s">
        <v>466</v>
      </c>
      <c r="Y2" s="219" t="s">
        <v>467</v>
      </c>
      <c r="Z2" s="219"/>
      <c r="AA2" s="219" t="s">
        <v>468</v>
      </c>
    </row>
    <row r="3" spans="1:27" x14ac:dyDescent="0.25">
      <c r="A3" s="225">
        <v>1</v>
      </c>
      <c r="B3" s="226"/>
      <c r="C3" s="227"/>
      <c r="D3" s="228"/>
      <c r="E3" s="228">
        <f ca="1">SUMIF(payDet,$U3,E$23:OFFSET(E$23,ROWS(payDet)-1,0))</f>
        <v>160.5</v>
      </c>
      <c r="F3" s="375"/>
      <c r="G3" s="228"/>
      <c r="H3" s="228">
        <f ca="1">SUMIF(payDet,$U3,H$23:OFFSET(H$23,ROWS(payDet)-1,0))</f>
        <v>87745</v>
      </c>
      <c r="I3" s="247">
        <f ca="1">SUMIF(payDet,$U3,I$23:OFFSET(I$23,ROWS(payDet)-1,0))</f>
        <v>4214</v>
      </c>
      <c r="J3" s="248">
        <f ca="1">SUMIF(payDet,$U3,J$23:OFFSET(J$23,ROWS(payDet)-1,0))</f>
        <v>83940.26</v>
      </c>
      <c r="K3" s="228">
        <f ca="1">SUMIF(payDet,$U3,K$23:OFFSET(K$23,ROWS(payDet)-1,0))</f>
        <v>797.44999999999993</v>
      </c>
      <c r="L3" s="228">
        <f ca="1">SUMIF(payDet,$U3,L$23:OFFSET(L$23,ROWS(payDet)-1,0))</f>
        <v>5105.1900000000005</v>
      </c>
      <c r="M3" s="228">
        <f ca="1">SUMIF(payDet,$U3,M$23:OFFSET(M$23,ROWS(payDet)-1,0))</f>
        <v>7282.49</v>
      </c>
      <c r="N3" s="228">
        <f ca="1">SUMIF(payDet,$U3,N$23:OFFSET(N$23,ROWS(payDet)-1,0))</f>
        <v>0</v>
      </c>
      <c r="O3" s="228">
        <f ca="1">SUMIF(payDet,$U3,O$23:OFFSET(O$23,ROWS(payDet)-1,0))</f>
        <v>0</v>
      </c>
      <c r="P3" s="228">
        <f ca="1">SUMIF(payDet,$U3,P$23:OFFSET(P$23,ROWS(payDet)-1,0))</f>
        <v>70755.12999999999</v>
      </c>
      <c r="Q3" s="228">
        <f ca="1">SUMIF(payDet,$U3,Q$23:OFFSET(Q$23,ROWS(payDet)-1,0))</f>
        <v>19590</v>
      </c>
      <c r="R3" s="228">
        <f ca="1">SUMIF(payDet,$U3,R$23:OFFSET(R$23,ROWS(payDet)-1,0))</f>
        <v>51165.13</v>
      </c>
      <c r="S3" s="228">
        <f ca="1">SUMIF(payDet,$U3,S$23:OFFSET(S$23,ROWS(payDet)-1,0))</f>
        <v>5615.7</v>
      </c>
      <c r="U3" s="225" t="str">
        <f>IF(ISBLANK(EmpID),A3,EmpID &amp;":"&amp; A3)</f>
        <v>*:1</v>
      </c>
      <c r="X3" s="249" t="s">
        <v>469</v>
      </c>
      <c r="Y3" s="37" t="s">
        <v>470</v>
      </c>
      <c r="Z3" s="37"/>
      <c r="AA3" s="37"/>
    </row>
    <row r="4" spans="1:27" x14ac:dyDescent="0.25">
      <c r="A4" s="120">
        <v>2</v>
      </c>
      <c r="B4" s="231"/>
      <c r="C4" s="77"/>
      <c r="D4" s="76"/>
      <c r="E4" s="76">
        <f ca="1">SUMIF(payDet,$U4,E$23:OFFSET(E$23,ROWS(payDet)-1,0))</f>
        <v>192</v>
      </c>
      <c r="F4" s="336"/>
      <c r="G4" s="76"/>
      <c r="H4" s="76">
        <f ca="1">SUMIF(payDet,$U4,H$23:OFFSET(H$23,ROWS(payDet)-1,0))</f>
        <v>101775</v>
      </c>
      <c r="I4" s="232">
        <f ca="1">SUMIF(payDet,$U4,I$23:OFFSET(I$23,ROWS(payDet)-1,0))</f>
        <v>4884</v>
      </c>
      <c r="J4" s="76">
        <f ca="1">SUMIF(payDet,$U4,J$23:OFFSET(J$23,ROWS(payDet)-1,0))</f>
        <v>97547.5</v>
      </c>
      <c r="K4" s="76">
        <f ca="1">SUMIF(payDet,$U4,K$23:OFFSET(K$23,ROWS(payDet)-1,0))</f>
        <v>926.70999999999981</v>
      </c>
      <c r="L4" s="76">
        <f ca="1">SUMIF(payDet,$U4,L$23:OFFSET(L$23,ROWS(payDet)-1,0))</f>
        <v>4407.829999999999</v>
      </c>
      <c r="M4" s="76">
        <f ca="1">SUMIF(payDet,$U4,M$23:OFFSET(M$23,ROWS(payDet)-1,0))</f>
        <v>8463.0099999999984</v>
      </c>
      <c r="N4" s="76">
        <f ca="1">SUMIF(payDet,$U4,N$23:OFFSET(N$23,ROWS(payDet)-1,0))</f>
        <v>0</v>
      </c>
      <c r="O4" s="76">
        <f ca="1">SUMIF(payDet,$U4,O$23:OFFSET(O$23,ROWS(payDet)-1,0))</f>
        <v>0</v>
      </c>
      <c r="P4" s="76">
        <f ca="1">SUMIF(payDet,$U4,P$23:OFFSET(P$23,ROWS(payDet)-1,0))</f>
        <v>83749.950000000012</v>
      </c>
      <c r="Q4" s="76">
        <f ca="1">SUMIF(payDet,$U4,Q$23:OFFSET(Q$23,ROWS(payDet)-1,0))</f>
        <v>24526</v>
      </c>
      <c r="R4" s="76">
        <f ca="1">SUMIF(payDet,$U4,R$23:OFFSET(R$23,ROWS(payDet)-1,0))</f>
        <v>59223.95</v>
      </c>
      <c r="S4" s="76">
        <f ca="1">SUMIF(payDet,$U4,S$23:OFFSET(S$23,ROWS(payDet)-1,0))</f>
        <v>4848.6000000000004</v>
      </c>
      <c r="U4" s="120" t="str">
        <f>IF(ISBLANK(EmpID),A4,EmpID &amp;":"&amp; A4)</f>
        <v>*:2</v>
      </c>
      <c r="X4" s="250" t="s">
        <v>678</v>
      </c>
      <c r="Y4" s="16" t="s">
        <v>679</v>
      </c>
      <c r="Z4" s="15"/>
      <c r="AA4" s="16">
        <v>21</v>
      </c>
    </row>
    <row r="5" spans="1:27" x14ac:dyDescent="0.25">
      <c r="A5" s="120">
        <v>3</v>
      </c>
      <c r="B5" s="231"/>
      <c r="C5" s="77"/>
      <c r="D5" s="78"/>
      <c r="E5" s="78">
        <f ca="1">SUMIF(payDet,$U5,E$23:OFFSET(E$23,ROWS(payDet)-1,0))</f>
        <v>191</v>
      </c>
      <c r="F5" s="340"/>
      <c r="G5" s="78"/>
      <c r="H5" s="78">
        <f ca="1">SUMIF(payDet,$U5,H$23:OFFSET(H$23,ROWS(payDet)-1,0))</f>
        <v>107350</v>
      </c>
      <c r="I5" s="232">
        <f ca="1">SUMIF(payDet,$U5,I$23:OFFSET(I$23,ROWS(payDet)-1,0))</f>
        <v>5136.5</v>
      </c>
      <c r="J5" s="78">
        <f ca="1">SUMIF(payDet,$U5,J$23:OFFSET(J$23,ROWS(payDet)-1,0))</f>
        <v>102695</v>
      </c>
      <c r="K5" s="78">
        <f ca="1">SUMIF(payDet,$U5,K$23:OFFSET(K$23,ROWS(payDet)-1,0))</f>
        <v>975.61</v>
      </c>
      <c r="L5" s="78">
        <f ca="1">SUMIF(payDet,$U5,L$23:OFFSET(L$23,ROWS(payDet)-1,0))</f>
        <v>8769.5099999999984</v>
      </c>
      <c r="M5" s="78">
        <f ca="1">SUMIF(payDet,$U5,M$23:OFFSET(M$23,ROWS(payDet)-1,0))</f>
        <v>8909.61</v>
      </c>
      <c r="N5" s="78">
        <f ca="1">SUMIF(payDet,$U5,N$23:OFFSET(N$23,ROWS(payDet)-1,0))</f>
        <v>0</v>
      </c>
      <c r="O5" s="78">
        <f ca="1">SUMIF(payDet,$U5,O$23:OFFSET(O$23,ROWS(payDet)-1,0))</f>
        <v>0</v>
      </c>
      <c r="P5" s="78">
        <f ca="1">SUMIF(payDet,$U5,P$23:OFFSET(P$23,ROWS(payDet)-1,0))</f>
        <v>84040.26999999999</v>
      </c>
      <c r="Q5" s="78">
        <f ca="1">SUMIF(payDet,$U5,Q$23:OFFSET(Q$23,ROWS(payDet)-1,0))</f>
        <v>25230</v>
      </c>
      <c r="R5" s="78">
        <f ca="1">SUMIF(payDet,$U5,R$23:OFFSET(R$23,ROWS(payDet)-1,0))</f>
        <v>58810.27</v>
      </c>
      <c r="S5" s="78">
        <f ca="1">SUMIF(payDet,$U5,S$23:OFFSET(S$23,ROWS(payDet)-1,0))</f>
        <v>9646.4500000000007</v>
      </c>
      <c r="U5" s="123" t="str">
        <f>IF(ISBLANK(EmpID),A5,EmpID &amp;":"&amp; A5)</f>
        <v>*:3</v>
      </c>
      <c r="X5" s="250" t="s">
        <v>658</v>
      </c>
      <c r="Y5" s="16" t="s">
        <v>656</v>
      </c>
      <c r="Z5" s="15"/>
      <c r="AA5" s="16">
        <v>21</v>
      </c>
    </row>
    <row r="6" spans="1:27" x14ac:dyDescent="0.25">
      <c r="A6" s="131"/>
      <c r="B6" s="132"/>
      <c r="C6" s="132" t="s">
        <v>14</v>
      </c>
      <c r="D6" s="235"/>
      <c r="E6" s="190">
        <f ca="1">SUBTOTAL(9,E3:E5)</f>
        <v>543.5</v>
      </c>
      <c r="F6" s="377"/>
      <c r="G6" s="236"/>
      <c r="H6" s="190">
        <f t="shared" ref="H6:S6" ca="1" si="0">SUBTOTAL(9,H3:H5)</f>
        <v>296870</v>
      </c>
      <c r="I6" s="190">
        <f t="shared" ca="1" si="0"/>
        <v>14234.5</v>
      </c>
      <c r="J6" s="190">
        <f t="shared" ca="1" si="0"/>
        <v>284182.76</v>
      </c>
      <c r="K6" s="190">
        <f t="shared" ref="K6" ca="1" si="1">SUBTOTAL(9,K3:K5)</f>
        <v>2699.77</v>
      </c>
      <c r="L6" s="190">
        <f t="shared" ca="1" si="0"/>
        <v>18282.53</v>
      </c>
      <c r="M6" s="190">
        <f t="shared" ca="1" si="0"/>
        <v>24655.11</v>
      </c>
      <c r="N6" s="190">
        <f t="shared" ca="1" si="0"/>
        <v>0</v>
      </c>
      <c r="O6" s="190">
        <f t="shared" ca="1" si="0"/>
        <v>0</v>
      </c>
      <c r="P6" s="190">
        <f t="shared" ca="1" si="0"/>
        <v>238545.35</v>
      </c>
      <c r="Q6" s="190">
        <f t="shared" ca="1" si="0"/>
        <v>69346</v>
      </c>
      <c r="R6" s="190">
        <f t="shared" ca="1" si="0"/>
        <v>169199.34999999998</v>
      </c>
      <c r="S6" s="237">
        <f t="shared" ca="1" si="0"/>
        <v>20110.75</v>
      </c>
      <c r="U6" s="239"/>
      <c r="X6" s="250" t="s">
        <v>57</v>
      </c>
      <c r="Y6" s="16" t="s">
        <v>471</v>
      </c>
      <c r="Z6" s="15"/>
      <c r="AA6" s="16">
        <v>21</v>
      </c>
    </row>
    <row r="7" spans="1:27" x14ac:dyDescent="0.25">
      <c r="A7" s="120">
        <v>4</v>
      </c>
      <c r="B7" s="231"/>
      <c r="C7" s="77"/>
      <c r="D7" s="238"/>
      <c r="E7" s="74">
        <f ca="1">SUMIF(payDet,$U7,E$23:OFFSET(E$23,ROWS(payDet)-1,0))</f>
        <v>138.5</v>
      </c>
      <c r="F7" s="378"/>
      <c r="G7" s="74"/>
      <c r="H7" s="74">
        <f ca="1">SUMIF(payDet,$U7,H$23:OFFSET(H$23,ROWS(payDet)-1,0))</f>
        <v>78750</v>
      </c>
      <c r="I7" s="229">
        <f ca="1">SUMIF(payDet,$U7,I$23:OFFSET(I$23,ROWS(payDet)-1,0))</f>
        <v>3743.25</v>
      </c>
      <c r="J7" s="230">
        <f ca="1">SUMIF(payDet,$U7,J$23:OFFSET(J$23,ROWS(payDet)-1,0))</f>
        <v>75362.5</v>
      </c>
      <c r="K7" s="74">
        <f ca="1">SUMIF(payDet,$U7,K$23:OFFSET(K$23,ROWS(payDet)-1,0))</f>
        <v>715.93999999999994</v>
      </c>
      <c r="L7" s="74">
        <f ca="1">SUMIF(payDet,$U7,L$23:OFFSET(L$23,ROWS(payDet)-1,0))</f>
        <v>5850.8600000000006</v>
      </c>
      <c r="M7" s="74">
        <f ca="1">SUMIF(payDet,$U7,M$23:OFFSET(M$23,ROWS(payDet)-1,0))</f>
        <v>6538.3</v>
      </c>
      <c r="N7" s="74">
        <f ca="1">SUMIF(payDet,$U7,N$23:OFFSET(N$23,ROWS(payDet)-1,0))</f>
        <v>0</v>
      </c>
      <c r="O7" s="74">
        <f ca="1">SUMIF(payDet,$U7,O$23:OFFSET(O$23,ROWS(payDet)-1,0))</f>
        <v>0</v>
      </c>
      <c r="P7" s="74">
        <f ca="1">SUMIF(payDet,$U7,P$23:OFFSET(P$23,ROWS(payDet)-1,0))</f>
        <v>62257.400000000009</v>
      </c>
      <c r="Q7" s="74">
        <f ca="1">SUMIF(payDet,$U7,Q$23:OFFSET(Q$23,ROWS(payDet)-1,0))</f>
        <v>17263</v>
      </c>
      <c r="R7" s="74">
        <f ca="1">SUMIF(payDet,$U7,R$23:OFFSET(R$23,ROWS(payDet)-1,0))</f>
        <v>44994.400000000009</v>
      </c>
      <c r="S7" s="74">
        <f ca="1">SUMIF(payDet,$U7,S$23:OFFSET(S$23,ROWS(payDet)-1,0))</f>
        <v>6435.94</v>
      </c>
      <c r="U7" s="267" t="str">
        <f>IF(ISBLANK(EmpID),A7,EmpID &amp;":"&amp; A7)</f>
        <v>*:4</v>
      </c>
      <c r="X7" s="250" t="s">
        <v>669</v>
      </c>
      <c r="Y7" s="16" t="s">
        <v>670</v>
      </c>
      <c r="Z7" s="15"/>
      <c r="AA7" s="16">
        <v>21</v>
      </c>
    </row>
    <row r="8" spans="1:27" x14ac:dyDescent="0.25">
      <c r="A8" s="120">
        <v>5</v>
      </c>
      <c r="B8" s="231"/>
      <c r="C8" s="77"/>
      <c r="D8" s="238"/>
      <c r="E8" s="76">
        <f ca="1">SUMIF(payDet,$U8,E$23:OFFSET(E$23,ROWS(payDet)-1,0))</f>
        <v>0</v>
      </c>
      <c r="F8" s="336"/>
      <c r="G8" s="76"/>
      <c r="H8" s="76">
        <f ca="1">SUMIF(payDet,$U8,H$23:OFFSET(H$23,ROWS(payDet)-1,0))</f>
        <v>0</v>
      </c>
      <c r="I8" s="232">
        <f ca="1">SUMIF(payDet,$U8,I$23:OFFSET(I$23,ROWS(payDet)-1,0))</f>
        <v>0</v>
      </c>
      <c r="J8" s="76">
        <f ca="1">SUMIF(payDet,$U8,J$23:OFFSET(J$23,ROWS(payDet)-1,0))</f>
        <v>0</v>
      </c>
      <c r="K8" s="76">
        <f ca="1">SUMIF(payDet,$U8,K$23:OFFSET(K$23,ROWS(payDet)-1,0))</f>
        <v>0</v>
      </c>
      <c r="L8" s="76">
        <f ca="1">SUMIF(payDet,$U8,L$23:OFFSET(L$23,ROWS(payDet)-1,0))</f>
        <v>0</v>
      </c>
      <c r="M8" s="76">
        <f ca="1">SUMIF(payDet,$U8,M$23:OFFSET(M$23,ROWS(payDet)-1,0))</f>
        <v>0</v>
      </c>
      <c r="N8" s="76">
        <f ca="1">SUMIF(payDet,$U8,N$23:OFFSET(N$23,ROWS(payDet)-1,0))</f>
        <v>0</v>
      </c>
      <c r="O8" s="76">
        <f ca="1">SUMIF(payDet,$U8,O$23:OFFSET(O$23,ROWS(payDet)-1,0))</f>
        <v>0</v>
      </c>
      <c r="P8" s="76">
        <f ca="1">SUMIF(payDet,$U8,P$23:OFFSET(P$23,ROWS(payDet)-1,0))</f>
        <v>0</v>
      </c>
      <c r="Q8" s="76">
        <f ca="1">SUMIF(payDet,$U8,Q$23:OFFSET(Q$23,ROWS(payDet)-1,0))</f>
        <v>0</v>
      </c>
      <c r="R8" s="76">
        <f ca="1">SUMIF(payDet,$U8,R$23:OFFSET(R$23,ROWS(payDet)-1,0))</f>
        <v>0</v>
      </c>
      <c r="S8" s="76">
        <f ca="1">SUMIF(payDet,$U8,S$23:OFFSET(S$23,ROWS(payDet)-1,0))</f>
        <v>0</v>
      </c>
      <c r="T8" s="251"/>
      <c r="U8" s="120" t="str">
        <f>IF(ISBLANK(EmpID),A8,EmpID &amp;":"&amp; A8)</f>
        <v>*:5</v>
      </c>
      <c r="X8" s="250" t="s">
        <v>622</v>
      </c>
      <c r="Y8" s="16" t="s">
        <v>629</v>
      </c>
      <c r="Z8" s="15"/>
      <c r="AA8" s="16">
        <v>21</v>
      </c>
    </row>
    <row r="9" spans="1:27" x14ac:dyDescent="0.25">
      <c r="A9" s="120">
        <v>6</v>
      </c>
      <c r="B9" s="231"/>
      <c r="C9" s="77"/>
      <c r="D9" s="238"/>
      <c r="E9" s="78">
        <f ca="1">SUMIF(payDet,$U9,E$23:OFFSET(E$23,ROWS(payDet)-1,0))</f>
        <v>0</v>
      </c>
      <c r="F9" s="340"/>
      <c r="G9" s="78"/>
      <c r="H9" s="78">
        <f ca="1">SUMIF(payDet,$U9,H$23:OFFSET(H$23,ROWS(payDet)-1,0))</f>
        <v>0</v>
      </c>
      <c r="I9" s="234">
        <f ca="1">SUMIF(payDet,$U9,I$23:OFFSET(I$23,ROWS(payDet)-1,0))</f>
        <v>0</v>
      </c>
      <c r="J9" s="78">
        <f ca="1">SUMIF(payDet,$U9,J$23:OFFSET(J$23,ROWS(payDet)-1,0))</f>
        <v>0</v>
      </c>
      <c r="K9" s="78">
        <f ca="1">SUMIF(payDet,$U9,K$23:OFFSET(K$23,ROWS(payDet)-1,0))</f>
        <v>0</v>
      </c>
      <c r="L9" s="78">
        <f ca="1">SUMIF(payDet,$U9,L$23:OFFSET(L$23,ROWS(payDet)-1,0))</f>
        <v>0</v>
      </c>
      <c r="M9" s="78">
        <f ca="1">SUMIF(payDet,$U9,M$23:OFFSET(M$23,ROWS(payDet)-1,0))</f>
        <v>0</v>
      </c>
      <c r="N9" s="78">
        <f ca="1">SUMIF(payDet,$U9,N$23:OFFSET(N$23,ROWS(payDet)-1,0))</f>
        <v>0</v>
      </c>
      <c r="O9" s="78">
        <f ca="1">SUMIF(payDet,$U9,O$23:OFFSET(O$23,ROWS(payDet)-1,0))</f>
        <v>0</v>
      </c>
      <c r="P9" s="78">
        <f ca="1">SUMIF(payDet,$U9,P$23:OFFSET(P$23,ROWS(payDet)-1,0))</f>
        <v>0</v>
      </c>
      <c r="Q9" s="78">
        <f ca="1">SUMIF(payDet,$U9,Q$23:OFFSET(Q$23,ROWS(payDet)-1,0))</f>
        <v>0</v>
      </c>
      <c r="R9" s="78">
        <f ca="1">SUMIF(payDet,$U9,R$23:OFFSET(R$23,ROWS(payDet)-1,0))</f>
        <v>0</v>
      </c>
      <c r="S9" s="78">
        <f ca="1">SUMIF(payDet,$U9,S$23:OFFSET(S$23,ROWS(payDet)-1,0))</f>
        <v>0</v>
      </c>
      <c r="U9" s="123" t="str">
        <f>IF(ISBLANK(EmpID),A9,EmpID &amp;":"&amp; A9)</f>
        <v>*:6</v>
      </c>
      <c r="X9" s="250" t="s">
        <v>55</v>
      </c>
      <c r="Y9" s="16" t="s">
        <v>68</v>
      </c>
      <c r="Z9" s="15"/>
      <c r="AA9" s="16">
        <v>21</v>
      </c>
    </row>
    <row r="10" spans="1:27" x14ac:dyDescent="0.25">
      <c r="A10" s="131"/>
      <c r="B10" s="132"/>
      <c r="C10" s="132" t="s">
        <v>18</v>
      </c>
      <c r="D10" s="235"/>
      <c r="E10" s="190">
        <f ca="1">SUBTOTAL(9,E7:E9)</f>
        <v>138.5</v>
      </c>
      <c r="F10" s="377"/>
      <c r="G10" s="190"/>
      <c r="H10" s="190">
        <f t="shared" ref="H10:S10" ca="1" si="2">SUBTOTAL(9,H7:H9)</f>
        <v>78750</v>
      </c>
      <c r="I10" s="190">
        <f t="shared" ca="1" si="2"/>
        <v>3743.25</v>
      </c>
      <c r="J10" s="190">
        <f t="shared" ca="1" si="2"/>
        <v>75362.5</v>
      </c>
      <c r="K10" s="190">
        <f t="shared" ref="K10" ca="1" si="3">SUBTOTAL(9,K7:K9)</f>
        <v>715.93999999999994</v>
      </c>
      <c r="L10" s="190">
        <f t="shared" ca="1" si="2"/>
        <v>5850.8600000000006</v>
      </c>
      <c r="M10" s="190">
        <f t="shared" ca="1" si="2"/>
        <v>6538.3</v>
      </c>
      <c r="N10" s="190">
        <f t="shared" ca="1" si="2"/>
        <v>0</v>
      </c>
      <c r="O10" s="190">
        <f t="shared" ca="1" si="2"/>
        <v>0</v>
      </c>
      <c r="P10" s="190">
        <f t="shared" ca="1" si="2"/>
        <v>62257.400000000009</v>
      </c>
      <c r="Q10" s="190">
        <f t="shared" ca="1" si="2"/>
        <v>17263</v>
      </c>
      <c r="R10" s="190">
        <f t="shared" ca="1" si="2"/>
        <v>44994.400000000009</v>
      </c>
      <c r="S10" s="237">
        <f t="shared" ca="1" si="2"/>
        <v>6435.94</v>
      </c>
      <c r="U10" s="239"/>
      <c r="X10" s="250" t="s">
        <v>58</v>
      </c>
      <c r="Y10" s="16" t="s">
        <v>473</v>
      </c>
      <c r="Z10" s="15"/>
      <c r="AA10" s="16">
        <v>21</v>
      </c>
    </row>
    <row r="11" spans="1:27" x14ac:dyDescent="0.25">
      <c r="A11" s="120">
        <v>7</v>
      </c>
      <c r="B11" s="231"/>
      <c r="C11" s="77"/>
      <c r="D11" s="238"/>
      <c r="E11" s="74">
        <f ca="1">SUMIF(payDet,$U11,E$23:OFFSET(E$23,ROWS(payDet)-1,0))</f>
        <v>0</v>
      </c>
      <c r="F11" s="378"/>
      <c r="G11" s="74"/>
      <c r="H11" s="74">
        <f ca="1">SUMIF(payDet,$U11,H$23:OFFSET(H$23,ROWS(payDet)-1,0))</f>
        <v>0</v>
      </c>
      <c r="I11" s="229">
        <f ca="1">SUMIF(payDet,$U11,I$23:OFFSET(I$23,ROWS(payDet)-1,0))</f>
        <v>0</v>
      </c>
      <c r="J11" s="230">
        <f ca="1">SUMIF(payDet,$U11,J$23:OFFSET(J$23,ROWS(payDet)-1,0))</f>
        <v>0</v>
      </c>
      <c r="K11" s="74">
        <f ca="1">SUMIF(payDet,$U11,K$23:OFFSET(K$23,ROWS(payDet)-1,0))</f>
        <v>0</v>
      </c>
      <c r="L11" s="74">
        <f ca="1">SUMIF(payDet,$U11,L$23:OFFSET(L$23,ROWS(payDet)-1,0))</f>
        <v>0</v>
      </c>
      <c r="M11" s="74">
        <f ca="1">SUMIF(payDet,$U11,M$23:OFFSET(M$23,ROWS(payDet)-1,0))</f>
        <v>0</v>
      </c>
      <c r="N11" s="74">
        <f ca="1">SUMIF(payDet,$U11,N$23:OFFSET(N$23,ROWS(payDet)-1,0))</f>
        <v>0</v>
      </c>
      <c r="O11" s="74">
        <f ca="1">SUMIF(payDet,$U11,O$23:OFFSET(O$23,ROWS(payDet)-1,0))</f>
        <v>0</v>
      </c>
      <c r="P11" s="74">
        <f ca="1">SUMIF(payDet,$U11,P$23:OFFSET(P$23,ROWS(payDet)-1,0))</f>
        <v>0</v>
      </c>
      <c r="Q11" s="74">
        <f ca="1">SUMIF(payDet,$U11,Q$23:OFFSET(Q$23,ROWS(payDet)-1,0))</f>
        <v>0</v>
      </c>
      <c r="R11" s="74">
        <f ca="1">SUMIF(payDet,$U11,R$23:OFFSET(R$23,ROWS(payDet)-1,0))</f>
        <v>0</v>
      </c>
      <c r="S11" s="74">
        <f ca="1">SUMIF(payDet,$U11,S$23:OFFSET(S$23,ROWS(payDet)-1,0))</f>
        <v>0</v>
      </c>
      <c r="U11" s="267" t="str">
        <f>IF(ISBLANK(EmpID),A11,EmpID &amp;":"&amp; A11)</f>
        <v>*:7</v>
      </c>
      <c r="X11" s="250" t="s">
        <v>657</v>
      </c>
      <c r="Y11" s="16" t="s">
        <v>655</v>
      </c>
      <c r="Z11" s="15"/>
      <c r="AA11" s="16">
        <v>21</v>
      </c>
    </row>
    <row r="12" spans="1:27" x14ac:dyDescent="0.25">
      <c r="A12" s="120">
        <v>8</v>
      </c>
      <c r="B12" s="231"/>
      <c r="C12" s="77"/>
      <c r="D12" s="238"/>
      <c r="E12" s="76">
        <f ca="1">SUMIF(payDet,$U12,E$23:OFFSET(E$23,ROWS(payDet)-1,0))</f>
        <v>0</v>
      </c>
      <c r="F12" s="336"/>
      <c r="G12" s="76"/>
      <c r="H12" s="76">
        <f ca="1">SUMIF(payDet,$U12,H$23:OFFSET(H$23,ROWS(payDet)-1,0))</f>
        <v>0</v>
      </c>
      <c r="I12" s="232">
        <f ca="1">SUMIF(payDet,$U12,I$23:OFFSET(I$23,ROWS(payDet)-1,0))</f>
        <v>0</v>
      </c>
      <c r="J12" s="76">
        <f ca="1">SUMIF(payDet,$U12,J$23:OFFSET(J$23,ROWS(payDet)-1,0))</f>
        <v>0</v>
      </c>
      <c r="K12" s="76">
        <f ca="1">SUMIF(payDet,$U12,K$23:OFFSET(K$23,ROWS(payDet)-1,0))</f>
        <v>0</v>
      </c>
      <c r="L12" s="76">
        <f ca="1">SUMIF(payDet,$U12,L$23:OFFSET(L$23,ROWS(payDet)-1,0))</f>
        <v>0</v>
      </c>
      <c r="M12" s="76">
        <f ca="1">SUMIF(payDet,$U12,M$23:OFFSET(M$23,ROWS(payDet)-1,0))</f>
        <v>0</v>
      </c>
      <c r="N12" s="76"/>
      <c r="O12" s="76">
        <f ca="1">SUMIF(payDet,$U12,O$23:OFFSET(O$23,ROWS(payDet)-1,0))</f>
        <v>0</v>
      </c>
      <c r="P12" s="76">
        <f ca="1">SUMIF(payDet,$U12,P$23:OFFSET(P$23,ROWS(payDet)-1,0))</f>
        <v>0</v>
      </c>
      <c r="Q12" s="76">
        <f ca="1">SUMIF(payDet,$U12,Q$23:OFFSET(Q$23,ROWS(payDet)-1,0))</f>
        <v>0</v>
      </c>
      <c r="R12" s="76">
        <f ca="1">SUMIF(payDet,$U12,R$23:OFFSET(R$23,ROWS(payDet)-1,0))</f>
        <v>0</v>
      </c>
      <c r="S12" s="76">
        <f ca="1">SUMIF(payDet,$U12,S$23:OFFSET(S$23,ROWS(payDet)-1,0))</f>
        <v>0</v>
      </c>
      <c r="U12" s="120" t="str">
        <f>IF(ISBLANK(EmpID),A12,EmpID &amp;":"&amp; A12)</f>
        <v>*:8</v>
      </c>
      <c r="X12" s="250"/>
      <c r="Y12" s="16"/>
      <c r="Z12" s="15"/>
      <c r="AA12" s="16"/>
    </row>
    <row r="13" spans="1:27" x14ac:dyDescent="0.25">
      <c r="A13" s="120">
        <v>9</v>
      </c>
      <c r="B13" s="231"/>
      <c r="C13" s="77"/>
      <c r="D13" s="238"/>
      <c r="E13" s="78">
        <f ca="1">SUMIF(payDet,$U13,E$23:OFFSET(E$23,ROWS(payDet)-1,0))</f>
        <v>0</v>
      </c>
      <c r="F13" s="340"/>
      <c r="G13" s="78"/>
      <c r="H13" s="78">
        <f ca="1">SUMIF(payDet,$U13,H$23:OFFSET(H$23,ROWS(payDet)-1,0))</f>
        <v>0</v>
      </c>
      <c r="I13" s="234">
        <f ca="1">SUMIF(payDet,$U13,I$23:OFFSET(I$23,ROWS(payDet)-1,0))</f>
        <v>0</v>
      </c>
      <c r="J13" s="78">
        <f ca="1">SUMIF(payDet,$U13,J$23:OFFSET(J$23,ROWS(payDet)-1,0))</f>
        <v>0</v>
      </c>
      <c r="K13" s="78">
        <f ca="1">SUMIF(payDet,$U13,K$23:OFFSET(K$23,ROWS(payDet)-1,0))</f>
        <v>0</v>
      </c>
      <c r="L13" s="78">
        <f ca="1">SUMIF(payDet,$U13,L$23:OFFSET(L$23,ROWS(payDet)-1,0))</f>
        <v>0</v>
      </c>
      <c r="M13" s="78">
        <f ca="1">SUMIF(payDet,$U13,M$23:OFFSET(M$23,ROWS(payDet)-1,0))</f>
        <v>0</v>
      </c>
      <c r="N13" s="78">
        <f ca="1">SUMIF(payDet,$U13,N$23:OFFSET(N$23,ROWS(payDet)-1,0))</f>
        <v>0</v>
      </c>
      <c r="O13" s="78">
        <f ca="1">SUMIF(payDet,$U13,O$23:OFFSET(O$23,ROWS(payDet)-1,0))</f>
        <v>0</v>
      </c>
      <c r="P13" s="78">
        <f ca="1">SUMIF(payDet,$U13,P$23:OFFSET(P$23,ROWS(payDet)-1,0))</f>
        <v>0</v>
      </c>
      <c r="Q13" s="78">
        <f ca="1">SUMIF(payDet,$U13,Q$23:OFFSET(Q$23,ROWS(payDet)-1,0))</f>
        <v>0</v>
      </c>
      <c r="R13" s="78">
        <f ca="1">SUMIF(payDet,$U13,R$23:OFFSET(R$23,ROWS(payDet)-1,0))</f>
        <v>0</v>
      </c>
      <c r="S13" s="78">
        <f ca="1">SUMIF(payDet,$U13,S$23:OFFSET(S$23,ROWS(payDet)-1,0))</f>
        <v>0</v>
      </c>
      <c r="U13" s="123" t="str">
        <f>IF(ISBLANK(EmpID),A13,EmpID &amp;":"&amp; A13)</f>
        <v>*:9</v>
      </c>
      <c r="X13" s="250"/>
      <c r="Y13" s="16"/>
      <c r="Z13" s="15"/>
      <c r="AA13" s="16"/>
    </row>
    <row r="14" spans="1:27" x14ac:dyDescent="0.25">
      <c r="A14" s="131"/>
      <c r="B14" s="132"/>
      <c r="C14" s="132" t="s">
        <v>22</v>
      </c>
      <c r="D14" s="235"/>
      <c r="E14" s="190">
        <f ca="1">SUBTOTAL(9,E11:E13)</f>
        <v>0</v>
      </c>
      <c r="F14" s="377"/>
      <c r="G14" s="236"/>
      <c r="H14" s="190">
        <f t="shared" ref="H14:S14" ca="1" si="4">SUBTOTAL(9,H11:H13)</f>
        <v>0</v>
      </c>
      <c r="I14" s="190">
        <f t="shared" ca="1" si="4"/>
        <v>0</v>
      </c>
      <c r="J14" s="190">
        <f t="shared" ca="1" si="4"/>
        <v>0</v>
      </c>
      <c r="K14" s="190">
        <f t="shared" ref="K14" ca="1" si="5">SUBTOTAL(9,K11:K13)</f>
        <v>0</v>
      </c>
      <c r="L14" s="190">
        <f t="shared" ca="1" si="4"/>
        <v>0</v>
      </c>
      <c r="M14" s="190">
        <f t="shared" ca="1" si="4"/>
        <v>0</v>
      </c>
      <c r="N14" s="190">
        <f t="shared" ca="1" si="4"/>
        <v>0</v>
      </c>
      <c r="O14" s="190">
        <f t="shared" ca="1" si="4"/>
        <v>0</v>
      </c>
      <c r="P14" s="190">
        <f t="shared" ca="1" si="4"/>
        <v>0</v>
      </c>
      <c r="Q14" s="190">
        <f t="shared" ca="1" si="4"/>
        <v>0</v>
      </c>
      <c r="R14" s="190">
        <f t="shared" ca="1" si="4"/>
        <v>0</v>
      </c>
      <c r="S14" s="237">
        <f t="shared" ca="1" si="4"/>
        <v>0</v>
      </c>
      <c r="U14" s="239"/>
      <c r="X14" s="250"/>
      <c r="Y14" s="16"/>
      <c r="Z14" s="15"/>
      <c r="AA14" s="15"/>
    </row>
    <row r="15" spans="1:27" x14ac:dyDescent="0.25">
      <c r="A15" s="120">
        <v>10</v>
      </c>
      <c r="B15" s="231"/>
      <c r="C15" s="77"/>
      <c r="D15" s="238"/>
      <c r="E15" s="74">
        <f ca="1">SUMIF(payDet,$U15,E$23:OFFSET(E$23,ROWS(payDet)-1,0))</f>
        <v>0</v>
      </c>
      <c r="F15" s="378"/>
      <c r="G15" s="74"/>
      <c r="H15" s="74">
        <f ca="1">SUMIF(payDet,$U15,H$23:OFFSET(H$23,ROWS(payDet)-1,0))</f>
        <v>0</v>
      </c>
      <c r="I15" s="229">
        <f ca="1">SUMIF(payDet,$U15,I$23:OFFSET(I$23,ROWS(payDet)-1,0))</f>
        <v>0</v>
      </c>
      <c r="J15" s="230">
        <f ca="1">SUMIF(payDet,$U15,J$23:OFFSET(J$23,ROWS(payDet)-1,0))</f>
        <v>0</v>
      </c>
      <c r="K15" s="74">
        <f ca="1">SUMIF(payDet,$U15,K$23:OFFSET(K$23,ROWS(payDet)-1,0))</f>
        <v>0</v>
      </c>
      <c r="L15" s="74">
        <f ca="1">SUMIF(payDet,$U15,L$23:OFFSET(L$23,ROWS(payDet)-1,0))</f>
        <v>0</v>
      </c>
      <c r="M15" s="74">
        <f ca="1">SUMIF(payDet,$U15,M$23:OFFSET(M$23,ROWS(payDet)-1,0))</f>
        <v>0</v>
      </c>
      <c r="N15" s="74">
        <f ca="1">SUMIF(payDet,$U15,N$23:OFFSET(N$23,ROWS(payDet)-1,0))</f>
        <v>0</v>
      </c>
      <c r="O15" s="74">
        <f ca="1">SUMIF(payDet,$U15,O$23:OFFSET(O$23,ROWS(payDet)-1,0))</f>
        <v>0</v>
      </c>
      <c r="P15" s="74">
        <f ca="1">SUMIF(payDet,$U15,P$23:OFFSET(P$23,ROWS(payDet)-1,0))</f>
        <v>0</v>
      </c>
      <c r="Q15" s="74">
        <f ca="1">SUMIF(payDet,$U15,Q$23:OFFSET(Q$23,ROWS(payDet)-1,0))</f>
        <v>0</v>
      </c>
      <c r="R15" s="74">
        <f ca="1">SUMIF(payDet,$U15,R$23:OFFSET(R$23,ROWS(payDet)-1,0))</f>
        <v>0</v>
      </c>
      <c r="S15" s="74">
        <f ca="1">SUMIF(payDet,$U15,S$23:OFFSET(S$23,ROWS(payDet)-1,0))</f>
        <v>0</v>
      </c>
      <c r="U15" s="267" t="str">
        <f>IF(ISBLANK(EmpID),A15,EmpID &amp;":"&amp; A15)</f>
        <v>*:10</v>
      </c>
      <c r="X15" s="250"/>
      <c r="Y15" s="16"/>
      <c r="Z15" s="15"/>
      <c r="AA15" s="15"/>
    </row>
    <row r="16" spans="1:27" x14ac:dyDescent="0.25">
      <c r="A16" s="120">
        <v>11</v>
      </c>
      <c r="B16" s="231"/>
      <c r="C16" s="77"/>
      <c r="D16" s="238"/>
      <c r="E16" s="76">
        <f ca="1">SUMIF(payDet,$U16,E$23:OFFSET(E$23,ROWS(payDet)-1,0))</f>
        <v>0</v>
      </c>
      <c r="F16" s="336"/>
      <c r="G16" s="76"/>
      <c r="H16" s="76">
        <f ca="1">SUMIF(payDet,$U16,H$23:OFFSET(H$23,ROWS(payDet)-1,0))</f>
        <v>0</v>
      </c>
      <c r="I16" s="232">
        <f ca="1">SUMIF(payDet,$U16,I$23:OFFSET(I$23,ROWS(payDet)-1,0))</f>
        <v>0</v>
      </c>
      <c r="J16" s="76">
        <f ca="1">SUMIF(payDet,$U16,J$23:OFFSET(J$23,ROWS(payDet)-1,0))</f>
        <v>0</v>
      </c>
      <c r="K16" s="76">
        <f ca="1">SUMIF(payDet,$U16,K$23:OFFSET(K$23,ROWS(payDet)-1,0))</f>
        <v>0</v>
      </c>
      <c r="L16" s="76">
        <f ca="1">SUMIF(payDet,$U16,L$23:OFFSET(L$23,ROWS(payDet)-1,0))</f>
        <v>0</v>
      </c>
      <c r="M16" s="76">
        <f ca="1">SUMIF(payDet,$U16,M$23:OFFSET(M$23,ROWS(payDet)-1,0))</f>
        <v>0</v>
      </c>
      <c r="N16" s="76">
        <f ca="1">SUMIF(payDet,$U16,N$23:OFFSET(N$23,ROWS(payDet)-1,0))</f>
        <v>0</v>
      </c>
      <c r="O16" s="76">
        <f ca="1">SUMIF(payDet,$U16,O$23:OFFSET(O$23,ROWS(payDet)-1,0))</f>
        <v>0</v>
      </c>
      <c r="P16" s="76">
        <f ca="1">SUMIF(payDet,$U16,P$23:OFFSET(P$23,ROWS(payDet)-1,0))</f>
        <v>0</v>
      </c>
      <c r="Q16" s="76">
        <f ca="1">SUMIF(payDet,$U16,Q$23:OFFSET(Q$23,ROWS(payDet)-1,0))</f>
        <v>0</v>
      </c>
      <c r="R16" s="76">
        <f ca="1">SUMIF(payDet,$U16,R$23:OFFSET(R$23,ROWS(payDet)-1,0))</f>
        <v>0</v>
      </c>
      <c r="S16" s="76">
        <f ca="1">SUMIF(payDet,$U16,S$23:OFFSET(S$23,ROWS(payDet)-1,0))</f>
        <v>0</v>
      </c>
      <c r="T16" s="202"/>
      <c r="U16" s="120" t="str">
        <f>IF(ISBLANK(EmpID),A16,EmpID &amp;":"&amp; A16)</f>
        <v>*:11</v>
      </c>
    </row>
    <row r="17" spans="1:35" ht="12" customHeight="1" x14ac:dyDescent="0.25">
      <c r="A17" s="120">
        <v>12</v>
      </c>
      <c r="B17" s="231"/>
      <c r="C17" s="77"/>
      <c r="D17" s="238"/>
      <c r="E17" s="78">
        <f ca="1">SUMIF(payDet,$U17,E$23:OFFSET(E$23,ROWS(payDet)-1,0))</f>
        <v>0</v>
      </c>
      <c r="F17" s="340"/>
      <c r="G17" s="78"/>
      <c r="H17" s="78">
        <f ca="1">SUMIF(payDet,$U17,H$23:OFFSET(H$23,ROWS(payDet)-1,0))</f>
        <v>0</v>
      </c>
      <c r="I17" s="234">
        <f ca="1">SUMIF(payDet,$U17,I$23:OFFSET(I$23,ROWS(payDet)-1,0))</f>
        <v>0</v>
      </c>
      <c r="J17" s="78">
        <f ca="1">SUMIF(payDet,$U17,J$23:OFFSET(J$23,ROWS(payDet)-1,0))</f>
        <v>0</v>
      </c>
      <c r="K17" s="78">
        <f ca="1">SUMIF(payDet,$U17,K$23:OFFSET(K$23,ROWS(payDet)-1,0))</f>
        <v>0</v>
      </c>
      <c r="L17" s="78">
        <f ca="1">SUMIF(payDet,$U17,L$23:OFFSET(L$23,ROWS(payDet)-1,0))</f>
        <v>0</v>
      </c>
      <c r="M17" s="78">
        <f ca="1">SUMIF(payDet,$U17,M$23:OFFSET(M$23,ROWS(payDet)-1,0))</f>
        <v>0</v>
      </c>
      <c r="N17" s="78">
        <f ca="1">SUMIF(payDet,$U17,N$23:OFFSET(N$23,ROWS(payDet)-1,0))</f>
        <v>0</v>
      </c>
      <c r="O17" s="78">
        <f ca="1">SUMIF(payDet,$U17,O$23:OFFSET(O$23,ROWS(payDet)-1,0))</f>
        <v>0</v>
      </c>
      <c r="P17" s="78">
        <f ca="1">SUMIF(payDet,$U17,P$23:OFFSET(P$23,ROWS(payDet)-1,0))</f>
        <v>0</v>
      </c>
      <c r="Q17" s="78">
        <f ca="1">SUMIF(payDet,$U17,Q$23:OFFSET(Q$23,ROWS(payDet)-1,0))</f>
        <v>0</v>
      </c>
      <c r="R17" s="78">
        <f ca="1">SUMIF(payDet,$U17,R$23:OFFSET(R$23,ROWS(payDet)-1,0))</f>
        <v>0</v>
      </c>
      <c r="S17" s="78">
        <f ca="1">SUMIF(payDet,$U17,S$23:OFFSET(S$23,ROWS(payDet)-1,0))</f>
        <v>0</v>
      </c>
      <c r="U17" s="123" t="str">
        <f>IF(ISBLANK(EmpID),A17,EmpID &amp;":"&amp; A17)</f>
        <v>*:12</v>
      </c>
    </row>
    <row r="18" spans="1:35" ht="12" customHeight="1" thickBot="1" x14ac:dyDescent="0.3">
      <c r="A18" s="239"/>
      <c r="B18" s="190"/>
      <c r="C18" s="132" t="s">
        <v>26</v>
      </c>
      <c r="D18" s="236"/>
      <c r="E18" s="190">
        <f ca="1">SUBTOTAL(9,E15:E17)</f>
        <v>0</v>
      </c>
      <c r="F18" s="377"/>
      <c r="G18" s="236"/>
      <c r="H18" s="190">
        <f t="shared" ref="H18:S18" ca="1" si="6">SUBTOTAL(9,H15:H17)</f>
        <v>0</v>
      </c>
      <c r="I18" s="190">
        <f t="shared" ca="1" si="6"/>
        <v>0</v>
      </c>
      <c r="J18" s="190">
        <f t="shared" ca="1" si="6"/>
        <v>0</v>
      </c>
      <c r="K18" s="190">
        <f t="shared" ref="K18" ca="1" si="7">SUBTOTAL(9,K15:K17)</f>
        <v>0</v>
      </c>
      <c r="L18" s="190">
        <f t="shared" ca="1" si="6"/>
        <v>0</v>
      </c>
      <c r="M18" s="190">
        <f t="shared" ca="1" si="6"/>
        <v>0</v>
      </c>
      <c r="N18" s="190">
        <f t="shared" ca="1" si="6"/>
        <v>0</v>
      </c>
      <c r="O18" s="190">
        <f t="shared" ca="1" si="6"/>
        <v>0</v>
      </c>
      <c r="P18" s="190">
        <f t="shared" ca="1" si="6"/>
        <v>0</v>
      </c>
      <c r="Q18" s="190">
        <f t="shared" ca="1" si="6"/>
        <v>0</v>
      </c>
      <c r="R18" s="190">
        <f t="shared" ca="1" si="6"/>
        <v>0</v>
      </c>
      <c r="S18" s="237">
        <f t="shared" ca="1" si="6"/>
        <v>0</v>
      </c>
      <c r="U18" s="239"/>
    </row>
    <row r="19" spans="1:35" ht="12" customHeight="1" thickBot="1" x14ac:dyDescent="0.3">
      <c r="A19" s="240"/>
      <c r="B19" s="241"/>
      <c r="C19" s="241" t="s">
        <v>119</v>
      </c>
      <c r="D19" s="242"/>
      <c r="E19" s="241">
        <f ca="1">SUBTOTAL(9,E3:E18)</f>
        <v>682</v>
      </c>
      <c r="F19" s="376"/>
      <c r="G19" s="242"/>
      <c r="H19" s="241">
        <f t="shared" ref="H19:S19" ca="1" si="8">SUBTOTAL(9,H3:H18)</f>
        <v>375620</v>
      </c>
      <c r="I19" s="241">
        <f t="shared" ca="1" si="8"/>
        <v>17977.75</v>
      </c>
      <c r="J19" s="241">
        <f t="shared" ca="1" si="8"/>
        <v>359545.26</v>
      </c>
      <c r="K19" s="241">
        <f t="shared" ref="K19" ca="1" si="9">SUBTOTAL(9,K3:K18)</f>
        <v>3415.71</v>
      </c>
      <c r="L19" s="241">
        <f t="shared" ca="1" si="8"/>
        <v>24133.39</v>
      </c>
      <c r="M19" s="241">
        <f t="shared" ca="1" si="8"/>
        <v>31193.41</v>
      </c>
      <c r="N19" s="241">
        <f t="shared" ca="1" si="8"/>
        <v>0</v>
      </c>
      <c r="O19" s="241">
        <f t="shared" ca="1" si="8"/>
        <v>0</v>
      </c>
      <c r="P19" s="241">
        <f t="shared" ca="1" si="8"/>
        <v>300802.75</v>
      </c>
      <c r="Q19" s="241">
        <f t="shared" ca="1" si="8"/>
        <v>86609</v>
      </c>
      <c r="R19" s="241">
        <f t="shared" ca="1" si="8"/>
        <v>214193.75</v>
      </c>
      <c r="S19" s="243">
        <f t="shared" ca="1" si="8"/>
        <v>26546.69</v>
      </c>
      <c r="U19" s="240"/>
    </row>
    <row r="20" spans="1:35" x14ac:dyDescent="0.25">
      <c r="B20" s="252"/>
      <c r="E20" s="253"/>
      <c r="T20" s="253"/>
    </row>
    <row r="21" spans="1:35" ht="23.25" customHeight="1" x14ac:dyDescent="0.4">
      <c r="A21" s="254"/>
      <c r="B21" s="255"/>
      <c r="C21" s="256" t="str">
        <f>EmpID</f>
        <v>*</v>
      </c>
      <c r="D21" s="255"/>
      <c r="E21" s="219"/>
      <c r="F21" s="145"/>
      <c r="G21" s="255"/>
      <c r="H21" s="219"/>
      <c r="I21" s="66"/>
      <c r="J21" s="221" t="s">
        <v>475</v>
      </c>
      <c r="K21" s="66"/>
      <c r="L21" s="66"/>
      <c r="M21" s="66"/>
      <c r="N21" s="66"/>
      <c r="O21" s="66"/>
      <c r="P21" s="66"/>
      <c r="Q21" s="66"/>
      <c r="R21" s="66"/>
      <c r="S21" s="66"/>
      <c r="T21" s="253"/>
      <c r="U21" s="66" t="s">
        <v>465</v>
      </c>
      <c r="V21" s="66" t="s">
        <v>465</v>
      </c>
      <c r="W21" s="66" t="s">
        <v>465</v>
      </c>
      <c r="X21" s="257" t="s">
        <v>476</v>
      </c>
      <c r="Y21" s="219"/>
      <c r="Z21" s="246"/>
      <c r="AA21" s="219"/>
      <c r="AB21" s="219" t="s">
        <v>138</v>
      </c>
      <c r="AC21" s="246" t="s">
        <v>138</v>
      </c>
      <c r="AD21" s="246" t="s">
        <v>477</v>
      </c>
      <c r="AE21" s="219" t="s">
        <v>477</v>
      </c>
      <c r="AF21" s="219"/>
      <c r="AG21" s="246"/>
      <c r="AH21" s="219" t="s">
        <v>478</v>
      </c>
      <c r="AI21" s="219"/>
    </row>
    <row r="22" spans="1:35" s="224" customFormat="1" ht="12.75" customHeight="1" thickBot="1" x14ac:dyDescent="0.3">
      <c r="A22" s="222"/>
      <c r="B22" s="156"/>
      <c r="C22" s="263" t="str">
        <f>EmpID</f>
        <v>*</v>
      </c>
      <c r="D22" s="156"/>
      <c r="E22" s="156"/>
      <c r="F22" s="156"/>
      <c r="G22" s="156"/>
      <c r="H22" s="156"/>
      <c r="I22" s="156"/>
      <c r="J22" s="156" t="s">
        <v>479</v>
      </c>
      <c r="K22" s="156" t="s">
        <v>482</v>
      </c>
      <c r="L22" s="156" t="s">
        <v>61</v>
      </c>
      <c r="M22" s="156" t="s">
        <v>480</v>
      </c>
      <c r="N22" s="156" t="s">
        <v>481</v>
      </c>
      <c r="O22" s="156" t="s">
        <v>483</v>
      </c>
      <c r="P22" s="156" t="s">
        <v>101</v>
      </c>
      <c r="Q22" s="156" t="s">
        <v>35</v>
      </c>
      <c r="R22" s="156" t="s">
        <v>484</v>
      </c>
      <c r="S22" s="156" t="s">
        <v>460</v>
      </c>
      <c r="T22" s="258"/>
      <c r="U22" s="222" t="s">
        <v>485</v>
      </c>
      <c r="V22" s="222" t="s">
        <v>486</v>
      </c>
      <c r="W22" s="222" t="s">
        <v>487</v>
      </c>
      <c r="X22" s="222" t="s">
        <v>477</v>
      </c>
      <c r="Y22" s="156" t="s">
        <v>138</v>
      </c>
      <c r="Z22" s="156" t="s">
        <v>445</v>
      </c>
      <c r="AA22" s="67" t="s">
        <v>488</v>
      </c>
      <c r="AB22" s="67" t="s">
        <v>128</v>
      </c>
      <c r="AC22" s="67" t="s">
        <v>489</v>
      </c>
      <c r="AD22" s="67" t="s">
        <v>128</v>
      </c>
      <c r="AE22" s="67" t="s">
        <v>489</v>
      </c>
      <c r="AF22" s="67" t="s">
        <v>490</v>
      </c>
      <c r="AG22" s="67" t="s">
        <v>491</v>
      </c>
      <c r="AH22" s="67" t="s">
        <v>477</v>
      </c>
      <c r="AI22" s="259" t="s">
        <v>492</v>
      </c>
    </row>
    <row r="23" spans="1:35" hidden="1" outlineLevel="1" x14ac:dyDescent="0.25">
      <c r="A23" s="120">
        <f>GETPAYMONTH(B23)</f>
        <v>0</v>
      </c>
      <c r="B23" s="226"/>
      <c r="C23" s="227"/>
      <c r="D23" s="260"/>
      <c r="E23" s="228">
        <f ca="1">SUMIF(payNonMonth,"="&amp;$W23,$E$371:OFFSET($E$371,ROWS(payNonMonth)-1,0))</f>
        <v>0</v>
      </c>
      <c r="F23" s="228"/>
      <c r="G23" s="77">
        <f ca="1">IF(AND($E23=0,$F23=0),0,1)</f>
        <v>0</v>
      </c>
      <c r="H23" s="76">
        <f t="shared" ref="H23:H54" ca="1" si="10">ROUND(SUM(E23:F23)*AB23,2)</f>
        <v>0</v>
      </c>
      <c r="I23" s="76">
        <f t="shared" ref="I23:I54" ca="1" si="11">H23*OFFSET(payMgmtRate,0,$AG23)</f>
        <v>0</v>
      </c>
      <c r="J23" s="233">
        <f t="shared" ref="J23:J54" ca="1" si="12">ROUND(IF(AH23,$E23,1)*AD23+$F23*AE23+SUMIF(payAllow,$V23,$J$266:$J$368),2)</f>
        <v>0</v>
      </c>
      <c r="K23" s="76"/>
      <c r="L23" s="76">
        <f t="shared" ref="L23:L54" ca="1" si="13">SUMIF(payAllow,$V23,L$266:L$368)*$G23</f>
        <v>0</v>
      </c>
      <c r="M23" s="76">
        <f ca="1">GETSUPER(J23-SUM(K23:L23))</f>
        <v>0</v>
      </c>
      <c r="N23" s="76">
        <f t="shared" ref="N23:N54" ca="1" si="14">SUMIF(payAllow,$V23,N$266:N$368)*G23</f>
        <v>0</v>
      </c>
      <c r="O23" s="76"/>
      <c r="P23" s="76">
        <f t="shared" ref="P23:P54" ca="1" si="15">J23-SUM(K23:O23)</f>
        <v>0</v>
      </c>
      <c r="Q23" s="76">
        <f ca="1">GETTAX(P23,Z23)</f>
        <v>0</v>
      </c>
      <c r="R23" s="76">
        <f ca="1">P23-Q23</f>
        <v>0</v>
      </c>
      <c r="S23" s="232">
        <f t="shared" ref="S23:S54" ca="1" si="16">SUMIF(payAllow,V23,S$266:S$368)*G23</f>
        <v>0</v>
      </c>
      <c r="U23" s="120" t="str">
        <f t="shared" ref="U23:U54" si="17">IF(EmpID="*","*",C23) &amp;":"&amp; $A23</f>
        <v>*:0</v>
      </c>
      <c r="V23" s="120" t="str">
        <f>$C23 &amp;":"&amp; $B23</f>
        <v>:</v>
      </c>
      <c r="W23" s="120" t="str">
        <f t="shared" ref="W23:W29" si="18">C23 &amp;":"&amp; A23</f>
        <v>:0</v>
      </c>
      <c r="X23" s="250">
        <f t="array" aca="1" ref="X23:AI23" ca="1">VLOOKUP($D23&amp;":"&amp;$C23,tblPayRates,{3,4,5,6,7,8,9,10,11,12,13,14},0)</f>
        <v>0</v>
      </c>
      <c r="Y23" s="16" t="str">
        <f ca="1"/>
        <v>Nobody</v>
      </c>
      <c r="Z23" s="261" t="str">
        <f ca="1"/>
        <v>M</v>
      </c>
      <c r="AA23" s="77" t="str">
        <f ca="1"/>
        <v>Daily</v>
      </c>
      <c r="AB23" s="77">
        <f ca="1"/>
        <v>0</v>
      </c>
      <c r="AC23" s="77">
        <f ca="1"/>
        <v>0</v>
      </c>
      <c r="AD23" s="77">
        <f ca="1"/>
        <v>0</v>
      </c>
      <c r="AE23" s="77">
        <f ca="1"/>
        <v>0</v>
      </c>
      <c r="AF23" s="261" t="str">
        <f ca="1"/>
        <v>N</v>
      </c>
      <c r="AG23" s="261">
        <f ca="1"/>
        <v>1</v>
      </c>
      <c r="AH23" s="261">
        <f ca="1"/>
        <v>1</v>
      </c>
      <c r="AI23" s="262">
        <f ca="1"/>
        <v>0</v>
      </c>
    </row>
    <row r="24" spans="1:35" hidden="1" outlineLevel="1" x14ac:dyDescent="0.25">
      <c r="A24" s="120">
        <f t="shared" ref="A24:A27" si="19">GETPAYMONTH(B24)</f>
        <v>1</v>
      </c>
      <c r="B24" s="231">
        <v>43646</v>
      </c>
      <c r="C24" s="77" t="s">
        <v>55</v>
      </c>
      <c r="D24" s="238" t="s">
        <v>659</v>
      </c>
      <c r="E24" s="76">
        <f ca="1">SUMIF(payNonMonth,"="&amp;$W24,$E$371:OFFSET($E$371,ROWS(payNonMonth)-1,0))</f>
        <v>19</v>
      </c>
      <c r="F24" s="76"/>
      <c r="G24" s="77">
        <f t="shared" ref="G24:G27" ca="1" si="20">IF(AND($E24=0,$F24=0),0,1)</f>
        <v>1</v>
      </c>
      <c r="H24" s="76">
        <f t="shared" ca="1" si="10"/>
        <v>18050</v>
      </c>
      <c r="I24" s="76">
        <f t="shared" ca="1" si="11"/>
        <v>902.5</v>
      </c>
      <c r="J24" s="233">
        <f t="shared" ca="1" si="12"/>
        <v>17100</v>
      </c>
      <c r="K24" s="76">
        <f t="shared" ref="K24:K55" ca="1" si="21">ROUND(J24*InsureRate2,2)</f>
        <v>162.44999999999999</v>
      </c>
      <c r="L24" s="76">
        <f t="shared" ca="1" si="13"/>
        <v>1000</v>
      </c>
      <c r="M24" s="76">
        <f ca="1">GETSUPER(J24)</f>
        <v>1483.56</v>
      </c>
      <c r="N24" s="76">
        <f t="shared" ca="1" si="14"/>
        <v>0</v>
      </c>
      <c r="O24" s="76"/>
      <c r="P24" s="76">
        <f t="shared" ca="1" si="15"/>
        <v>14453.99</v>
      </c>
      <c r="Q24" s="76">
        <f ca="1">GETTAX(P24,Z24)</f>
        <v>4598</v>
      </c>
      <c r="R24" s="76">
        <f t="shared" ref="R24:R27" ca="1" si="22">P24-Q24</f>
        <v>9855.99</v>
      </c>
      <c r="S24" s="232">
        <f t="shared" ca="1" si="16"/>
        <v>1100</v>
      </c>
      <c r="U24" s="120" t="str">
        <f t="shared" si="17"/>
        <v>*:1</v>
      </c>
      <c r="V24" s="120" t="str">
        <f t="shared" ref="V24:V27" si="23">$C24 &amp;":"&amp; $B24</f>
        <v>MAM:43646</v>
      </c>
      <c r="W24" s="120" t="str">
        <f t="shared" si="18"/>
        <v>MAM:1</v>
      </c>
      <c r="X24" s="250" t="str">
        <f t="array" ref="X24:AI24">VLOOKUP($D24&amp;":"&amp;$C24,tblPayRates,{3,4,5,6,7,8,9,10,11,12,13,14},0)</f>
        <v>MAM</v>
      </c>
      <c r="Y24" s="16" t="str">
        <v>Magma</v>
      </c>
      <c r="Z24" s="261" t="str">
        <v>M</v>
      </c>
      <c r="AA24" s="77" t="str">
        <v>Daily</v>
      </c>
      <c r="AB24" s="77">
        <v>950</v>
      </c>
      <c r="AC24" s="77">
        <v>950</v>
      </c>
      <c r="AD24" s="77">
        <v>900</v>
      </c>
      <c r="AE24" s="77">
        <v>0</v>
      </c>
      <c r="AF24" s="261" t="str">
        <v>N</v>
      </c>
      <c r="AG24" s="261">
        <v>1</v>
      </c>
      <c r="AH24" s="261">
        <v>1</v>
      </c>
      <c r="AI24" s="262">
        <v>0</v>
      </c>
    </row>
    <row r="25" spans="1:35" hidden="1" outlineLevel="1" x14ac:dyDescent="0.25">
      <c r="A25" s="120">
        <f t="shared" si="19"/>
        <v>1</v>
      </c>
      <c r="B25" s="231">
        <v>43646</v>
      </c>
      <c r="C25" s="77" t="s">
        <v>57</v>
      </c>
      <c r="D25" s="238" t="s">
        <v>668</v>
      </c>
      <c r="E25" s="76">
        <f ca="1">SUMIF(payNonMonth,"="&amp;$W25,$E$371:OFFSET($E$371,ROWS(payNonMonth)-1,0))</f>
        <v>21</v>
      </c>
      <c r="F25" s="76"/>
      <c r="G25" s="77">
        <f t="shared" ca="1" si="20"/>
        <v>1</v>
      </c>
      <c r="H25" s="76">
        <f t="shared" ca="1" si="10"/>
        <v>10500</v>
      </c>
      <c r="I25" s="76">
        <f t="shared" ca="1" si="11"/>
        <v>525</v>
      </c>
      <c r="J25" s="233">
        <f t="shared" ca="1" si="12"/>
        <v>10290</v>
      </c>
      <c r="K25" s="76">
        <f t="shared" ca="1" si="21"/>
        <v>97.76</v>
      </c>
      <c r="L25" s="76">
        <f t="shared" ca="1" si="13"/>
        <v>2721.82</v>
      </c>
      <c r="M25" s="76">
        <f t="shared" ref="M25:M85" ca="1" si="24">GETSUPER(J25)</f>
        <v>892.74</v>
      </c>
      <c r="N25" s="76">
        <f t="shared" ca="1" si="14"/>
        <v>0</v>
      </c>
      <c r="O25" s="76"/>
      <c r="P25" s="76">
        <f t="shared" ca="1" si="15"/>
        <v>6577.6799999999994</v>
      </c>
      <c r="Q25" s="76">
        <f ca="1">GETTAX(P25,Z25)</f>
        <v>1569</v>
      </c>
      <c r="R25" s="76">
        <f t="shared" ca="1" si="22"/>
        <v>5008.6799999999994</v>
      </c>
      <c r="S25" s="232">
        <f t="shared" ca="1" si="16"/>
        <v>2994</v>
      </c>
      <c r="U25" s="120" t="str">
        <f t="shared" si="17"/>
        <v>*:1</v>
      </c>
      <c r="V25" s="120" t="str">
        <f t="shared" si="23"/>
        <v>CRP:43646</v>
      </c>
      <c r="W25" s="120" t="str">
        <f t="shared" si="18"/>
        <v>CRP:1</v>
      </c>
      <c r="X25" s="250" t="str">
        <f t="array" ref="X25:AI25">VLOOKUP($D25&amp;":"&amp;$C25,tblPayRates,{3,4,5,6,7,8,9,10,11,12,13,14},0)</f>
        <v>CRP</v>
      </c>
      <c r="Y25" s="16" t="str">
        <v>MTR</v>
      </c>
      <c r="Z25" s="261" t="str">
        <v>M</v>
      </c>
      <c r="AA25" s="77" t="str">
        <v>Daily</v>
      </c>
      <c r="AB25" s="77">
        <v>500</v>
      </c>
      <c r="AC25" s="77">
        <v>500</v>
      </c>
      <c r="AD25" s="77">
        <v>490</v>
      </c>
      <c r="AE25" s="77">
        <v>0</v>
      </c>
      <c r="AF25" s="261" t="str">
        <v>Q</v>
      </c>
      <c r="AG25" s="261">
        <v>1</v>
      </c>
      <c r="AH25" s="261">
        <v>1</v>
      </c>
      <c r="AI25" s="262">
        <v>0</v>
      </c>
    </row>
    <row r="26" spans="1:35" hidden="1" outlineLevel="1" x14ac:dyDescent="0.25">
      <c r="A26" s="120">
        <f t="shared" si="19"/>
        <v>1</v>
      </c>
      <c r="B26" s="231">
        <v>43646</v>
      </c>
      <c r="C26" s="77" t="s">
        <v>58</v>
      </c>
      <c r="D26" s="238" t="s">
        <v>668</v>
      </c>
      <c r="E26" s="76">
        <f ca="1">SUMIF(payNonMonth,"="&amp;$W26,$E$371:OFFSET($E$371,ROWS(payNonMonth)-1,0))</f>
        <v>21</v>
      </c>
      <c r="F26" s="76"/>
      <c r="G26" s="77">
        <f t="shared" ca="1" si="20"/>
        <v>1</v>
      </c>
      <c r="H26" s="76">
        <f t="shared" ca="1" si="10"/>
        <v>10500</v>
      </c>
      <c r="I26" s="76">
        <f t="shared" ca="1" si="11"/>
        <v>525</v>
      </c>
      <c r="J26" s="233">
        <f t="shared" ca="1" si="12"/>
        <v>10290</v>
      </c>
      <c r="K26" s="76">
        <f t="shared" ca="1" si="21"/>
        <v>97.76</v>
      </c>
      <c r="L26" s="76">
        <f t="shared" ca="1" si="13"/>
        <v>953.64</v>
      </c>
      <c r="M26" s="76">
        <f t="shared" ca="1" si="24"/>
        <v>892.74</v>
      </c>
      <c r="N26" s="76">
        <f t="shared" ca="1" si="14"/>
        <v>0</v>
      </c>
      <c r="O26" s="76"/>
      <c r="P26" s="76">
        <f t="shared" ca="1" si="15"/>
        <v>8345.86</v>
      </c>
      <c r="Q26" s="76">
        <f t="shared" ref="Q26:Q27" ca="1" si="25">GETTAX(P26,Z26)</f>
        <v>2214</v>
      </c>
      <c r="R26" s="76">
        <f t="shared" ca="1" si="22"/>
        <v>6131.8600000000006</v>
      </c>
      <c r="S26" s="232">
        <f t="shared" ca="1" si="16"/>
        <v>1049</v>
      </c>
      <c r="U26" s="120" t="str">
        <f t="shared" si="17"/>
        <v>*:1</v>
      </c>
      <c r="V26" s="120" t="str">
        <f t="shared" si="23"/>
        <v>SM:43646</v>
      </c>
      <c r="W26" s="120" t="str">
        <f t="shared" si="18"/>
        <v>SM:1</v>
      </c>
      <c r="X26" s="250" t="str">
        <f t="array" ref="X26:AI26">VLOOKUP($D26&amp;":"&amp;$C26,tblPayRates,{3,4,5,6,7,8,9,10,11,12,13,14},0)</f>
        <v>SM</v>
      </c>
      <c r="Y26" s="16" t="str">
        <v>MTR</v>
      </c>
      <c r="Z26" s="261" t="str">
        <v>M</v>
      </c>
      <c r="AA26" s="77" t="str">
        <v>Daily</v>
      </c>
      <c r="AB26" s="77">
        <v>500</v>
      </c>
      <c r="AC26" s="77">
        <v>500</v>
      </c>
      <c r="AD26" s="77">
        <v>490</v>
      </c>
      <c r="AE26" s="77">
        <v>0</v>
      </c>
      <c r="AF26" s="261" t="str">
        <v>Q</v>
      </c>
      <c r="AG26" s="261">
        <v>1</v>
      </c>
      <c r="AH26" s="261">
        <v>1</v>
      </c>
      <c r="AI26" s="262">
        <v>0</v>
      </c>
    </row>
    <row r="27" spans="1:35" hidden="1" outlineLevel="1" x14ac:dyDescent="0.25">
      <c r="A27" s="120">
        <f t="shared" si="19"/>
        <v>1</v>
      </c>
      <c r="B27" s="231">
        <v>43646</v>
      </c>
      <c r="C27" s="77" t="s">
        <v>622</v>
      </c>
      <c r="D27" s="238" t="s">
        <v>499</v>
      </c>
      <c r="E27" s="76">
        <f ca="1">SUMIF(payNonMonth,"="&amp;$W27,$E$371:OFFSET($E$371,ROWS(payNonMonth)-1,0))</f>
        <v>16.5</v>
      </c>
      <c r="F27" s="76"/>
      <c r="G27" s="77">
        <f t="shared" ca="1" si="20"/>
        <v>1</v>
      </c>
      <c r="H27" s="76">
        <f t="shared" ca="1" si="10"/>
        <v>11550</v>
      </c>
      <c r="I27" s="76">
        <f t="shared" ca="1" si="11"/>
        <v>404.25000000000006</v>
      </c>
      <c r="J27" s="233">
        <f t="shared" ca="1" si="12"/>
        <v>10972.5</v>
      </c>
      <c r="K27" s="76">
        <f t="shared" ca="1" si="21"/>
        <v>104.24</v>
      </c>
      <c r="L27" s="76">
        <f t="shared" ca="1" si="13"/>
        <v>162.63999999999999</v>
      </c>
      <c r="M27" s="76">
        <f t="shared" ca="1" si="24"/>
        <v>951.95</v>
      </c>
      <c r="N27" s="76">
        <f t="shared" ca="1" si="14"/>
        <v>0</v>
      </c>
      <c r="O27" s="76"/>
      <c r="P27" s="76">
        <f t="shared" ca="1" si="15"/>
        <v>9753.67</v>
      </c>
      <c r="Q27" s="76">
        <f t="shared" ca="1" si="25"/>
        <v>2765</v>
      </c>
      <c r="R27" s="76">
        <f t="shared" ca="1" si="22"/>
        <v>6988.67</v>
      </c>
      <c r="S27" s="232">
        <f t="shared" ca="1" si="16"/>
        <v>178.9</v>
      </c>
      <c r="U27" s="120" t="str">
        <f t="shared" si="17"/>
        <v>*:1</v>
      </c>
      <c r="V27" s="120" t="str">
        <f t="shared" si="23"/>
        <v>GEO:43646</v>
      </c>
      <c r="W27" s="120" t="str">
        <f t="shared" si="18"/>
        <v>GEO:1</v>
      </c>
      <c r="X27" s="250" t="str">
        <f t="array" ref="X27:AI27">VLOOKUP($D27&amp;":"&amp;$C27,tblPayRates,{3,4,5,6,7,8,9,10,11,12,13,14},0)</f>
        <v>GEO</v>
      </c>
      <c r="Y27" s="16" t="str">
        <v>Magma</v>
      </c>
      <c r="Z27" s="261" t="str">
        <v>M</v>
      </c>
      <c r="AA27" s="77" t="str">
        <v>Daily</v>
      </c>
      <c r="AB27" s="77">
        <v>700</v>
      </c>
      <c r="AC27" s="77">
        <v>700</v>
      </c>
      <c r="AD27" s="77">
        <v>665</v>
      </c>
      <c r="AE27" s="77">
        <v>0</v>
      </c>
      <c r="AF27" s="261" t="str">
        <v>N</v>
      </c>
      <c r="AG27" s="261">
        <v>2</v>
      </c>
      <c r="AH27" s="261">
        <v>1</v>
      </c>
      <c r="AI27" s="262">
        <v>0</v>
      </c>
    </row>
    <row r="28" spans="1:35" hidden="1" outlineLevel="1" x14ac:dyDescent="0.25">
      <c r="A28" s="120">
        <f>GETPAYMONTH(B28)</f>
        <v>1</v>
      </c>
      <c r="B28" s="231">
        <v>43646</v>
      </c>
      <c r="C28" s="77" t="s">
        <v>657</v>
      </c>
      <c r="D28" s="238" t="s">
        <v>674</v>
      </c>
      <c r="E28" s="76">
        <f ca="1">SUMIF(payNonMonth,"="&amp;$W28,$E$371:OFFSET($E$371,ROWS(payNonMonth)-1,0))</f>
        <v>20.5</v>
      </c>
      <c r="F28" s="76"/>
      <c r="G28" s="77">
        <f ca="1">IF(AND($E28=0,$F28=0),0,1)</f>
        <v>1</v>
      </c>
      <c r="H28" s="76">
        <f t="shared" ca="1" si="10"/>
        <v>12771.5</v>
      </c>
      <c r="I28" s="76">
        <f t="shared" ca="1" si="11"/>
        <v>638.57500000000005</v>
      </c>
      <c r="J28" s="233">
        <f t="shared" ca="1" si="12"/>
        <v>10746.31</v>
      </c>
      <c r="K28" s="76">
        <f t="shared" ca="1" si="21"/>
        <v>102.09</v>
      </c>
      <c r="L28" s="76">
        <f t="shared" ca="1" si="13"/>
        <v>215.27</v>
      </c>
      <c r="M28" s="76">
        <f t="shared" ca="1" si="24"/>
        <v>932.33</v>
      </c>
      <c r="N28" s="76">
        <f t="shared" ca="1" si="14"/>
        <v>0</v>
      </c>
      <c r="O28" s="76"/>
      <c r="P28" s="76">
        <f t="shared" ca="1" si="15"/>
        <v>9496.619999999999</v>
      </c>
      <c r="Q28" s="76">
        <f ca="1">GETTAX(P28,Z28)</f>
        <v>2665</v>
      </c>
      <c r="R28" s="76">
        <f ca="1">P28-Q28</f>
        <v>6831.619999999999</v>
      </c>
      <c r="S28" s="232">
        <f t="shared" ca="1" si="16"/>
        <v>236.8</v>
      </c>
      <c r="U28" s="120" t="str">
        <f t="shared" si="17"/>
        <v>*:1</v>
      </c>
      <c r="V28" s="120" t="str">
        <f>$C28 &amp;":"&amp; $B28</f>
        <v>VAK:43646</v>
      </c>
      <c r="W28" s="120" t="str">
        <f t="shared" si="18"/>
        <v>VAK:1</v>
      </c>
      <c r="X28" s="250" t="str">
        <f t="array" ref="X28:AI28">VLOOKUP($D28&amp;":"&amp;$C28,tblPayRates,{3,4,5,6,7,8,9,10,11,12,13,14},0)</f>
        <v>VAK</v>
      </c>
      <c r="Y28" s="16" t="str">
        <v>Paxus</v>
      </c>
      <c r="Z28" s="261" t="str">
        <v>M</v>
      </c>
      <c r="AA28" s="77" t="str">
        <v>Daily</v>
      </c>
      <c r="AB28" s="77">
        <v>623</v>
      </c>
      <c r="AC28" s="77">
        <v>623</v>
      </c>
      <c r="AD28" s="77">
        <v>524.21</v>
      </c>
      <c r="AE28" s="77">
        <v>0</v>
      </c>
      <c r="AF28" s="261" t="str">
        <v>Q</v>
      </c>
      <c r="AG28" s="261">
        <v>1</v>
      </c>
      <c r="AH28" s="261">
        <v>1</v>
      </c>
      <c r="AI28" s="262">
        <v>0</v>
      </c>
    </row>
    <row r="29" spans="1:35" hidden="1" outlineLevel="1" x14ac:dyDescent="0.25">
      <c r="A29" s="120">
        <f t="shared" ref="A29:A31" si="26">GETPAYMONTH(B29)</f>
        <v>1</v>
      </c>
      <c r="B29" s="231">
        <v>43646</v>
      </c>
      <c r="C29" s="77" t="s">
        <v>658</v>
      </c>
      <c r="D29" s="238" t="s">
        <v>673</v>
      </c>
      <c r="E29" s="76">
        <f ca="1">SUMIF(payNonMonth,"="&amp;$W29,$E$371:OFFSET($E$371,ROWS(payNonMonth)-1,0))</f>
        <v>20.5</v>
      </c>
      <c r="F29" s="76"/>
      <c r="G29" s="77">
        <f t="shared" ref="G29:G31" ca="1" si="27">IF(AND($E29=0,$F29=0),0,1)</f>
        <v>1</v>
      </c>
      <c r="H29" s="76">
        <f t="shared" ca="1" si="10"/>
        <v>5473.5</v>
      </c>
      <c r="I29" s="76">
        <f t="shared" ca="1" si="11"/>
        <v>273.67500000000001</v>
      </c>
      <c r="J29" s="233">
        <f t="shared" ca="1" si="12"/>
        <v>6586.45</v>
      </c>
      <c r="K29" s="76">
        <f t="shared" ca="1" si="21"/>
        <v>62.57</v>
      </c>
      <c r="L29" s="76">
        <f t="shared" ca="1" si="13"/>
        <v>51.82</v>
      </c>
      <c r="M29" s="76">
        <f t="shared" ca="1" si="24"/>
        <v>571.42999999999995</v>
      </c>
      <c r="N29" s="76">
        <f t="shared" ca="1" si="14"/>
        <v>0</v>
      </c>
      <c r="O29" s="76"/>
      <c r="P29" s="76">
        <f t="shared" ca="1" si="15"/>
        <v>5900.63</v>
      </c>
      <c r="Q29" s="76">
        <f t="shared" ref="Q29" ca="1" si="28">GETTAX(P29,Z29)</f>
        <v>1335</v>
      </c>
      <c r="R29" s="76">
        <f t="shared" ref="R29:R31" ca="1" si="29">P29-Q29</f>
        <v>4565.63</v>
      </c>
      <c r="S29" s="232">
        <f t="shared" ca="1" si="16"/>
        <v>57</v>
      </c>
      <c r="U29" s="120" t="str">
        <f t="shared" si="17"/>
        <v>*:1</v>
      </c>
      <c r="V29" s="120" t="str">
        <f t="shared" ref="V29:W31" si="30">$C29 &amp;":"&amp; $B29</f>
        <v>ASW:43646</v>
      </c>
      <c r="W29" s="120" t="str">
        <f t="shared" si="18"/>
        <v>ASW:1</v>
      </c>
      <c r="X29" s="250" t="str">
        <f t="array" ref="X29:AI29">VLOOKUP($D29&amp;":"&amp;$C29,tblPayRates,{3,4,5,6,7,8,9,10,11,12,13,14},0)</f>
        <v>ASW</v>
      </c>
      <c r="Y29" s="16" t="str">
        <v>Paxus</v>
      </c>
      <c r="Z29" s="261" t="str">
        <v>M</v>
      </c>
      <c r="AA29" s="77" t="str">
        <v>Daily</v>
      </c>
      <c r="AB29" s="77">
        <v>267</v>
      </c>
      <c r="AC29" s="77">
        <v>267</v>
      </c>
      <c r="AD29" s="77">
        <v>321.29000000000002</v>
      </c>
      <c r="AE29" s="77">
        <v>0</v>
      </c>
      <c r="AF29" s="261" t="str">
        <v>Q</v>
      </c>
      <c r="AG29" s="261">
        <v>1</v>
      </c>
      <c r="AH29" s="261">
        <v>1</v>
      </c>
      <c r="AI29" s="262">
        <v>0</v>
      </c>
    </row>
    <row r="30" spans="1:35" hidden="1" outlineLevel="1" x14ac:dyDescent="0.25">
      <c r="A30" s="120">
        <f t="shared" si="26"/>
        <v>1</v>
      </c>
      <c r="B30" s="231">
        <v>43653</v>
      </c>
      <c r="C30" s="77" t="s">
        <v>669</v>
      </c>
      <c r="D30" s="238" t="s">
        <v>668</v>
      </c>
      <c r="E30" s="76">
        <v>8</v>
      </c>
      <c r="F30" s="76"/>
      <c r="G30" s="77">
        <f t="shared" si="27"/>
        <v>1</v>
      </c>
      <c r="H30" s="76">
        <f t="shared" si="10"/>
        <v>3600</v>
      </c>
      <c r="I30" s="76">
        <f t="shared" ca="1" si="11"/>
        <v>180</v>
      </c>
      <c r="J30" s="233">
        <f t="shared" si="12"/>
        <v>3420</v>
      </c>
      <c r="K30" s="76">
        <f t="shared" si="21"/>
        <v>32.49</v>
      </c>
      <c r="L30" s="76">
        <f t="shared" si="13"/>
        <v>0</v>
      </c>
      <c r="M30" s="76">
        <f t="shared" si="24"/>
        <v>296.70999999999998</v>
      </c>
      <c r="N30" s="76">
        <f t="shared" si="14"/>
        <v>0</v>
      </c>
      <c r="O30" s="76"/>
      <c r="P30" s="76">
        <f t="shared" si="15"/>
        <v>3090.8</v>
      </c>
      <c r="Q30" s="76">
        <f>GETTAX(P30,Z30)</f>
        <v>742</v>
      </c>
      <c r="R30" s="76">
        <f t="shared" si="29"/>
        <v>2348.8000000000002</v>
      </c>
      <c r="S30" s="232">
        <f t="shared" si="16"/>
        <v>0</v>
      </c>
      <c r="U30" s="120" t="str">
        <f t="shared" si="17"/>
        <v>*:1</v>
      </c>
      <c r="V30" s="120" t="str">
        <f t="shared" si="30"/>
        <v>DP:43653</v>
      </c>
      <c r="W30" s="120" t="str">
        <f>C30 &amp;":"&amp; $B30</f>
        <v>DP:43653</v>
      </c>
      <c r="X30" s="250" t="str">
        <f t="array" ref="X30:AI30">VLOOKUP($D30&amp;":"&amp;$C30,tblPayRates,{3,4,5,6,7,8,9,10,11,12,13,14},0)</f>
        <v>DP</v>
      </c>
      <c r="Y30" s="16" t="str">
        <v>MTR</v>
      </c>
      <c r="Z30" s="261" t="str">
        <v>F</v>
      </c>
      <c r="AA30" s="77" t="str">
        <v>Daily</v>
      </c>
      <c r="AB30" s="77">
        <v>450</v>
      </c>
      <c r="AC30" s="77">
        <v>450</v>
      </c>
      <c r="AD30" s="77">
        <v>427.5</v>
      </c>
      <c r="AE30" s="77">
        <v>0</v>
      </c>
      <c r="AF30" s="261" t="str">
        <v>Q</v>
      </c>
      <c r="AG30" s="261">
        <v>1</v>
      </c>
      <c r="AH30" s="261">
        <v>1</v>
      </c>
      <c r="AI30" s="262">
        <v>0</v>
      </c>
    </row>
    <row r="31" spans="1:35" hidden="1" outlineLevel="1" x14ac:dyDescent="0.25">
      <c r="A31" s="120">
        <f t="shared" si="26"/>
        <v>1</v>
      </c>
      <c r="B31" s="231">
        <v>43653</v>
      </c>
      <c r="C31" s="77" t="s">
        <v>678</v>
      </c>
      <c r="D31" s="238" t="s">
        <v>668</v>
      </c>
      <c r="E31" s="76">
        <f ca="1">SUMIF(payNonMonth,"="&amp;$W31,$E$371:OFFSET($E$371,ROWS(payNonMonth)-1,0))</f>
        <v>8</v>
      </c>
      <c r="F31" s="76"/>
      <c r="G31" s="77">
        <f t="shared" ca="1" si="27"/>
        <v>1</v>
      </c>
      <c r="H31" s="76">
        <f t="shared" ca="1" si="10"/>
        <v>3600</v>
      </c>
      <c r="I31" s="76">
        <f t="shared" ca="1" si="11"/>
        <v>180</v>
      </c>
      <c r="J31" s="233">
        <f t="shared" ca="1" si="12"/>
        <v>3420</v>
      </c>
      <c r="K31" s="76">
        <f t="shared" ca="1" si="21"/>
        <v>32.49</v>
      </c>
      <c r="L31" s="76">
        <f t="shared" ca="1" si="13"/>
        <v>0</v>
      </c>
      <c r="M31" s="76">
        <f t="shared" ca="1" si="24"/>
        <v>296.70999999999998</v>
      </c>
      <c r="N31" s="76">
        <f t="shared" ca="1" si="14"/>
        <v>0</v>
      </c>
      <c r="O31" s="76"/>
      <c r="P31" s="76">
        <f t="shared" ca="1" si="15"/>
        <v>3090.8</v>
      </c>
      <c r="Q31" s="76">
        <f t="shared" ref="Q31" ca="1" si="31">GETTAX(P31,Z31)</f>
        <v>742</v>
      </c>
      <c r="R31" s="76">
        <f t="shared" ca="1" si="29"/>
        <v>2348.8000000000002</v>
      </c>
      <c r="S31" s="232">
        <f t="shared" ca="1" si="16"/>
        <v>0</v>
      </c>
      <c r="U31" s="120" t="str">
        <f t="shared" si="17"/>
        <v>*:1</v>
      </c>
      <c r="V31" s="120" t="str">
        <f t="shared" si="30"/>
        <v>ANK:43653</v>
      </c>
      <c r="W31" s="120" t="str">
        <f t="shared" si="30"/>
        <v>ANK:43653</v>
      </c>
      <c r="X31" s="250" t="str">
        <f t="array" ref="X31:AI31">VLOOKUP($D31&amp;":"&amp;$C31,tblPayRates,{3,4,5,6,7,8,9,10,11,12,13,14},0)</f>
        <v>ANK</v>
      </c>
      <c r="Y31" s="16" t="str">
        <v>MTR</v>
      </c>
      <c r="Z31" s="261" t="str">
        <v>F</v>
      </c>
      <c r="AA31" s="77" t="str">
        <v>Daily</v>
      </c>
      <c r="AB31" s="77">
        <v>450</v>
      </c>
      <c r="AC31" s="77">
        <v>450</v>
      </c>
      <c r="AD31" s="77">
        <v>427.5</v>
      </c>
      <c r="AE31" s="77">
        <v>0</v>
      </c>
      <c r="AF31" s="261" t="str">
        <v>Q</v>
      </c>
      <c r="AG31" s="261">
        <v>1</v>
      </c>
      <c r="AH31" s="261">
        <v>1</v>
      </c>
      <c r="AI31" s="262">
        <v>0</v>
      </c>
    </row>
    <row r="32" spans="1:35" hidden="1" outlineLevel="1" x14ac:dyDescent="0.25">
      <c r="A32" s="120">
        <f>GETPAYMONTH(B32)</f>
        <v>1</v>
      </c>
      <c r="B32" s="231">
        <v>43667</v>
      </c>
      <c r="C32" s="77" t="s">
        <v>669</v>
      </c>
      <c r="D32" s="238" t="s">
        <v>668</v>
      </c>
      <c r="E32" s="76">
        <f ca="1">SUMIF(payNonMonth,"="&amp;$W32,$E$371:OFFSET($E$371,ROWS(payNonMonth)-1,0))</f>
        <v>13</v>
      </c>
      <c r="F32" s="76"/>
      <c r="G32" s="77">
        <f ca="1">IF(AND($E32=0,$F32=0),0,1)</f>
        <v>1</v>
      </c>
      <c r="H32" s="76">
        <f t="shared" ca="1" si="10"/>
        <v>5850</v>
      </c>
      <c r="I32" s="76">
        <f t="shared" ca="1" si="11"/>
        <v>292.5</v>
      </c>
      <c r="J32" s="233">
        <f t="shared" ca="1" si="12"/>
        <v>5557.5</v>
      </c>
      <c r="K32" s="76">
        <f t="shared" ca="1" si="21"/>
        <v>52.8</v>
      </c>
      <c r="L32" s="76">
        <f t="shared" ca="1" si="13"/>
        <v>0</v>
      </c>
      <c r="M32" s="76">
        <f t="shared" ca="1" si="24"/>
        <v>482.16</v>
      </c>
      <c r="N32" s="76">
        <f t="shared" ca="1" si="14"/>
        <v>0</v>
      </c>
      <c r="O32" s="76"/>
      <c r="P32" s="76">
        <f t="shared" ca="1" si="15"/>
        <v>5022.54</v>
      </c>
      <c r="Q32" s="76">
        <f ca="1">GETTAX(P32,Z32)</f>
        <v>1480</v>
      </c>
      <c r="R32" s="76">
        <f ca="1">P32-Q32</f>
        <v>3542.54</v>
      </c>
      <c r="S32" s="232">
        <f t="shared" ca="1" si="16"/>
        <v>0</v>
      </c>
      <c r="U32" s="120" t="str">
        <f t="shared" si="17"/>
        <v>*:1</v>
      </c>
      <c r="V32" s="120" t="str">
        <f>$C32 &amp;":"&amp; $B32</f>
        <v>DP:43667</v>
      </c>
      <c r="W32" s="120" t="str">
        <f>C32 &amp;":"&amp; $B32</f>
        <v>DP:43667</v>
      </c>
      <c r="X32" s="250" t="str">
        <f t="array" ref="X32:AI32">VLOOKUP($D32&amp;":"&amp;$C32,tblPayRates,{3,4,5,6,7,8,9,10,11,12,13,14},0)</f>
        <v>DP</v>
      </c>
      <c r="Y32" s="16" t="str">
        <v>MTR</v>
      </c>
      <c r="Z32" s="261" t="str">
        <v>F</v>
      </c>
      <c r="AA32" s="77" t="str">
        <v>Daily</v>
      </c>
      <c r="AB32" s="77">
        <v>450</v>
      </c>
      <c r="AC32" s="77">
        <v>450</v>
      </c>
      <c r="AD32" s="77">
        <v>427.5</v>
      </c>
      <c r="AE32" s="77">
        <v>0</v>
      </c>
      <c r="AF32" s="261" t="str">
        <v>Q</v>
      </c>
      <c r="AG32" s="261">
        <v>1</v>
      </c>
      <c r="AH32" s="261">
        <v>1</v>
      </c>
      <c r="AI32" s="262">
        <v>0</v>
      </c>
    </row>
    <row r="33" spans="1:35" hidden="1" outlineLevel="1" x14ac:dyDescent="0.25">
      <c r="A33" s="120">
        <f t="shared" ref="A33:A39" si="32">GETPAYMONTH(B33)</f>
        <v>1</v>
      </c>
      <c r="B33" s="231">
        <v>43667</v>
      </c>
      <c r="C33" s="77" t="s">
        <v>678</v>
      </c>
      <c r="D33" s="238" t="s">
        <v>668</v>
      </c>
      <c r="E33" s="76">
        <f ca="1">SUMIF(payNonMonth,"="&amp;$W33,$E$371:OFFSET($E$371,ROWS(payNonMonth)-1,0))</f>
        <v>13</v>
      </c>
      <c r="F33" s="76"/>
      <c r="G33" s="77">
        <f t="shared" ref="G33:G39" ca="1" si="33">IF(AND($E33=0,$F33=0),0,1)</f>
        <v>1</v>
      </c>
      <c r="H33" s="76">
        <f t="shared" ca="1" si="10"/>
        <v>5850</v>
      </c>
      <c r="I33" s="76">
        <f t="shared" ca="1" si="11"/>
        <v>292.5</v>
      </c>
      <c r="J33" s="233">
        <f t="shared" ca="1" si="12"/>
        <v>5557.5</v>
      </c>
      <c r="K33" s="76">
        <f t="shared" ca="1" si="21"/>
        <v>52.8</v>
      </c>
      <c r="L33" s="76">
        <f t="shared" ca="1" si="13"/>
        <v>0</v>
      </c>
      <c r="M33" s="76">
        <f t="shared" ca="1" si="24"/>
        <v>482.16</v>
      </c>
      <c r="N33" s="76">
        <f t="shared" ca="1" si="14"/>
        <v>0</v>
      </c>
      <c r="O33" s="76"/>
      <c r="P33" s="76">
        <f t="shared" ca="1" si="15"/>
        <v>5022.54</v>
      </c>
      <c r="Q33" s="76">
        <f t="shared" ref="Q33:Q39" ca="1" si="34">GETTAX(P33,Z33)</f>
        <v>1480</v>
      </c>
      <c r="R33" s="76">
        <f t="shared" ref="R33:R39" ca="1" si="35">P33-Q33</f>
        <v>3542.54</v>
      </c>
      <c r="S33" s="232">
        <f t="shared" ca="1" si="16"/>
        <v>0</v>
      </c>
      <c r="U33" s="120" t="str">
        <f t="shared" si="17"/>
        <v>*:1</v>
      </c>
      <c r="V33" s="120" t="str">
        <f t="shared" ref="V33:W39" si="36">$C33 &amp;":"&amp; $B33</f>
        <v>ANK:43667</v>
      </c>
      <c r="W33" s="120" t="str">
        <f t="shared" si="36"/>
        <v>ANK:43667</v>
      </c>
      <c r="X33" s="250" t="str">
        <f t="array" ref="X33:AI33">VLOOKUP($D33&amp;":"&amp;$C33,tblPayRates,{3,4,5,6,7,8,9,10,11,12,13,14},0)</f>
        <v>ANK</v>
      </c>
      <c r="Y33" s="16" t="str">
        <v>MTR</v>
      </c>
      <c r="Z33" s="261" t="str">
        <v>F</v>
      </c>
      <c r="AA33" s="77" t="str">
        <v>Daily</v>
      </c>
      <c r="AB33" s="77">
        <v>450</v>
      </c>
      <c r="AC33" s="77">
        <v>450</v>
      </c>
      <c r="AD33" s="77">
        <v>427.5</v>
      </c>
      <c r="AE33" s="77">
        <v>0</v>
      </c>
      <c r="AF33" s="261" t="str">
        <v>Q</v>
      </c>
      <c r="AG33" s="261">
        <v>1</v>
      </c>
      <c r="AH33" s="261">
        <v>1</v>
      </c>
      <c r="AI33" s="262">
        <v>0</v>
      </c>
    </row>
    <row r="34" spans="1:35" hidden="1" outlineLevel="1" x14ac:dyDescent="0.25">
      <c r="A34" s="120">
        <f t="shared" si="32"/>
        <v>2</v>
      </c>
      <c r="B34" s="231">
        <v>43677</v>
      </c>
      <c r="C34" s="77" t="s">
        <v>55</v>
      </c>
      <c r="D34" s="238" t="s">
        <v>659</v>
      </c>
      <c r="E34" s="76">
        <f ca="1">SUMIF(payNonMonth,"="&amp;$W34,$E$371:OFFSET($E$371,ROWS(payNonMonth)-1,0))</f>
        <v>15.5</v>
      </c>
      <c r="F34" s="76"/>
      <c r="G34" s="77">
        <f t="shared" ca="1" si="33"/>
        <v>1</v>
      </c>
      <c r="H34" s="76">
        <f t="shared" ca="1" si="10"/>
        <v>14725</v>
      </c>
      <c r="I34" s="76">
        <f t="shared" ca="1" si="11"/>
        <v>736.25</v>
      </c>
      <c r="J34" s="233">
        <f t="shared" ca="1" si="12"/>
        <v>13950</v>
      </c>
      <c r="K34" s="76">
        <f t="shared" ca="1" si="21"/>
        <v>132.53</v>
      </c>
      <c r="L34" s="76">
        <f t="shared" ca="1" si="13"/>
        <v>1000</v>
      </c>
      <c r="M34" s="76">
        <f t="shared" ca="1" si="24"/>
        <v>1210.27</v>
      </c>
      <c r="N34" s="76">
        <f t="shared" ca="1" si="14"/>
        <v>0</v>
      </c>
      <c r="O34" s="76"/>
      <c r="P34" s="76">
        <f t="shared" ca="1" si="15"/>
        <v>11607.2</v>
      </c>
      <c r="Q34" s="76">
        <f t="shared" ca="1" si="34"/>
        <v>3488</v>
      </c>
      <c r="R34" s="76">
        <f t="shared" ca="1" si="35"/>
        <v>8119.2000000000007</v>
      </c>
      <c r="S34" s="232">
        <f t="shared" ca="1" si="16"/>
        <v>1100</v>
      </c>
      <c r="U34" s="120" t="str">
        <f t="shared" si="17"/>
        <v>*:2</v>
      </c>
      <c r="V34" s="120" t="str">
        <f t="shared" si="36"/>
        <v>MAM:43677</v>
      </c>
      <c r="W34" s="120" t="str">
        <f t="shared" ref="W34" si="37">C34 &amp;":"&amp; A34</f>
        <v>MAM:2</v>
      </c>
      <c r="X34" s="250" t="str">
        <f t="array" ref="X34:AI34">VLOOKUP($D34&amp;":"&amp;$C34,tblPayRates,{3,4,5,6,7,8,9,10,11,12,13,14},0)</f>
        <v>MAM</v>
      </c>
      <c r="Y34" s="16" t="str">
        <v>Magma</v>
      </c>
      <c r="Z34" s="261" t="str">
        <v>M</v>
      </c>
      <c r="AA34" s="77" t="str">
        <v>Daily</v>
      </c>
      <c r="AB34" s="77">
        <v>950</v>
      </c>
      <c r="AC34" s="77">
        <v>950</v>
      </c>
      <c r="AD34" s="77">
        <v>900</v>
      </c>
      <c r="AE34" s="77">
        <v>0</v>
      </c>
      <c r="AF34" s="261" t="str">
        <v>N</v>
      </c>
      <c r="AG34" s="261">
        <v>1</v>
      </c>
      <c r="AH34" s="261">
        <v>1</v>
      </c>
      <c r="AI34" s="262">
        <v>0</v>
      </c>
    </row>
    <row r="35" spans="1:35" hidden="1" outlineLevel="1" x14ac:dyDescent="0.25">
      <c r="A35" s="120">
        <f t="shared" si="32"/>
        <v>2</v>
      </c>
      <c r="B35" s="231">
        <v>43677</v>
      </c>
      <c r="C35" s="77" t="s">
        <v>57</v>
      </c>
      <c r="D35" s="238" t="s">
        <v>668</v>
      </c>
      <c r="E35" s="76">
        <f ca="1">SUMIF(payNonMonth,"="&amp;$W35,$E$371:OFFSET($E$371,ROWS(payNonMonth)-1,0))</f>
        <v>30</v>
      </c>
      <c r="F35" s="76"/>
      <c r="G35" s="77">
        <f t="shared" ca="1" si="33"/>
        <v>1</v>
      </c>
      <c r="H35" s="76">
        <f t="shared" ca="1" si="10"/>
        <v>15000</v>
      </c>
      <c r="I35" s="76">
        <f t="shared" ca="1" si="11"/>
        <v>750</v>
      </c>
      <c r="J35" s="233">
        <f t="shared" ca="1" si="12"/>
        <v>14700</v>
      </c>
      <c r="K35" s="76">
        <f t="shared" ca="1" si="21"/>
        <v>139.65</v>
      </c>
      <c r="L35" s="76">
        <f t="shared" ca="1" si="13"/>
        <v>913.64</v>
      </c>
      <c r="M35" s="76">
        <f t="shared" ca="1" si="24"/>
        <v>1275.3399999999999</v>
      </c>
      <c r="N35" s="76">
        <f t="shared" ca="1" si="14"/>
        <v>0</v>
      </c>
      <c r="O35" s="76"/>
      <c r="P35" s="76">
        <f t="shared" ca="1" si="15"/>
        <v>12371.369999999999</v>
      </c>
      <c r="Q35" s="76">
        <f t="shared" ca="1" si="34"/>
        <v>3787</v>
      </c>
      <c r="R35" s="76">
        <f t="shared" ca="1" si="35"/>
        <v>8584.369999999999</v>
      </c>
      <c r="S35" s="232">
        <f t="shared" ca="1" si="16"/>
        <v>1005</v>
      </c>
      <c r="U35" s="120" t="str">
        <f t="shared" si="17"/>
        <v>*:2</v>
      </c>
      <c r="V35" s="120" t="str">
        <f t="shared" si="36"/>
        <v>CRP:43677</v>
      </c>
      <c r="W35" s="120" t="str">
        <f>C35 &amp;":"&amp; A35</f>
        <v>CRP:2</v>
      </c>
      <c r="X35" s="250" t="str">
        <f t="array" ref="X35:AI35">VLOOKUP($D35&amp;":"&amp;$C35,tblPayRates,{3,4,5,6,7,8,9,10,11,12,13,14},0)</f>
        <v>CRP</v>
      </c>
      <c r="Y35" s="16" t="str">
        <v>MTR</v>
      </c>
      <c r="Z35" s="261" t="str">
        <v>M</v>
      </c>
      <c r="AA35" s="77" t="str">
        <v>Daily</v>
      </c>
      <c r="AB35" s="77">
        <v>500</v>
      </c>
      <c r="AC35" s="77">
        <v>500</v>
      </c>
      <c r="AD35" s="77">
        <v>490</v>
      </c>
      <c r="AE35" s="77">
        <v>0</v>
      </c>
      <c r="AF35" s="261" t="str">
        <v>Q</v>
      </c>
      <c r="AG35" s="261">
        <v>1</v>
      </c>
      <c r="AH35" s="261">
        <v>1</v>
      </c>
      <c r="AI35" s="262">
        <v>0</v>
      </c>
    </row>
    <row r="36" spans="1:35" hidden="1" outlineLevel="1" x14ac:dyDescent="0.25">
      <c r="A36" s="120">
        <f t="shared" si="32"/>
        <v>2</v>
      </c>
      <c r="B36" s="231">
        <v>43677</v>
      </c>
      <c r="C36" s="77" t="s">
        <v>58</v>
      </c>
      <c r="D36" s="238" t="s">
        <v>668</v>
      </c>
      <c r="E36" s="76">
        <f ca="1">SUMIF(payNonMonth,"="&amp;$W36,$E$371:OFFSET($E$371,ROWS(payNonMonth)-1,0))</f>
        <v>30</v>
      </c>
      <c r="F36" s="76"/>
      <c r="G36" s="77">
        <f t="shared" ca="1" si="33"/>
        <v>1</v>
      </c>
      <c r="H36" s="76">
        <f t="shared" ca="1" si="10"/>
        <v>15000</v>
      </c>
      <c r="I36" s="76">
        <f t="shared" ca="1" si="11"/>
        <v>750</v>
      </c>
      <c r="J36" s="233">
        <f t="shared" ca="1" si="12"/>
        <v>14700</v>
      </c>
      <c r="K36" s="76">
        <f t="shared" ca="1" si="21"/>
        <v>139.65</v>
      </c>
      <c r="L36" s="76">
        <f t="shared" ca="1" si="13"/>
        <v>934.55</v>
      </c>
      <c r="M36" s="76">
        <f t="shared" ca="1" si="24"/>
        <v>1275.3399999999999</v>
      </c>
      <c r="N36" s="76">
        <f t="shared" ca="1" si="14"/>
        <v>0</v>
      </c>
      <c r="O36" s="76"/>
      <c r="P36" s="76">
        <f t="shared" ca="1" si="15"/>
        <v>12350.46</v>
      </c>
      <c r="Q36" s="76">
        <f t="shared" ca="1" si="34"/>
        <v>3779</v>
      </c>
      <c r="R36" s="76">
        <f t="shared" ca="1" si="35"/>
        <v>8571.4599999999991</v>
      </c>
      <c r="S36" s="232">
        <f t="shared" ca="1" si="16"/>
        <v>1028</v>
      </c>
      <c r="U36" s="120" t="str">
        <f t="shared" si="17"/>
        <v>*:2</v>
      </c>
      <c r="V36" s="120" t="str">
        <f t="shared" si="36"/>
        <v>SM:43677</v>
      </c>
      <c r="W36" s="120" t="str">
        <f>C36 &amp;":"&amp; A36</f>
        <v>SM:2</v>
      </c>
      <c r="X36" s="250" t="str">
        <f t="array" ref="X36:AI36">VLOOKUP($D36&amp;":"&amp;$C36,tblPayRates,{3,4,5,6,7,8,9,10,11,12,13,14},0)</f>
        <v>SM</v>
      </c>
      <c r="Y36" s="16" t="str">
        <v>MTR</v>
      </c>
      <c r="Z36" s="261" t="str">
        <v>M</v>
      </c>
      <c r="AA36" s="77" t="str">
        <v>Daily</v>
      </c>
      <c r="AB36" s="77">
        <v>500</v>
      </c>
      <c r="AC36" s="77">
        <v>500</v>
      </c>
      <c r="AD36" s="77">
        <v>490</v>
      </c>
      <c r="AE36" s="77">
        <v>0</v>
      </c>
      <c r="AF36" s="261" t="str">
        <v>Q</v>
      </c>
      <c r="AG36" s="261">
        <v>1</v>
      </c>
      <c r="AH36" s="261">
        <v>1</v>
      </c>
      <c r="AI36" s="262">
        <v>0</v>
      </c>
    </row>
    <row r="37" spans="1:35" hidden="1" outlineLevel="1" x14ac:dyDescent="0.25">
      <c r="A37" s="120">
        <f t="shared" si="32"/>
        <v>2</v>
      </c>
      <c r="B37" s="231">
        <v>43677</v>
      </c>
      <c r="C37" s="77" t="s">
        <v>622</v>
      </c>
      <c r="D37" s="238" t="s">
        <v>499</v>
      </c>
      <c r="E37" s="76">
        <f ca="1">SUMIF(payNonMonth,"="&amp;$W37,$E$371:OFFSET($E$371,ROWS(payNonMonth)-1,0))</f>
        <v>19.5</v>
      </c>
      <c r="F37" s="76"/>
      <c r="G37" s="77">
        <f t="shared" ca="1" si="33"/>
        <v>1</v>
      </c>
      <c r="H37" s="76">
        <f t="shared" ca="1" si="10"/>
        <v>13650</v>
      </c>
      <c r="I37" s="76">
        <f t="shared" ca="1" si="11"/>
        <v>477.75000000000006</v>
      </c>
      <c r="J37" s="233">
        <f t="shared" ca="1" si="12"/>
        <v>12967.5</v>
      </c>
      <c r="K37" s="76">
        <f t="shared" ca="1" si="21"/>
        <v>123.19</v>
      </c>
      <c r="L37" s="76">
        <f t="shared" ca="1" si="13"/>
        <v>162.63999999999999</v>
      </c>
      <c r="M37" s="76">
        <f t="shared" ca="1" si="24"/>
        <v>1125.03</v>
      </c>
      <c r="N37" s="76">
        <f t="shared" ca="1" si="14"/>
        <v>0</v>
      </c>
      <c r="O37" s="76"/>
      <c r="P37" s="76">
        <f t="shared" ca="1" si="15"/>
        <v>11556.64</v>
      </c>
      <c r="Q37" s="76">
        <f t="shared" ca="1" si="34"/>
        <v>3467</v>
      </c>
      <c r="R37" s="76">
        <f t="shared" ca="1" si="35"/>
        <v>8089.6399999999994</v>
      </c>
      <c r="S37" s="232">
        <f t="shared" ca="1" si="16"/>
        <v>178.9</v>
      </c>
      <c r="U37" s="120" t="str">
        <f t="shared" si="17"/>
        <v>*:2</v>
      </c>
      <c r="V37" s="120" t="str">
        <f t="shared" si="36"/>
        <v>GEO:43677</v>
      </c>
      <c r="W37" s="120" t="str">
        <f>C37 &amp;":"&amp; A37</f>
        <v>GEO:2</v>
      </c>
      <c r="X37" s="250" t="str">
        <f t="array" ref="X37:AI37">VLOOKUP($D37&amp;":"&amp;$C37,tblPayRates,{3,4,5,6,7,8,9,10,11,12,13,14},0)</f>
        <v>GEO</v>
      </c>
      <c r="Y37" s="16" t="str">
        <v>Magma</v>
      </c>
      <c r="Z37" s="261" t="str">
        <v>M</v>
      </c>
      <c r="AA37" s="77" t="str">
        <v>Daily</v>
      </c>
      <c r="AB37" s="77">
        <v>700</v>
      </c>
      <c r="AC37" s="77">
        <v>700</v>
      </c>
      <c r="AD37" s="77">
        <v>665</v>
      </c>
      <c r="AE37" s="77">
        <v>0</v>
      </c>
      <c r="AF37" s="261" t="str">
        <v>N</v>
      </c>
      <c r="AG37" s="261">
        <v>2</v>
      </c>
      <c r="AH37" s="261">
        <v>1</v>
      </c>
      <c r="AI37" s="262">
        <v>0</v>
      </c>
    </row>
    <row r="38" spans="1:35" hidden="1" outlineLevel="1" x14ac:dyDescent="0.25">
      <c r="A38" s="120">
        <f t="shared" si="32"/>
        <v>2</v>
      </c>
      <c r="B38" s="231">
        <v>43677</v>
      </c>
      <c r="C38" s="77" t="s">
        <v>657</v>
      </c>
      <c r="D38" s="238" t="s">
        <v>674</v>
      </c>
      <c r="E38" s="76">
        <f ca="1">SUMIF(payNonMonth,"="&amp;$W38,$E$371:OFFSET($E$371,ROWS(payNonMonth)-1,0))</f>
        <v>25</v>
      </c>
      <c r="F38" s="76"/>
      <c r="G38" s="77">
        <f t="shared" ca="1" si="33"/>
        <v>1</v>
      </c>
      <c r="H38" s="76">
        <f t="shared" ca="1" si="10"/>
        <v>15575</v>
      </c>
      <c r="I38" s="76">
        <f t="shared" ca="1" si="11"/>
        <v>778.75</v>
      </c>
      <c r="J38" s="233">
        <f t="shared" ca="1" si="12"/>
        <v>13105.25</v>
      </c>
      <c r="K38" s="76">
        <f t="shared" ca="1" si="21"/>
        <v>124.5</v>
      </c>
      <c r="L38" s="76">
        <f t="shared" ca="1" si="13"/>
        <v>114.64</v>
      </c>
      <c r="M38" s="76">
        <f t="shared" ca="1" si="24"/>
        <v>1136.99</v>
      </c>
      <c r="N38" s="76">
        <f t="shared" ca="1" si="14"/>
        <v>0</v>
      </c>
      <c r="O38" s="76"/>
      <c r="P38" s="76">
        <f t="shared" ca="1" si="15"/>
        <v>11729.119999999999</v>
      </c>
      <c r="Q38" s="76">
        <f t="shared" ca="1" si="34"/>
        <v>3536</v>
      </c>
      <c r="R38" s="76">
        <f t="shared" ca="1" si="35"/>
        <v>8193.119999999999</v>
      </c>
      <c r="S38" s="232">
        <f t="shared" ca="1" si="16"/>
        <v>126.1</v>
      </c>
      <c r="U38" s="120" t="str">
        <f t="shared" si="17"/>
        <v>*:2</v>
      </c>
      <c r="V38" s="120" t="str">
        <f t="shared" si="36"/>
        <v>VAK:43677</v>
      </c>
      <c r="W38" s="120" t="str">
        <f>C38 &amp;":"&amp; A38</f>
        <v>VAK:2</v>
      </c>
      <c r="X38" s="250" t="str">
        <f t="array" ref="X38:AI38">VLOOKUP($D38&amp;":"&amp;$C38,tblPayRates,{3,4,5,6,7,8,9,10,11,12,13,14},0)</f>
        <v>VAK</v>
      </c>
      <c r="Y38" s="16" t="str">
        <v>Paxus</v>
      </c>
      <c r="Z38" s="261" t="str">
        <v>M</v>
      </c>
      <c r="AA38" s="77" t="str">
        <v>Daily</v>
      </c>
      <c r="AB38" s="77">
        <v>623</v>
      </c>
      <c r="AC38" s="77">
        <v>623</v>
      </c>
      <c r="AD38" s="77">
        <v>524.21</v>
      </c>
      <c r="AE38" s="77">
        <v>0</v>
      </c>
      <c r="AF38" s="261" t="str">
        <v>Q</v>
      </c>
      <c r="AG38" s="261">
        <v>1</v>
      </c>
      <c r="AH38" s="261">
        <v>1</v>
      </c>
      <c r="AI38" s="262">
        <v>0</v>
      </c>
    </row>
    <row r="39" spans="1:35" hidden="1" outlineLevel="1" x14ac:dyDescent="0.25">
      <c r="A39" s="120">
        <f t="shared" si="32"/>
        <v>2</v>
      </c>
      <c r="B39" s="231">
        <v>43677</v>
      </c>
      <c r="C39" s="77" t="s">
        <v>658</v>
      </c>
      <c r="D39" s="238" t="s">
        <v>673</v>
      </c>
      <c r="E39" s="76">
        <f ca="1">SUMIF(payNonMonth,"="&amp;$W39,$E$371:OFFSET($E$371,ROWS(payNonMonth)-1,0))</f>
        <v>25</v>
      </c>
      <c r="F39" s="76"/>
      <c r="G39" s="77">
        <f t="shared" ca="1" si="33"/>
        <v>1</v>
      </c>
      <c r="H39" s="76">
        <f t="shared" ca="1" si="10"/>
        <v>6675</v>
      </c>
      <c r="I39" s="76">
        <f t="shared" ca="1" si="11"/>
        <v>333.75</v>
      </c>
      <c r="J39" s="233">
        <f t="shared" ca="1" si="12"/>
        <v>8032.25</v>
      </c>
      <c r="K39" s="76">
        <f t="shared" ca="1" si="21"/>
        <v>76.31</v>
      </c>
      <c r="L39" s="76">
        <f t="shared" ca="1" si="13"/>
        <v>56</v>
      </c>
      <c r="M39" s="76">
        <f t="shared" ca="1" si="24"/>
        <v>696.86</v>
      </c>
      <c r="N39" s="76">
        <f t="shared" ca="1" si="14"/>
        <v>0</v>
      </c>
      <c r="O39" s="76"/>
      <c r="P39" s="76">
        <f t="shared" ca="1" si="15"/>
        <v>7203.08</v>
      </c>
      <c r="Q39" s="76">
        <f t="shared" ca="1" si="34"/>
        <v>1785</v>
      </c>
      <c r="R39" s="76">
        <f t="shared" ca="1" si="35"/>
        <v>5418.08</v>
      </c>
      <c r="S39" s="232">
        <f t="shared" ca="1" si="16"/>
        <v>61.6</v>
      </c>
      <c r="U39" s="120" t="str">
        <f t="shared" si="17"/>
        <v>*:2</v>
      </c>
      <c r="V39" s="120" t="str">
        <f t="shared" si="36"/>
        <v>ASW:43677</v>
      </c>
      <c r="W39" s="120" t="str">
        <f>C39 &amp;":"&amp; A39</f>
        <v>ASW:2</v>
      </c>
      <c r="X39" s="250" t="str">
        <f t="array" ref="X39:AI39">VLOOKUP($D39&amp;":"&amp;$C39,tblPayRates,{3,4,5,6,7,8,9,10,11,12,13,14},0)</f>
        <v>ASW</v>
      </c>
      <c r="Y39" s="16" t="str">
        <v>Paxus</v>
      </c>
      <c r="Z39" s="261" t="str">
        <v>M</v>
      </c>
      <c r="AA39" s="77" t="str">
        <v>Daily</v>
      </c>
      <c r="AB39" s="77">
        <v>267</v>
      </c>
      <c r="AC39" s="77">
        <v>267</v>
      </c>
      <c r="AD39" s="77">
        <v>321.29000000000002</v>
      </c>
      <c r="AE39" s="77">
        <v>0</v>
      </c>
      <c r="AF39" s="261" t="str">
        <v>Q</v>
      </c>
      <c r="AG39" s="261">
        <v>1</v>
      </c>
      <c r="AH39" s="261">
        <v>1</v>
      </c>
      <c r="AI39" s="262">
        <v>0</v>
      </c>
    </row>
    <row r="40" spans="1:35" hidden="1" outlineLevel="1" x14ac:dyDescent="0.25">
      <c r="A40" s="120">
        <f>GETPAYMONTH(B40)</f>
        <v>2</v>
      </c>
      <c r="B40" s="231">
        <v>43681</v>
      </c>
      <c r="C40" s="77" t="s">
        <v>669</v>
      </c>
      <c r="D40" s="238" t="s">
        <v>668</v>
      </c>
      <c r="E40" s="76">
        <f ca="1">SUMIF(payNonMonth,"="&amp;$W40,$E$371:OFFSET($E$371,ROWS(payNonMonth)-1,0))</f>
        <v>12.5</v>
      </c>
      <c r="F40" s="76"/>
      <c r="G40" s="77">
        <f ca="1">IF(AND($E40=0,$F40=0),0,1)</f>
        <v>1</v>
      </c>
      <c r="H40" s="76">
        <f t="shared" ca="1" si="10"/>
        <v>5625</v>
      </c>
      <c r="I40" s="76">
        <f t="shared" ca="1" si="11"/>
        <v>281.25</v>
      </c>
      <c r="J40" s="233">
        <f t="shared" ca="1" si="12"/>
        <v>5343.75</v>
      </c>
      <c r="K40" s="76">
        <f t="shared" ca="1" si="21"/>
        <v>50.77</v>
      </c>
      <c r="L40" s="76">
        <f t="shared" ca="1" si="13"/>
        <v>608.17999999999995</v>
      </c>
      <c r="M40" s="76">
        <f t="shared" ca="1" si="24"/>
        <v>463.61</v>
      </c>
      <c r="N40" s="76">
        <f t="shared" ca="1" si="14"/>
        <v>0</v>
      </c>
      <c r="O40" s="76"/>
      <c r="P40" s="76">
        <f t="shared" ca="1" si="15"/>
        <v>4221.1900000000005</v>
      </c>
      <c r="Q40" s="76">
        <f ca="1">GETTAX(P40,Z40)</f>
        <v>1166</v>
      </c>
      <c r="R40" s="76">
        <f ca="1">P40-Q40</f>
        <v>3055.1900000000005</v>
      </c>
      <c r="S40" s="232">
        <f t="shared" ca="1" si="16"/>
        <v>669</v>
      </c>
      <c r="U40" s="120" t="str">
        <f t="shared" si="17"/>
        <v>*:2</v>
      </c>
      <c r="V40" s="120" t="str">
        <f>$C40 &amp;":"&amp; $B40</f>
        <v>DP:43681</v>
      </c>
      <c r="W40" s="120" t="str">
        <f>C40 &amp;":"&amp; $B40</f>
        <v>DP:43681</v>
      </c>
      <c r="X40" s="250" t="str">
        <f t="array" ref="X40:AI40">VLOOKUP($D40&amp;":"&amp;$C40,tblPayRates,{3,4,5,6,7,8,9,10,11,12,13,14},0)</f>
        <v>DP</v>
      </c>
      <c r="Y40" s="16" t="str">
        <v>MTR</v>
      </c>
      <c r="Z40" s="261" t="str">
        <v>F</v>
      </c>
      <c r="AA40" s="77" t="str">
        <v>Daily</v>
      </c>
      <c r="AB40" s="77">
        <v>450</v>
      </c>
      <c r="AC40" s="77">
        <v>450</v>
      </c>
      <c r="AD40" s="77">
        <v>427.5</v>
      </c>
      <c r="AE40" s="77">
        <v>0</v>
      </c>
      <c r="AF40" s="261" t="str">
        <v>Q</v>
      </c>
      <c r="AG40" s="261">
        <v>1</v>
      </c>
      <c r="AH40" s="261">
        <v>1</v>
      </c>
      <c r="AI40" s="262">
        <v>0</v>
      </c>
    </row>
    <row r="41" spans="1:35" hidden="1" outlineLevel="1" x14ac:dyDescent="0.25">
      <c r="A41" s="120">
        <f>GETPAYMONTH(B41)</f>
        <v>2</v>
      </c>
      <c r="B41" s="231">
        <v>43681</v>
      </c>
      <c r="C41" s="77" t="s">
        <v>678</v>
      </c>
      <c r="D41" s="238" t="s">
        <v>668</v>
      </c>
      <c r="E41" s="76">
        <f ca="1">SUMIF(payNonMonth,"="&amp;$W41,$E$371:OFFSET($E$371,ROWS(payNonMonth)-1,0))</f>
        <v>12.5</v>
      </c>
      <c r="F41" s="76"/>
      <c r="G41" s="77">
        <f ca="1">IF(AND($E41=0,$F41=0),0,1)</f>
        <v>1</v>
      </c>
      <c r="H41" s="76">
        <f t="shared" ca="1" si="10"/>
        <v>5625</v>
      </c>
      <c r="I41" s="76">
        <f t="shared" ca="1" si="11"/>
        <v>281.25</v>
      </c>
      <c r="J41" s="233">
        <f t="shared" ca="1" si="12"/>
        <v>5343.75</v>
      </c>
      <c r="K41" s="76">
        <f t="shared" ca="1" si="21"/>
        <v>50.77</v>
      </c>
      <c r="L41" s="76">
        <f t="shared" ca="1" si="13"/>
        <v>618.17999999999995</v>
      </c>
      <c r="M41" s="76">
        <f t="shared" ca="1" si="24"/>
        <v>463.61</v>
      </c>
      <c r="N41" s="76">
        <f t="shared" ca="1" si="14"/>
        <v>0</v>
      </c>
      <c r="O41" s="76"/>
      <c r="P41" s="76">
        <f t="shared" ca="1" si="15"/>
        <v>4211.1900000000005</v>
      </c>
      <c r="Q41" s="76">
        <f ca="1">GETTAX(P41,Z41)</f>
        <v>1162</v>
      </c>
      <c r="R41" s="76">
        <f ca="1">P41-Q41</f>
        <v>3049.1900000000005</v>
      </c>
      <c r="S41" s="232">
        <f t="shared" ca="1" si="16"/>
        <v>680</v>
      </c>
      <c r="U41" s="120" t="str">
        <f t="shared" si="17"/>
        <v>*:2</v>
      </c>
      <c r="V41" s="120" t="str">
        <f>$C41 &amp;":"&amp; $B41</f>
        <v>ANK:43681</v>
      </c>
      <c r="W41" s="120" t="str">
        <f>$C41 &amp;":"&amp; $B41</f>
        <v>ANK:43681</v>
      </c>
      <c r="X41" s="250" t="str">
        <f t="array" ref="X41:AI41">VLOOKUP($D41&amp;":"&amp;$C41,tblPayRates,{3,4,5,6,7,8,9,10,11,12,13,14},0)</f>
        <v>ANK</v>
      </c>
      <c r="Y41" s="16" t="str">
        <v>MTR</v>
      </c>
      <c r="Z41" s="261" t="str">
        <v>F</v>
      </c>
      <c r="AA41" s="77" t="str">
        <v>Daily</v>
      </c>
      <c r="AB41" s="77">
        <v>450</v>
      </c>
      <c r="AC41" s="77">
        <v>450</v>
      </c>
      <c r="AD41" s="77">
        <v>427.5</v>
      </c>
      <c r="AE41" s="77">
        <v>0</v>
      </c>
      <c r="AF41" s="261" t="str">
        <v>Q</v>
      </c>
      <c r="AG41" s="261">
        <v>1</v>
      </c>
      <c r="AH41" s="261">
        <v>1</v>
      </c>
      <c r="AI41" s="262">
        <v>0</v>
      </c>
    </row>
    <row r="42" spans="1:35" hidden="1" outlineLevel="1" x14ac:dyDescent="0.25">
      <c r="A42" s="120">
        <f>GETPAYMONTH(B42)</f>
        <v>2</v>
      </c>
      <c r="B42" s="231">
        <v>43695</v>
      </c>
      <c r="C42" s="77" t="s">
        <v>669</v>
      </c>
      <c r="D42" s="238" t="s">
        <v>668</v>
      </c>
      <c r="E42" s="76">
        <f ca="1">SUMIF(payNonMonth,"="&amp;$W42,$E$371:OFFSET($E$371,ROWS(payNonMonth)-1,0))</f>
        <v>11</v>
      </c>
      <c r="F42" s="76"/>
      <c r="G42" s="77">
        <f ca="1">IF(AND($E42=0,$F42=0),0,1)</f>
        <v>1</v>
      </c>
      <c r="H42" s="76">
        <f t="shared" ca="1" si="10"/>
        <v>4950</v>
      </c>
      <c r="I42" s="76">
        <f t="shared" ca="1" si="11"/>
        <v>247.5</v>
      </c>
      <c r="J42" s="233">
        <f t="shared" ca="1" si="12"/>
        <v>4702.5</v>
      </c>
      <c r="K42" s="76">
        <f t="shared" ca="1" si="21"/>
        <v>44.67</v>
      </c>
      <c r="L42" s="76">
        <f t="shared" ca="1" si="13"/>
        <v>0</v>
      </c>
      <c r="M42" s="76">
        <f t="shared" ca="1" si="24"/>
        <v>407.98</v>
      </c>
      <c r="N42" s="76">
        <f t="shared" ca="1" si="14"/>
        <v>0</v>
      </c>
      <c r="O42" s="76"/>
      <c r="P42" s="76">
        <f t="shared" ca="1" si="15"/>
        <v>4249.8500000000004</v>
      </c>
      <c r="Q42" s="76">
        <f ca="1">GETTAX(P42,Z42)</f>
        <v>1178</v>
      </c>
      <c r="R42" s="76">
        <f ca="1">P42-Q42</f>
        <v>3071.8500000000004</v>
      </c>
      <c r="S42" s="232">
        <f t="shared" ca="1" si="16"/>
        <v>0</v>
      </c>
      <c r="U42" s="120" t="str">
        <f t="shared" si="17"/>
        <v>*:2</v>
      </c>
      <c r="V42" s="120" t="str">
        <f>$C42 &amp;":"&amp; $B42</f>
        <v>DP:43695</v>
      </c>
      <c r="W42" s="120" t="str">
        <f>C42 &amp;":"&amp; $B42</f>
        <v>DP:43695</v>
      </c>
      <c r="X42" s="250" t="str">
        <f t="array" ref="X42:AI42">VLOOKUP($D42&amp;":"&amp;$C42,tblPayRates,{3,4,5,6,7,8,9,10,11,12,13,14},0)</f>
        <v>DP</v>
      </c>
      <c r="Y42" s="16" t="str">
        <v>MTR</v>
      </c>
      <c r="Z42" s="261" t="str">
        <v>F</v>
      </c>
      <c r="AA42" s="77" t="str">
        <v>Daily</v>
      </c>
      <c r="AB42" s="77">
        <v>450</v>
      </c>
      <c r="AC42" s="77">
        <v>450</v>
      </c>
      <c r="AD42" s="77">
        <v>427.5</v>
      </c>
      <c r="AE42" s="77">
        <v>0</v>
      </c>
      <c r="AF42" s="261" t="str">
        <v>Q</v>
      </c>
      <c r="AG42" s="261">
        <v>1</v>
      </c>
      <c r="AH42" s="261">
        <v>1</v>
      </c>
      <c r="AI42" s="262">
        <v>0</v>
      </c>
    </row>
    <row r="43" spans="1:35" hidden="1" outlineLevel="1" x14ac:dyDescent="0.25">
      <c r="A43" s="120">
        <f>GETPAYMONTH(B43)</f>
        <v>2</v>
      </c>
      <c r="B43" s="231">
        <v>43695</v>
      </c>
      <c r="C43" s="77" t="s">
        <v>678</v>
      </c>
      <c r="D43" s="238" t="s">
        <v>668</v>
      </c>
      <c r="E43" s="76">
        <f ca="1">SUMIF(payNonMonth,"="&amp;$W43,$E$371:OFFSET($E$371,ROWS(payNonMonth)-1,0))</f>
        <v>11</v>
      </c>
      <c r="F43" s="76"/>
      <c r="G43" s="77">
        <f ca="1">IF(AND($E43=0,$F43=0),0,1)</f>
        <v>1</v>
      </c>
      <c r="H43" s="76">
        <f t="shared" ca="1" si="10"/>
        <v>4950</v>
      </c>
      <c r="I43" s="76">
        <f t="shared" ca="1" si="11"/>
        <v>247.5</v>
      </c>
      <c r="J43" s="233">
        <f t="shared" ca="1" si="12"/>
        <v>4702.5</v>
      </c>
      <c r="K43" s="76">
        <f t="shared" ca="1" si="21"/>
        <v>44.67</v>
      </c>
      <c r="L43" s="76">
        <f t="shared" ca="1" si="13"/>
        <v>0</v>
      </c>
      <c r="M43" s="76">
        <f t="shared" ca="1" si="24"/>
        <v>407.98</v>
      </c>
      <c r="N43" s="76">
        <f t="shared" ca="1" si="14"/>
        <v>0</v>
      </c>
      <c r="O43" s="76"/>
      <c r="P43" s="76">
        <f t="shared" ca="1" si="15"/>
        <v>4249.8500000000004</v>
      </c>
      <c r="Q43" s="76">
        <f ca="1">GETTAX(P43,Z43)</f>
        <v>1178</v>
      </c>
      <c r="R43" s="76">
        <f ca="1">P43-Q43</f>
        <v>3071.8500000000004</v>
      </c>
      <c r="S43" s="232">
        <f t="shared" ca="1" si="16"/>
        <v>0</v>
      </c>
      <c r="U43" s="120" t="str">
        <f t="shared" si="17"/>
        <v>*:2</v>
      </c>
      <c r="V43" s="120" t="str">
        <f>$C43 &amp;":"&amp; $B43</f>
        <v>ANK:43695</v>
      </c>
      <c r="W43" s="120" t="str">
        <f>$C43 &amp;":"&amp; $B43</f>
        <v>ANK:43695</v>
      </c>
      <c r="X43" s="250" t="str">
        <f t="array" ref="X43:AI43">VLOOKUP($D43&amp;":"&amp;$C43,tblPayRates,{3,4,5,6,7,8,9,10,11,12,13,14},0)</f>
        <v>ANK</v>
      </c>
      <c r="Y43" s="16" t="str">
        <v>MTR</v>
      </c>
      <c r="Z43" s="261" t="str">
        <v>F</v>
      </c>
      <c r="AA43" s="77" t="str">
        <v>Daily</v>
      </c>
      <c r="AB43" s="77">
        <v>450</v>
      </c>
      <c r="AC43" s="77">
        <v>450</v>
      </c>
      <c r="AD43" s="77">
        <v>427.5</v>
      </c>
      <c r="AE43" s="77">
        <v>0</v>
      </c>
      <c r="AF43" s="261" t="str">
        <v>Q</v>
      </c>
      <c r="AG43" s="261">
        <v>1</v>
      </c>
      <c r="AH43" s="261">
        <v>1</v>
      </c>
      <c r="AI43" s="262">
        <v>0</v>
      </c>
    </row>
    <row r="44" spans="1:35" hidden="1" outlineLevel="1" x14ac:dyDescent="0.25">
      <c r="A44" s="120">
        <f t="shared" ref="A44:A53" si="38">GETPAYMONTH(B44)</f>
        <v>3</v>
      </c>
      <c r="B44" s="231">
        <v>43709</v>
      </c>
      <c r="C44" s="77" t="s">
        <v>669</v>
      </c>
      <c r="D44" s="238" t="s">
        <v>668</v>
      </c>
      <c r="E44" s="76">
        <f ca="1">SUMIF(payNonMonth,"="&amp;$W44,$E$371:OFFSET($E$371,ROWS(payNonMonth)-1,0))</f>
        <v>13.5</v>
      </c>
      <c r="F44" s="76"/>
      <c r="G44" s="77">
        <f t="shared" ref="G44:G53" ca="1" si="39">IF(AND($E44=0,$F44=0),0,1)</f>
        <v>1</v>
      </c>
      <c r="H44" s="76">
        <f t="shared" ca="1" si="10"/>
        <v>6075</v>
      </c>
      <c r="I44" s="76">
        <f t="shared" ca="1" si="11"/>
        <v>303.75</v>
      </c>
      <c r="J44" s="233">
        <f t="shared" ca="1" si="12"/>
        <v>5771.25</v>
      </c>
      <c r="K44" s="76">
        <f t="shared" ca="1" si="21"/>
        <v>54.83</v>
      </c>
      <c r="L44" s="76">
        <f t="shared" ca="1" si="13"/>
        <v>522.73</v>
      </c>
      <c r="M44" s="76">
        <f t="shared" ca="1" si="24"/>
        <v>500.7</v>
      </c>
      <c r="N44" s="76">
        <f t="shared" ca="1" si="14"/>
        <v>0</v>
      </c>
      <c r="O44" s="76"/>
      <c r="P44" s="76">
        <f t="shared" ca="1" si="15"/>
        <v>4692.99</v>
      </c>
      <c r="Q44" s="76">
        <f t="shared" ref="Q44:Q53" ca="1" si="40">GETTAX(P44,Z44)</f>
        <v>1350</v>
      </c>
      <c r="R44" s="76">
        <f t="shared" ref="R44:R53" ca="1" si="41">P44-Q44</f>
        <v>3342.99</v>
      </c>
      <c r="S44" s="232">
        <f t="shared" ca="1" si="16"/>
        <v>575</v>
      </c>
      <c r="U44" s="120" t="str">
        <f t="shared" si="17"/>
        <v>*:3</v>
      </c>
      <c r="V44" s="120" t="str">
        <f t="shared" ref="V44:W53" si="42">$C44 &amp;":"&amp; $B44</f>
        <v>DP:43709</v>
      </c>
      <c r="W44" s="120" t="str">
        <f>C44 &amp;":"&amp; $B44</f>
        <v>DP:43709</v>
      </c>
      <c r="X44" s="250" t="str">
        <f t="array" ref="X44:AI44">VLOOKUP($D44&amp;":"&amp;$C44,tblPayRates,{3,4,5,6,7,8,9,10,11,12,13,14},0)</f>
        <v>DP</v>
      </c>
      <c r="Y44" s="16" t="str">
        <v>MTR</v>
      </c>
      <c r="Z44" s="261" t="str">
        <v>F</v>
      </c>
      <c r="AA44" s="77" t="str">
        <v>Daily</v>
      </c>
      <c r="AB44" s="77">
        <v>450</v>
      </c>
      <c r="AC44" s="77">
        <v>450</v>
      </c>
      <c r="AD44" s="77">
        <v>427.5</v>
      </c>
      <c r="AE44" s="77">
        <v>0</v>
      </c>
      <c r="AF44" s="261" t="str">
        <v>Q</v>
      </c>
      <c r="AG44" s="261">
        <v>1</v>
      </c>
      <c r="AH44" s="261">
        <v>1</v>
      </c>
      <c r="AI44" s="262">
        <v>0</v>
      </c>
    </row>
    <row r="45" spans="1:35" hidden="1" outlineLevel="1" x14ac:dyDescent="0.25">
      <c r="A45" s="120">
        <f t="shared" si="38"/>
        <v>3</v>
      </c>
      <c r="B45" s="231">
        <v>43709</v>
      </c>
      <c r="C45" s="77" t="s">
        <v>678</v>
      </c>
      <c r="D45" s="238" t="s">
        <v>668</v>
      </c>
      <c r="E45" s="76">
        <f ca="1">SUMIF(payNonMonth,"="&amp;$W45,$E$371:OFFSET($E$371,ROWS(payNonMonth)-1,0))</f>
        <v>13.5</v>
      </c>
      <c r="F45" s="76"/>
      <c r="G45" s="77">
        <f t="shared" ca="1" si="39"/>
        <v>1</v>
      </c>
      <c r="H45" s="76">
        <f t="shared" ca="1" si="10"/>
        <v>6075</v>
      </c>
      <c r="I45" s="76">
        <f t="shared" ca="1" si="11"/>
        <v>303.75</v>
      </c>
      <c r="J45" s="233">
        <f t="shared" ca="1" si="12"/>
        <v>5771.25</v>
      </c>
      <c r="K45" s="76">
        <f t="shared" ca="1" si="21"/>
        <v>54.83</v>
      </c>
      <c r="L45" s="76">
        <f t="shared" ca="1" si="13"/>
        <v>500.91</v>
      </c>
      <c r="M45" s="76">
        <f t="shared" ca="1" si="24"/>
        <v>500.7</v>
      </c>
      <c r="N45" s="76">
        <f t="shared" ca="1" si="14"/>
        <v>0</v>
      </c>
      <c r="O45" s="76"/>
      <c r="P45" s="76">
        <f t="shared" ca="1" si="15"/>
        <v>4714.8099999999995</v>
      </c>
      <c r="Q45" s="76">
        <f t="shared" ca="1" si="40"/>
        <v>1360</v>
      </c>
      <c r="R45" s="76">
        <f t="shared" ca="1" si="41"/>
        <v>3354.8099999999995</v>
      </c>
      <c r="S45" s="232">
        <f t="shared" ca="1" si="16"/>
        <v>551</v>
      </c>
      <c r="U45" s="120" t="str">
        <f t="shared" si="17"/>
        <v>*:3</v>
      </c>
      <c r="V45" s="120" t="str">
        <f t="shared" si="42"/>
        <v>ANK:43709</v>
      </c>
      <c r="W45" s="120" t="str">
        <f t="shared" si="42"/>
        <v>ANK:43709</v>
      </c>
      <c r="X45" s="250" t="str">
        <f t="array" ref="X45:AI45">VLOOKUP($D45&amp;":"&amp;$C45,tblPayRates,{3,4,5,6,7,8,9,10,11,12,13,14},0)</f>
        <v>ANK</v>
      </c>
      <c r="Y45" s="16" t="str">
        <v>MTR</v>
      </c>
      <c r="Z45" s="261" t="str">
        <v>F</v>
      </c>
      <c r="AA45" s="77" t="str">
        <v>Daily</v>
      </c>
      <c r="AB45" s="77">
        <v>450</v>
      </c>
      <c r="AC45" s="77">
        <v>450</v>
      </c>
      <c r="AD45" s="77">
        <v>427.5</v>
      </c>
      <c r="AE45" s="77">
        <v>0</v>
      </c>
      <c r="AF45" s="261" t="str">
        <v>Q</v>
      </c>
      <c r="AG45" s="261">
        <v>1</v>
      </c>
      <c r="AH45" s="261">
        <v>1</v>
      </c>
      <c r="AI45" s="262">
        <v>0</v>
      </c>
    </row>
    <row r="46" spans="1:35" hidden="1" outlineLevel="1" x14ac:dyDescent="0.25">
      <c r="A46" s="120">
        <f t="shared" si="38"/>
        <v>3</v>
      </c>
      <c r="B46" s="231">
        <v>43708</v>
      </c>
      <c r="C46" s="77" t="s">
        <v>55</v>
      </c>
      <c r="D46" s="238" t="s">
        <v>504</v>
      </c>
      <c r="E46" s="76">
        <f ca="1">SUMIF(payNonMonth,"="&amp;$W46,$E$371:OFFSET($E$371,ROWS(payNonMonth)-1,0))</f>
        <v>27</v>
      </c>
      <c r="F46" s="76"/>
      <c r="G46" s="77">
        <f t="shared" ca="1" si="39"/>
        <v>1</v>
      </c>
      <c r="H46" s="76">
        <f t="shared" ca="1" si="10"/>
        <v>25650</v>
      </c>
      <c r="I46" s="76">
        <f t="shared" ca="1" si="11"/>
        <v>1282.5</v>
      </c>
      <c r="J46" s="233">
        <f t="shared" ca="1" si="12"/>
        <v>24300</v>
      </c>
      <c r="K46" s="76">
        <f t="shared" ca="1" si="21"/>
        <v>230.85</v>
      </c>
      <c r="L46" s="76">
        <f t="shared" ca="1" si="13"/>
        <v>1000</v>
      </c>
      <c r="M46" s="76">
        <f t="shared" ca="1" si="24"/>
        <v>2108.2199999999998</v>
      </c>
      <c r="N46" s="76">
        <f t="shared" ca="1" si="14"/>
        <v>0</v>
      </c>
      <c r="O46" s="76"/>
      <c r="P46" s="76">
        <f t="shared" ca="1" si="15"/>
        <v>20960.93</v>
      </c>
      <c r="Q46" s="76">
        <f t="shared" ca="1" si="40"/>
        <v>7614</v>
      </c>
      <c r="R46" s="76">
        <f t="shared" ca="1" si="41"/>
        <v>13346.93</v>
      </c>
      <c r="S46" s="232">
        <f t="shared" ca="1" si="16"/>
        <v>1100</v>
      </c>
      <c r="U46" s="120" t="str">
        <f t="shared" si="17"/>
        <v>*:3</v>
      </c>
      <c r="V46" s="120" t="str">
        <f t="shared" si="42"/>
        <v>MAM:43708</v>
      </c>
      <c r="W46" s="120" t="str">
        <f t="shared" ref="W46:W51" si="43">C46 &amp;":"&amp; A46</f>
        <v>MAM:3</v>
      </c>
      <c r="X46" s="250" t="str">
        <f t="array" ref="X46:AI46">VLOOKUP($D46&amp;":"&amp;$C46,tblPayRates,{3,4,5,6,7,8,9,10,11,12,13,14},0)</f>
        <v>MAM</v>
      </c>
      <c r="Y46" s="16" t="str">
        <v>DWS</v>
      </c>
      <c r="Z46" s="261" t="str">
        <v>M</v>
      </c>
      <c r="AA46" s="77" t="str">
        <v>Daily</v>
      </c>
      <c r="AB46" s="77">
        <v>950</v>
      </c>
      <c r="AC46" s="77">
        <v>950</v>
      </c>
      <c r="AD46" s="77">
        <v>900</v>
      </c>
      <c r="AE46" s="77">
        <v>0</v>
      </c>
      <c r="AF46" s="261" t="str">
        <v>N</v>
      </c>
      <c r="AG46" s="261">
        <v>1</v>
      </c>
      <c r="AH46" s="261">
        <v>1</v>
      </c>
      <c r="AI46" s="262">
        <v>0</v>
      </c>
    </row>
    <row r="47" spans="1:35" hidden="1" outlineLevel="1" x14ac:dyDescent="0.25">
      <c r="A47" s="120">
        <f t="shared" si="38"/>
        <v>3</v>
      </c>
      <c r="B47" s="231">
        <v>43708</v>
      </c>
      <c r="C47" s="77" t="s">
        <v>57</v>
      </c>
      <c r="D47" s="238" t="s">
        <v>668</v>
      </c>
      <c r="E47" s="76">
        <f ca="1">SUMIF(payNonMonth,"="&amp;$W47,$E$371:OFFSET($E$371,ROWS(payNonMonth)-1,0))</f>
        <v>26</v>
      </c>
      <c r="F47" s="76"/>
      <c r="G47" s="77">
        <f t="shared" ca="1" si="39"/>
        <v>1</v>
      </c>
      <c r="H47" s="76">
        <f t="shared" ca="1" si="10"/>
        <v>13000</v>
      </c>
      <c r="I47" s="76">
        <f t="shared" ca="1" si="11"/>
        <v>650</v>
      </c>
      <c r="J47" s="233">
        <f t="shared" ca="1" si="12"/>
        <v>12740</v>
      </c>
      <c r="K47" s="76">
        <f t="shared" ca="1" si="21"/>
        <v>121.03</v>
      </c>
      <c r="L47" s="76">
        <f t="shared" ca="1" si="13"/>
        <v>4982.7299999999996</v>
      </c>
      <c r="M47" s="76">
        <f t="shared" ca="1" si="24"/>
        <v>1105.3</v>
      </c>
      <c r="N47" s="76">
        <f t="shared" ca="1" si="14"/>
        <v>0</v>
      </c>
      <c r="O47" s="76"/>
      <c r="P47" s="76">
        <f t="shared" ca="1" si="15"/>
        <v>6530.9400000000005</v>
      </c>
      <c r="Q47" s="76">
        <f t="shared" ca="1" si="40"/>
        <v>1551</v>
      </c>
      <c r="R47" s="76">
        <f t="shared" ca="1" si="41"/>
        <v>4979.9400000000005</v>
      </c>
      <c r="S47" s="232">
        <f t="shared" ca="1" si="16"/>
        <v>5481</v>
      </c>
      <c r="U47" s="120" t="str">
        <f t="shared" si="17"/>
        <v>*:3</v>
      </c>
      <c r="V47" s="120" t="str">
        <f t="shared" si="42"/>
        <v>CRP:43708</v>
      </c>
      <c r="W47" s="120" t="str">
        <f t="shared" si="43"/>
        <v>CRP:3</v>
      </c>
      <c r="X47" s="250" t="str">
        <f t="array" ref="X47:AI47">VLOOKUP($D47&amp;":"&amp;$C47,tblPayRates,{3,4,5,6,7,8,9,10,11,12,13,14},0)</f>
        <v>CRP</v>
      </c>
      <c r="Y47" s="16" t="str">
        <v>MTR</v>
      </c>
      <c r="Z47" s="261" t="str">
        <v>M</v>
      </c>
      <c r="AA47" s="77" t="str">
        <v>Daily</v>
      </c>
      <c r="AB47" s="77">
        <v>500</v>
      </c>
      <c r="AC47" s="77">
        <v>500</v>
      </c>
      <c r="AD47" s="77">
        <v>490</v>
      </c>
      <c r="AE47" s="77">
        <v>0</v>
      </c>
      <c r="AF47" s="261" t="str">
        <v>Q</v>
      </c>
      <c r="AG47" s="261">
        <v>1</v>
      </c>
      <c r="AH47" s="261">
        <v>1</v>
      </c>
      <c r="AI47" s="262">
        <v>0</v>
      </c>
    </row>
    <row r="48" spans="1:35" hidden="1" outlineLevel="1" x14ac:dyDescent="0.25">
      <c r="A48" s="120">
        <f t="shared" si="38"/>
        <v>3</v>
      </c>
      <c r="B48" s="231">
        <v>43708</v>
      </c>
      <c r="C48" s="77" t="s">
        <v>58</v>
      </c>
      <c r="D48" s="238" t="s">
        <v>668</v>
      </c>
      <c r="E48" s="76">
        <f ca="1">SUMIF(payNonMonth,"="&amp;$W48,$E$371:OFFSET($E$371,ROWS(payNonMonth)-1,0))</f>
        <v>26</v>
      </c>
      <c r="F48" s="336"/>
      <c r="G48" s="77">
        <f t="shared" ca="1" si="39"/>
        <v>1</v>
      </c>
      <c r="H48" s="76">
        <f t="shared" ca="1" si="10"/>
        <v>13000</v>
      </c>
      <c r="I48" s="76">
        <f t="shared" ca="1" si="11"/>
        <v>650</v>
      </c>
      <c r="J48" s="233">
        <f t="shared" ca="1" si="12"/>
        <v>12740</v>
      </c>
      <c r="K48" s="76">
        <f t="shared" ca="1" si="21"/>
        <v>121.03</v>
      </c>
      <c r="L48" s="76">
        <f t="shared" ca="1" si="13"/>
        <v>1417.27</v>
      </c>
      <c r="M48" s="76">
        <f t="shared" ca="1" si="24"/>
        <v>1105.3</v>
      </c>
      <c r="N48" s="76">
        <f t="shared" ca="1" si="14"/>
        <v>0</v>
      </c>
      <c r="O48" s="76"/>
      <c r="P48" s="76">
        <f t="shared" ca="1" si="15"/>
        <v>10096.4</v>
      </c>
      <c r="Q48" s="76">
        <f t="shared" ca="1" si="40"/>
        <v>2899</v>
      </c>
      <c r="R48" s="76">
        <f t="shared" ca="1" si="41"/>
        <v>7197.4</v>
      </c>
      <c r="S48" s="232">
        <f t="shared" ca="1" si="16"/>
        <v>1559</v>
      </c>
      <c r="U48" s="120" t="str">
        <f t="shared" si="17"/>
        <v>*:3</v>
      </c>
      <c r="V48" s="120" t="str">
        <f t="shared" si="42"/>
        <v>SM:43708</v>
      </c>
      <c r="W48" s="120" t="str">
        <f t="shared" si="43"/>
        <v>SM:3</v>
      </c>
      <c r="X48" s="250" t="str">
        <f t="array" ref="X48:AI48">VLOOKUP($D48&amp;":"&amp;$C48,tblPayRates,{3,4,5,6,7,8,9,10,11,12,13,14},0)</f>
        <v>SM</v>
      </c>
      <c r="Y48" s="16" t="str">
        <v>MTR</v>
      </c>
      <c r="Z48" s="261" t="str">
        <v>M</v>
      </c>
      <c r="AA48" s="77" t="str">
        <v>Daily</v>
      </c>
      <c r="AB48" s="77">
        <v>500</v>
      </c>
      <c r="AC48" s="77">
        <v>500</v>
      </c>
      <c r="AD48" s="77">
        <v>490</v>
      </c>
      <c r="AE48" s="77">
        <v>0</v>
      </c>
      <c r="AF48" s="261" t="str">
        <v>Q</v>
      </c>
      <c r="AG48" s="261">
        <v>1</v>
      </c>
      <c r="AH48" s="261">
        <v>1</v>
      </c>
      <c r="AI48" s="262">
        <v>0</v>
      </c>
    </row>
    <row r="49" spans="1:35" hidden="1" outlineLevel="1" x14ac:dyDescent="0.25">
      <c r="A49" s="120">
        <f t="shared" si="38"/>
        <v>3</v>
      </c>
      <c r="B49" s="231">
        <v>43708</v>
      </c>
      <c r="C49" s="77" t="s">
        <v>622</v>
      </c>
      <c r="D49" s="238" t="s">
        <v>499</v>
      </c>
      <c r="E49" s="76">
        <f ca="1">SUMIF(payNonMonth,"="&amp;$W49,$E$371:OFFSET($E$371,ROWS(payNonMonth)-1,0))</f>
        <v>22</v>
      </c>
      <c r="F49" s="76"/>
      <c r="G49" s="77">
        <f t="shared" ca="1" si="39"/>
        <v>1</v>
      </c>
      <c r="H49" s="76">
        <f t="shared" ca="1" si="10"/>
        <v>15400</v>
      </c>
      <c r="I49" s="76">
        <f t="shared" ca="1" si="11"/>
        <v>539</v>
      </c>
      <c r="J49" s="233">
        <f t="shared" ca="1" si="12"/>
        <v>14630</v>
      </c>
      <c r="K49" s="76">
        <f t="shared" ca="1" si="21"/>
        <v>138.99</v>
      </c>
      <c r="L49" s="76">
        <f t="shared" ca="1" si="13"/>
        <v>162.63999999999999</v>
      </c>
      <c r="M49" s="76">
        <f t="shared" ca="1" si="24"/>
        <v>1269.27</v>
      </c>
      <c r="N49" s="76">
        <f t="shared" ca="1" si="14"/>
        <v>0</v>
      </c>
      <c r="O49" s="76"/>
      <c r="P49" s="76">
        <f t="shared" ca="1" si="15"/>
        <v>13059.1</v>
      </c>
      <c r="Q49" s="76">
        <f t="shared" ca="1" si="40"/>
        <v>4056</v>
      </c>
      <c r="R49" s="76">
        <f t="shared" ca="1" si="41"/>
        <v>9003.1</v>
      </c>
      <c r="S49" s="232">
        <f t="shared" ca="1" si="16"/>
        <v>178.9</v>
      </c>
      <c r="U49" s="120" t="str">
        <f t="shared" si="17"/>
        <v>*:3</v>
      </c>
      <c r="V49" s="120" t="str">
        <f t="shared" si="42"/>
        <v>GEO:43708</v>
      </c>
      <c r="W49" s="120" t="str">
        <f t="shared" si="43"/>
        <v>GEO:3</v>
      </c>
      <c r="X49" s="250" t="str">
        <f t="array" ref="X49:AI49">VLOOKUP($D49&amp;":"&amp;$C49,tblPayRates,{3,4,5,6,7,8,9,10,11,12,13,14},0)</f>
        <v>GEO</v>
      </c>
      <c r="Y49" s="16" t="str">
        <v>Magma</v>
      </c>
      <c r="Z49" s="261" t="str">
        <v>M</v>
      </c>
      <c r="AA49" s="77" t="str">
        <v>Daily</v>
      </c>
      <c r="AB49" s="77">
        <v>700</v>
      </c>
      <c r="AC49" s="77">
        <v>700</v>
      </c>
      <c r="AD49" s="77">
        <v>665</v>
      </c>
      <c r="AE49" s="77">
        <v>0</v>
      </c>
      <c r="AF49" s="261" t="str">
        <v>N</v>
      </c>
      <c r="AG49" s="261">
        <v>2</v>
      </c>
      <c r="AH49" s="261">
        <v>1</v>
      </c>
      <c r="AI49" s="262">
        <v>0</v>
      </c>
    </row>
    <row r="50" spans="1:35" hidden="1" outlineLevel="1" x14ac:dyDescent="0.25">
      <c r="A50" s="120">
        <f t="shared" si="38"/>
        <v>3</v>
      </c>
      <c r="B50" s="231">
        <v>43708</v>
      </c>
      <c r="C50" s="77" t="s">
        <v>657</v>
      </c>
      <c r="D50" s="238" t="s">
        <v>674</v>
      </c>
      <c r="E50" s="76">
        <f ca="1">SUMIF(payNonMonth,"="&amp;$W50,$E$371:OFFSET($E$371,ROWS(payNonMonth)-1,0))</f>
        <v>20</v>
      </c>
      <c r="F50" s="336"/>
      <c r="G50" s="77">
        <f t="shared" ca="1" si="39"/>
        <v>1</v>
      </c>
      <c r="H50" s="76">
        <f t="shared" ca="1" si="10"/>
        <v>12460</v>
      </c>
      <c r="I50" s="76">
        <f t="shared" ca="1" si="11"/>
        <v>623</v>
      </c>
      <c r="J50" s="233">
        <f t="shared" ca="1" si="12"/>
        <v>10484.200000000001</v>
      </c>
      <c r="K50" s="76">
        <f t="shared" ca="1" si="21"/>
        <v>99.6</v>
      </c>
      <c r="L50" s="76">
        <f t="shared" ca="1" si="13"/>
        <v>127.23</v>
      </c>
      <c r="M50" s="76">
        <f t="shared" ca="1" si="24"/>
        <v>909.59</v>
      </c>
      <c r="N50" s="76">
        <f t="shared" ca="1" si="14"/>
        <v>0</v>
      </c>
      <c r="O50" s="76"/>
      <c r="P50" s="76">
        <f t="shared" ca="1" si="15"/>
        <v>9347.7800000000007</v>
      </c>
      <c r="Q50" s="76">
        <f t="shared" ca="1" si="40"/>
        <v>2609</v>
      </c>
      <c r="R50" s="76">
        <f t="shared" ca="1" si="41"/>
        <v>6738.7800000000007</v>
      </c>
      <c r="S50" s="232">
        <f t="shared" ca="1" si="16"/>
        <v>139.95000000000002</v>
      </c>
      <c r="U50" s="120" t="str">
        <f t="shared" si="17"/>
        <v>*:3</v>
      </c>
      <c r="V50" s="120" t="str">
        <f t="shared" si="42"/>
        <v>VAK:43708</v>
      </c>
      <c r="W50" s="120" t="str">
        <f t="shared" si="43"/>
        <v>VAK:3</v>
      </c>
      <c r="X50" s="250" t="str">
        <f t="array" ref="X50:AI50">VLOOKUP($D50&amp;":"&amp;$C50,tblPayRates,{3,4,5,6,7,8,9,10,11,12,13,14},0)</f>
        <v>VAK</v>
      </c>
      <c r="Y50" s="16" t="str">
        <v>Paxus</v>
      </c>
      <c r="Z50" s="261" t="str">
        <v>M</v>
      </c>
      <c r="AA50" s="77" t="str">
        <v>Daily</v>
      </c>
      <c r="AB50" s="77">
        <v>623</v>
      </c>
      <c r="AC50" s="77">
        <v>623</v>
      </c>
      <c r="AD50" s="77">
        <v>524.21</v>
      </c>
      <c r="AE50" s="77">
        <v>0</v>
      </c>
      <c r="AF50" s="261" t="str">
        <v>Q</v>
      </c>
      <c r="AG50" s="261">
        <v>1</v>
      </c>
      <c r="AH50" s="261">
        <v>1</v>
      </c>
      <c r="AI50" s="262">
        <v>0</v>
      </c>
    </row>
    <row r="51" spans="1:35" hidden="1" outlineLevel="1" x14ac:dyDescent="0.25">
      <c r="A51" s="120">
        <f t="shared" si="38"/>
        <v>3</v>
      </c>
      <c r="B51" s="231">
        <v>43708</v>
      </c>
      <c r="C51" s="77" t="s">
        <v>658</v>
      </c>
      <c r="D51" s="238" t="s">
        <v>673</v>
      </c>
      <c r="E51" s="76">
        <f ca="1">SUMIF(payNonMonth,"="&amp;$W51,$E$371:OFFSET($E$371,ROWS(payNonMonth)-1,0))</f>
        <v>20</v>
      </c>
      <c r="F51" s="76"/>
      <c r="G51" s="77">
        <f t="shared" ca="1" si="39"/>
        <v>1</v>
      </c>
      <c r="H51" s="76">
        <f t="shared" ca="1" si="10"/>
        <v>5340</v>
      </c>
      <c r="I51" s="76">
        <f t="shared" ca="1" si="11"/>
        <v>267</v>
      </c>
      <c r="J51" s="233">
        <f t="shared" ca="1" si="12"/>
        <v>6425.8</v>
      </c>
      <c r="K51" s="76">
        <f t="shared" ca="1" si="21"/>
        <v>61.05</v>
      </c>
      <c r="L51" s="76">
        <f t="shared" ca="1" si="13"/>
        <v>56</v>
      </c>
      <c r="M51" s="76">
        <f t="shared" ca="1" si="24"/>
        <v>557.49</v>
      </c>
      <c r="N51" s="76">
        <f t="shared" ca="1" si="14"/>
        <v>0</v>
      </c>
      <c r="O51" s="76"/>
      <c r="P51" s="76">
        <f t="shared" ca="1" si="15"/>
        <v>5751.26</v>
      </c>
      <c r="Q51" s="76">
        <f t="shared" ca="1" si="40"/>
        <v>1283</v>
      </c>
      <c r="R51" s="76">
        <f t="shared" ca="1" si="41"/>
        <v>4468.26</v>
      </c>
      <c r="S51" s="232">
        <f t="shared" ca="1" si="16"/>
        <v>61.6</v>
      </c>
      <c r="U51" s="120" t="str">
        <f t="shared" si="17"/>
        <v>*:3</v>
      </c>
      <c r="V51" s="120" t="str">
        <f t="shared" si="42"/>
        <v>ASW:43708</v>
      </c>
      <c r="W51" s="120" t="str">
        <f t="shared" si="43"/>
        <v>ASW:3</v>
      </c>
      <c r="X51" s="250" t="str">
        <f t="array" ref="X51:AI51">VLOOKUP($D51&amp;":"&amp;$C51,tblPayRates,{3,4,5,6,7,8,9,10,11,12,13,14},0)</f>
        <v>ASW</v>
      </c>
      <c r="Y51" s="16" t="str">
        <v>Paxus</v>
      </c>
      <c r="Z51" s="261" t="str">
        <v>M</v>
      </c>
      <c r="AA51" s="77" t="str">
        <v>Daily</v>
      </c>
      <c r="AB51" s="77">
        <v>267</v>
      </c>
      <c r="AC51" s="77">
        <v>267</v>
      </c>
      <c r="AD51" s="77">
        <v>321.29000000000002</v>
      </c>
      <c r="AE51" s="77">
        <v>0</v>
      </c>
      <c r="AF51" s="261" t="str">
        <v>Q</v>
      </c>
      <c r="AG51" s="261">
        <v>1</v>
      </c>
      <c r="AH51" s="261">
        <v>1</v>
      </c>
      <c r="AI51" s="262">
        <v>0</v>
      </c>
    </row>
    <row r="52" spans="1:35" hidden="1" outlineLevel="1" x14ac:dyDescent="0.25">
      <c r="A52" s="120">
        <f t="shared" si="38"/>
        <v>3</v>
      </c>
      <c r="B52" s="231">
        <v>43723</v>
      </c>
      <c r="C52" s="77" t="s">
        <v>669</v>
      </c>
      <c r="D52" s="238" t="s">
        <v>668</v>
      </c>
      <c r="E52" s="76">
        <f ca="1">SUMIF(payNonMonth,"="&amp;$W52,$E$371:OFFSET($E$371,ROWS(payNonMonth)-1,0))</f>
        <v>11.5</v>
      </c>
      <c r="F52" s="76"/>
      <c r="G52" s="77">
        <f t="shared" ca="1" si="39"/>
        <v>1</v>
      </c>
      <c r="H52" s="76">
        <f t="shared" ca="1" si="10"/>
        <v>5175</v>
      </c>
      <c r="I52" s="76">
        <f t="shared" ca="1" si="11"/>
        <v>258.75</v>
      </c>
      <c r="J52" s="233">
        <f t="shared" ca="1" si="12"/>
        <v>4916.25</v>
      </c>
      <c r="K52" s="76">
        <f t="shared" ca="1" si="21"/>
        <v>46.7</v>
      </c>
      <c r="L52" s="76">
        <f t="shared" ca="1" si="13"/>
        <v>0</v>
      </c>
      <c r="M52" s="76">
        <f t="shared" ca="1" si="24"/>
        <v>426.52</v>
      </c>
      <c r="N52" s="76">
        <f t="shared" ca="1" si="14"/>
        <v>0</v>
      </c>
      <c r="O52" s="76"/>
      <c r="P52" s="76">
        <f t="shared" ca="1" si="15"/>
        <v>4443.03</v>
      </c>
      <c r="Q52" s="76">
        <f t="shared" ca="1" si="40"/>
        <v>1254</v>
      </c>
      <c r="R52" s="76">
        <f t="shared" ca="1" si="41"/>
        <v>3189.0299999999997</v>
      </c>
      <c r="S52" s="232">
        <f t="shared" ca="1" si="16"/>
        <v>0</v>
      </c>
      <c r="U52" s="120" t="str">
        <f t="shared" si="17"/>
        <v>*:3</v>
      </c>
      <c r="V52" s="120" t="str">
        <f t="shared" si="42"/>
        <v>DP:43723</v>
      </c>
      <c r="W52" s="120" t="str">
        <f t="shared" ref="W52:W55" si="44">C52 &amp;":"&amp; B52</f>
        <v>DP:43723</v>
      </c>
      <c r="X52" s="250" t="str">
        <f t="array" ref="X52:AI52">VLOOKUP($D52&amp;":"&amp;$C52,tblPayRates,{3,4,5,6,7,8,9,10,11,12,13,14},0)</f>
        <v>DP</v>
      </c>
      <c r="Y52" s="16" t="str">
        <v>MTR</v>
      </c>
      <c r="Z52" s="261" t="str">
        <v>F</v>
      </c>
      <c r="AA52" s="77" t="str">
        <v>Daily</v>
      </c>
      <c r="AB52" s="77">
        <v>450</v>
      </c>
      <c r="AC52" s="77">
        <v>450</v>
      </c>
      <c r="AD52" s="77">
        <v>427.5</v>
      </c>
      <c r="AE52" s="77">
        <v>0</v>
      </c>
      <c r="AF52" s="261" t="str">
        <v>Q</v>
      </c>
      <c r="AG52" s="261">
        <v>1</v>
      </c>
      <c r="AH52" s="261">
        <v>1</v>
      </c>
      <c r="AI52" s="262">
        <v>0</v>
      </c>
    </row>
    <row r="53" spans="1:35" hidden="1" outlineLevel="1" x14ac:dyDescent="0.25">
      <c r="A53" s="120">
        <f t="shared" si="38"/>
        <v>3</v>
      </c>
      <c r="B53" s="231">
        <v>43723</v>
      </c>
      <c r="C53" s="77" t="s">
        <v>678</v>
      </c>
      <c r="D53" s="238" t="s">
        <v>668</v>
      </c>
      <c r="E53" s="76">
        <f ca="1">SUMIF(payNonMonth,"="&amp;$W53,$E$371:OFFSET($E$371,ROWS(payNonMonth)-1,0))</f>
        <v>11.5</v>
      </c>
      <c r="F53" s="76"/>
      <c r="G53" s="77">
        <f t="shared" ca="1" si="39"/>
        <v>1</v>
      </c>
      <c r="H53" s="76">
        <f t="shared" ca="1" si="10"/>
        <v>5175</v>
      </c>
      <c r="I53" s="76">
        <f t="shared" ca="1" si="11"/>
        <v>258.75</v>
      </c>
      <c r="J53" s="233">
        <f t="shared" ca="1" si="12"/>
        <v>4916.25</v>
      </c>
      <c r="K53" s="76">
        <f t="shared" ca="1" si="21"/>
        <v>46.7</v>
      </c>
      <c r="L53" s="76">
        <f t="shared" ca="1" si="13"/>
        <v>0</v>
      </c>
      <c r="M53" s="76">
        <f t="shared" ca="1" si="24"/>
        <v>426.52</v>
      </c>
      <c r="N53" s="76">
        <f t="shared" ca="1" si="14"/>
        <v>0</v>
      </c>
      <c r="O53" s="76"/>
      <c r="P53" s="76">
        <f t="shared" ca="1" si="15"/>
        <v>4443.03</v>
      </c>
      <c r="Q53" s="76">
        <f t="shared" ca="1" si="40"/>
        <v>1254</v>
      </c>
      <c r="R53" s="76">
        <f t="shared" ca="1" si="41"/>
        <v>3189.0299999999997</v>
      </c>
      <c r="S53" s="232">
        <f t="shared" ca="1" si="16"/>
        <v>0</v>
      </c>
      <c r="U53" s="120" t="str">
        <f t="shared" si="17"/>
        <v>*:3</v>
      </c>
      <c r="V53" s="120" t="str">
        <f t="shared" si="42"/>
        <v>ANK:43723</v>
      </c>
      <c r="W53" s="120" t="str">
        <f t="shared" si="44"/>
        <v>ANK:43723</v>
      </c>
      <c r="X53" s="250" t="str">
        <f t="array" ref="X53:AI53">VLOOKUP($D53&amp;":"&amp;$C53,tblPayRates,{3,4,5,6,7,8,9,10,11,12,13,14},0)</f>
        <v>ANK</v>
      </c>
      <c r="Y53" s="16" t="str">
        <v>MTR</v>
      </c>
      <c r="Z53" s="261" t="str">
        <v>F</v>
      </c>
      <c r="AA53" s="77" t="str">
        <v>Daily</v>
      </c>
      <c r="AB53" s="77">
        <v>450</v>
      </c>
      <c r="AC53" s="77">
        <v>450</v>
      </c>
      <c r="AD53" s="77">
        <v>427.5</v>
      </c>
      <c r="AE53" s="77">
        <v>0</v>
      </c>
      <c r="AF53" s="261" t="str">
        <v>Q</v>
      </c>
      <c r="AG53" s="261">
        <v>1</v>
      </c>
      <c r="AH53" s="261">
        <v>1</v>
      </c>
      <c r="AI53" s="262">
        <v>0</v>
      </c>
    </row>
    <row r="54" spans="1:35" hidden="1" outlineLevel="1" x14ac:dyDescent="0.25">
      <c r="A54" s="120">
        <f>GETPAYMONTH(B54)</f>
        <v>4</v>
      </c>
      <c r="B54" s="231">
        <v>43737</v>
      </c>
      <c r="C54" s="77" t="s">
        <v>669</v>
      </c>
      <c r="D54" s="238" t="s">
        <v>668</v>
      </c>
      <c r="E54" s="76">
        <f ca="1">SUMIF(payNonMonth,"="&amp;$W54,$E$371:OFFSET($E$371,ROWS(payNonMonth)-1,0))</f>
        <v>10</v>
      </c>
      <c r="F54" s="76"/>
      <c r="G54" s="77">
        <f ca="1">IF(AND($E54=0,$F54=0),0,1)</f>
        <v>1</v>
      </c>
      <c r="H54" s="76">
        <f t="shared" ca="1" si="10"/>
        <v>4500</v>
      </c>
      <c r="I54" s="76">
        <f t="shared" ca="1" si="11"/>
        <v>225</v>
      </c>
      <c r="J54" s="233">
        <f t="shared" ca="1" si="12"/>
        <v>4275</v>
      </c>
      <c r="K54" s="76">
        <f t="shared" ca="1" si="21"/>
        <v>40.61</v>
      </c>
      <c r="L54" s="76">
        <f t="shared" ca="1" si="13"/>
        <v>545.45000000000005</v>
      </c>
      <c r="M54" s="76">
        <f t="shared" ca="1" si="24"/>
        <v>370.89</v>
      </c>
      <c r="N54" s="76">
        <f t="shared" ca="1" si="14"/>
        <v>0</v>
      </c>
      <c r="O54" s="76"/>
      <c r="P54" s="76">
        <f t="shared" ca="1" si="15"/>
        <v>3318.05</v>
      </c>
      <c r="Q54" s="76">
        <f ca="1">GETTAX(P54,Z54)</f>
        <v>822</v>
      </c>
      <c r="R54" s="76">
        <f ca="1">P54-Q54</f>
        <v>2496.0500000000002</v>
      </c>
      <c r="S54" s="232">
        <f t="shared" ca="1" si="16"/>
        <v>600</v>
      </c>
      <c r="U54" s="120" t="str">
        <f t="shared" si="17"/>
        <v>*:4</v>
      </c>
      <c r="V54" s="120" t="str">
        <f>$C54 &amp;":"&amp; $B54</f>
        <v>DP:43737</v>
      </c>
      <c r="W54" s="120" t="str">
        <f t="shared" si="44"/>
        <v>DP:43737</v>
      </c>
      <c r="X54" s="250" t="str">
        <f t="array" ref="X54:AI54">VLOOKUP($D54&amp;":"&amp;$C54,tblPayRates,{3,4,5,6,7,8,9,10,11,12,13,14},0)</f>
        <v>DP</v>
      </c>
      <c r="Y54" s="16" t="str">
        <v>MTR</v>
      </c>
      <c r="Z54" s="261" t="str">
        <v>F</v>
      </c>
      <c r="AA54" s="77" t="str">
        <v>Daily</v>
      </c>
      <c r="AB54" s="77">
        <v>450</v>
      </c>
      <c r="AC54" s="77">
        <v>450</v>
      </c>
      <c r="AD54" s="77">
        <v>427.5</v>
      </c>
      <c r="AE54" s="77">
        <v>0</v>
      </c>
      <c r="AF54" s="261" t="str">
        <v>Q</v>
      </c>
      <c r="AG54" s="261">
        <v>1</v>
      </c>
      <c r="AH54" s="261">
        <v>1</v>
      </c>
      <c r="AI54" s="262">
        <v>0</v>
      </c>
    </row>
    <row r="55" spans="1:35" hidden="1" outlineLevel="1" x14ac:dyDescent="0.25">
      <c r="A55" s="120">
        <f t="shared" ref="A55:A79" si="45">GETPAYMONTH(B55)</f>
        <v>4</v>
      </c>
      <c r="B55" s="231">
        <v>43737</v>
      </c>
      <c r="C55" s="77" t="s">
        <v>678</v>
      </c>
      <c r="D55" s="238" t="s">
        <v>668</v>
      </c>
      <c r="E55" s="76">
        <f ca="1">SUMIF(payNonMonth,"="&amp;$W55,$E$371:OFFSET($E$371,ROWS(payNonMonth)-1,0))</f>
        <v>10</v>
      </c>
      <c r="F55" s="76"/>
      <c r="G55" s="77">
        <f t="shared" ref="G55:G66" ca="1" si="46">IF(AND($E55=0,$F55=0),0,1)</f>
        <v>1</v>
      </c>
      <c r="H55" s="76">
        <f t="shared" ref="H55:H84" ca="1" si="47">ROUND(SUM(E55:F55)*AB55,2)</f>
        <v>4500</v>
      </c>
      <c r="I55" s="76">
        <f t="shared" ref="I55:I84" ca="1" si="48">H55*OFFSET(payMgmtRate,0,$AG55)</f>
        <v>225</v>
      </c>
      <c r="J55" s="233">
        <f t="shared" ref="J55:J84" ca="1" si="49">ROUND(IF(AH55,$E55,1)*AD55+$F55*AE55+SUMIF(payAllow,$V55,$J$266:$J$368),2)</f>
        <v>4275</v>
      </c>
      <c r="K55" s="76">
        <f t="shared" ca="1" si="21"/>
        <v>40.61</v>
      </c>
      <c r="L55" s="76">
        <f t="shared" ref="L55:L84" ca="1" si="50">SUMIF(payAllow,$V55,L$266:L$368)*$G55</f>
        <v>478.18</v>
      </c>
      <c r="M55" s="76">
        <f t="shared" ca="1" si="24"/>
        <v>370.89</v>
      </c>
      <c r="N55" s="76">
        <f t="shared" ref="N55:N84" ca="1" si="51">SUMIF(payAllow,$V55,N$266:N$368)*G55</f>
        <v>0</v>
      </c>
      <c r="O55" s="76"/>
      <c r="P55" s="76">
        <f t="shared" ref="P55:P84" ca="1" si="52">J55-SUM(K55:O55)</f>
        <v>3385.32</v>
      </c>
      <c r="Q55" s="76">
        <f t="shared" ref="Q55:Q66" ca="1" si="53">GETTAX(P55,Z55)</f>
        <v>844</v>
      </c>
      <c r="R55" s="76">
        <f t="shared" ref="R55:R66" ca="1" si="54">P55-Q55</f>
        <v>2541.3200000000002</v>
      </c>
      <c r="S55" s="232">
        <f t="shared" ref="S55:S84" ca="1" si="55">SUMIF(payAllow,V55,S$266:S$368)*G55</f>
        <v>526</v>
      </c>
      <c r="U55" s="120" t="str">
        <f t="shared" ref="U55:U84" si="56">IF(EmpID="*","*",C55) &amp;":"&amp; $A55</f>
        <v>*:4</v>
      </c>
      <c r="V55" s="120" t="str">
        <f t="shared" ref="V55:V66" si="57">$C55 &amp;":"&amp; $B55</f>
        <v>ANK:43737</v>
      </c>
      <c r="W55" s="120" t="str">
        <f t="shared" si="44"/>
        <v>ANK:43737</v>
      </c>
      <c r="X55" s="250" t="str">
        <f t="array" ref="X55:AI55">VLOOKUP($D55&amp;":"&amp;$C55,tblPayRates,{3,4,5,6,7,8,9,10,11,12,13,14},0)</f>
        <v>ANK</v>
      </c>
      <c r="Y55" s="16" t="str">
        <v>MTR</v>
      </c>
      <c r="Z55" s="261" t="str">
        <v>F</v>
      </c>
      <c r="AA55" s="77" t="str">
        <v>Daily</v>
      </c>
      <c r="AB55" s="77">
        <v>450</v>
      </c>
      <c r="AC55" s="77">
        <v>450</v>
      </c>
      <c r="AD55" s="77">
        <v>427.5</v>
      </c>
      <c r="AE55" s="77">
        <v>0</v>
      </c>
      <c r="AF55" s="261" t="str">
        <v>Q</v>
      </c>
      <c r="AG55" s="261">
        <v>1</v>
      </c>
      <c r="AH55" s="261">
        <v>1</v>
      </c>
      <c r="AI55" s="262">
        <v>0</v>
      </c>
    </row>
    <row r="56" spans="1:35" hidden="1" outlineLevel="1" x14ac:dyDescent="0.25">
      <c r="A56" s="120">
        <f t="shared" si="45"/>
        <v>4</v>
      </c>
      <c r="B56" s="231">
        <v>43738</v>
      </c>
      <c r="C56" s="77" t="s">
        <v>55</v>
      </c>
      <c r="D56" s="238" t="s">
        <v>504</v>
      </c>
      <c r="E56" s="76">
        <f ca="1">SUMIF(payNonMonth,"="&amp;$W56,$E$371:OFFSET($E$371,ROWS(payNonMonth)-1,0))</f>
        <v>20</v>
      </c>
      <c r="F56" s="76"/>
      <c r="G56" s="77">
        <f t="shared" ca="1" si="46"/>
        <v>1</v>
      </c>
      <c r="H56" s="76">
        <f t="shared" ca="1" si="47"/>
        <v>19000</v>
      </c>
      <c r="I56" s="76">
        <f t="shared" ca="1" si="48"/>
        <v>950</v>
      </c>
      <c r="J56" s="233">
        <f t="shared" ca="1" si="49"/>
        <v>18000</v>
      </c>
      <c r="K56" s="76">
        <f t="shared" ref="K56:K85" ca="1" si="58">ROUND(J56*InsureRate2,2)</f>
        <v>171</v>
      </c>
      <c r="L56" s="76">
        <f t="shared" ca="1" si="50"/>
        <v>1000</v>
      </c>
      <c r="M56" s="76">
        <f t="shared" ca="1" si="24"/>
        <v>1561.64</v>
      </c>
      <c r="N56" s="76">
        <f t="shared" ca="1" si="51"/>
        <v>0</v>
      </c>
      <c r="O56" s="76"/>
      <c r="P56" s="76">
        <f t="shared" ca="1" si="52"/>
        <v>15267.36</v>
      </c>
      <c r="Q56" s="76">
        <f t="shared" ca="1" si="53"/>
        <v>4936</v>
      </c>
      <c r="R56" s="76">
        <f t="shared" ca="1" si="54"/>
        <v>10331.36</v>
      </c>
      <c r="S56" s="232">
        <f t="shared" ca="1" si="55"/>
        <v>1100</v>
      </c>
      <c r="U56" s="120" t="str">
        <f t="shared" si="56"/>
        <v>*:4</v>
      </c>
      <c r="V56" s="120" t="str">
        <f t="shared" si="57"/>
        <v>MAM:43738</v>
      </c>
      <c r="W56" s="120" t="str">
        <f t="shared" ref="W56:W61" si="59">C56 &amp;":"&amp; A56</f>
        <v>MAM:4</v>
      </c>
      <c r="X56" s="250" t="str">
        <f t="array" ref="X56:AI56">VLOOKUP($D56&amp;":"&amp;$C56,tblPayRates,{3,4,5,6,7,8,9,10,11,12,13,14},0)</f>
        <v>MAM</v>
      </c>
      <c r="Y56" s="16" t="str">
        <v>DWS</v>
      </c>
      <c r="Z56" s="261" t="str">
        <v>M</v>
      </c>
      <c r="AA56" s="77" t="str">
        <v>Daily</v>
      </c>
      <c r="AB56" s="77">
        <v>950</v>
      </c>
      <c r="AC56" s="77">
        <v>950</v>
      </c>
      <c r="AD56" s="77">
        <v>900</v>
      </c>
      <c r="AE56" s="77">
        <v>0</v>
      </c>
      <c r="AF56" s="261" t="str">
        <v>N</v>
      </c>
      <c r="AG56" s="261">
        <v>1</v>
      </c>
      <c r="AH56" s="261">
        <v>1</v>
      </c>
      <c r="AI56" s="262">
        <v>0</v>
      </c>
    </row>
    <row r="57" spans="1:35" hidden="1" outlineLevel="1" x14ac:dyDescent="0.25">
      <c r="A57" s="120">
        <f t="shared" si="45"/>
        <v>4</v>
      </c>
      <c r="B57" s="231">
        <v>43738</v>
      </c>
      <c r="C57" s="77" t="s">
        <v>57</v>
      </c>
      <c r="D57" s="238" t="s">
        <v>668</v>
      </c>
      <c r="E57" s="76">
        <f ca="1">SUMIF(payNonMonth,"="&amp;$W57,$E$371:OFFSET($E$371,ROWS(payNonMonth)-1,0))</f>
        <v>20</v>
      </c>
      <c r="F57" s="76"/>
      <c r="G57" s="77">
        <f t="shared" ca="1" si="46"/>
        <v>1</v>
      </c>
      <c r="H57" s="76">
        <f t="shared" ca="1" si="47"/>
        <v>10000</v>
      </c>
      <c r="I57" s="76">
        <f t="shared" ca="1" si="48"/>
        <v>500</v>
      </c>
      <c r="J57" s="233">
        <f t="shared" ca="1" si="49"/>
        <v>9800</v>
      </c>
      <c r="K57" s="76">
        <f t="shared" ca="1" si="58"/>
        <v>93.1</v>
      </c>
      <c r="L57" s="76">
        <f t="shared" ca="1" si="50"/>
        <v>2522.73</v>
      </c>
      <c r="M57" s="76">
        <f t="shared" ca="1" si="24"/>
        <v>850.23</v>
      </c>
      <c r="N57" s="76">
        <f t="shared" ca="1" si="51"/>
        <v>0</v>
      </c>
      <c r="O57" s="76"/>
      <c r="P57" s="76">
        <f t="shared" ca="1" si="52"/>
        <v>6333.9400000000005</v>
      </c>
      <c r="Q57" s="76">
        <f t="shared" ca="1" si="53"/>
        <v>1482</v>
      </c>
      <c r="R57" s="76">
        <f t="shared" ca="1" si="54"/>
        <v>4851.9400000000005</v>
      </c>
      <c r="S57" s="232">
        <f t="shared" ca="1" si="55"/>
        <v>2775</v>
      </c>
      <c r="U57" s="120" t="str">
        <f t="shared" si="56"/>
        <v>*:4</v>
      </c>
      <c r="V57" s="120" t="str">
        <f t="shared" si="57"/>
        <v>CRP:43738</v>
      </c>
      <c r="W57" s="120" t="str">
        <f t="shared" si="59"/>
        <v>CRP:4</v>
      </c>
      <c r="X57" s="250" t="str">
        <f t="array" ref="X57:AI57">VLOOKUP($D57&amp;":"&amp;$C57,tblPayRates,{3,4,5,6,7,8,9,10,11,12,13,14},0)</f>
        <v>CRP</v>
      </c>
      <c r="Y57" s="16" t="str">
        <v>MTR</v>
      </c>
      <c r="Z57" s="261" t="str">
        <v>M</v>
      </c>
      <c r="AA57" s="77" t="str">
        <v>Daily</v>
      </c>
      <c r="AB57" s="77">
        <v>500</v>
      </c>
      <c r="AC57" s="77">
        <v>500</v>
      </c>
      <c r="AD57" s="77">
        <v>490</v>
      </c>
      <c r="AE57" s="77">
        <v>0</v>
      </c>
      <c r="AF57" s="261" t="str">
        <v>Q</v>
      </c>
      <c r="AG57" s="261">
        <v>1</v>
      </c>
      <c r="AH57" s="261">
        <v>1</v>
      </c>
      <c r="AI57" s="262">
        <v>0</v>
      </c>
    </row>
    <row r="58" spans="1:35" hidden="1" outlineLevel="1" x14ac:dyDescent="0.25">
      <c r="A58" s="120">
        <f t="shared" si="45"/>
        <v>4</v>
      </c>
      <c r="B58" s="231">
        <v>43738</v>
      </c>
      <c r="C58" s="77" t="s">
        <v>58</v>
      </c>
      <c r="D58" s="238" t="s">
        <v>668</v>
      </c>
      <c r="E58" s="76">
        <f ca="1">SUMIF(payNonMonth,"="&amp;$W58,$E$371:OFFSET($E$371,ROWS(payNonMonth)-1,0))</f>
        <v>20</v>
      </c>
      <c r="F58" s="76"/>
      <c r="G58" s="77">
        <f t="shared" ca="1" si="46"/>
        <v>1</v>
      </c>
      <c r="H58" s="76">
        <f t="shared" ca="1" si="47"/>
        <v>10000</v>
      </c>
      <c r="I58" s="76">
        <f t="shared" ca="1" si="48"/>
        <v>500</v>
      </c>
      <c r="J58" s="233">
        <f t="shared" ca="1" si="49"/>
        <v>9800</v>
      </c>
      <c r="K58" s="76">
        <f t="shared" ca="1" si="58"/>
        <v>93.1</v>
      </c>
      <c r="L58" s="76">
        <f t="shared" ca="1" si="50"/>
        <v>640</v>
      </c>
      <c r="M58" s="76">
        <f t="shared" ca="1" si="24"/>
        <v>850.23</v>
      </c>
      <c r="N58" s="76">
        <f t="shared" ca="1" si="51"/>
        <v>0</v>
      </c>
      <c r="O58" s="76"/>
      <c r="P58" s="76">
        <f t="shared" ca="1" si="52"/>
        <v>8216.67</v>
      </c>
      <c r="Q58" s="76">
        <f t="shared" ca="1" si="53"/>
        <v>2167</v>
      </c>
      <c r="R58" s="76">
        <f t="shared" ca="1" si="54"/>
        <v>6049.67</v>
      </c>
      <c r="S58" s="232">
        <f t="shared" ca="1" si="55"/>
        <v>704</v>
      </c>
      <c r="U58" s="120" t="str">
        <f t="shared" si="56"/>
        <v>*:4</v>
      </c>
      <c r="V58" s="120" t="str">
        <f t="shared" si="57"/>
        <v>SM:43738</v>
      </c>
      <c r="W58" s="120" t="str">
        <f t="shared" si="59"/>
        <v>SM:4</v>
      </c>
      <c r="X58" s="250" t="str">
        <f t="array" ref="X58:AI58">VLOOKUP($D58&amp;":"&amp;$C58,tblPayRates,{3,4,5,6,7,8,9,10,11,12,13,14},0)</f>
        <v>SM</v>
      </c>
      <c r="Y58" s="16" t="str">
        <v>MTR</v>
      </c>
      <c r="Z58" s="261" t="str">
        <v>M</v>
      </c>
      <c r="AA58" s="77" t="str">
        <v>Daily</v>
      </c>
      <c r="AB58" s="77">
        <v>500</v>
      </c>
      <c r="AC58" s="77">
        <v>500</v>
      </c>
      <c r="AD58" s="77">
        <v>490</v>
      </c>
      <c r="AE58" s="77">
        <v>0</v>
      </c>
      <c r="AF58" s="261" t="str">
        <v>Q</v>
      </c>
      <c r="AG58" s="261">
        <v>1</v>
      </c>
      <c r="AH58" s="261">
        <v>1</v>
      </c>
      <c r="AI58" s="262">
        <v>0</v>
      </c>
    </row>
    <row r="59" spans="1:35" hidden="1" outlineLevel="1" x14ac:dyDescent="0.25">
      <c r="A59" s="120">
        <f t="shared" si="45"/>
        <v>4</v>
      </c>
      <c r="B59" s="231">
        <v>43738</v>
      </c>
      <c r="C59" s="77" t="s">
        <v>622</v>
      </c>
      <c r="D59" s="238" t="s">
        <v>499</v>
      </c>
      <c r="E59" s="76">
        <f ca="1">SUMIF(payNonMonth,"="&amp;$W59,$E$371:OFFSET($E$371,ROWS(payNonMonth)-1,0))</f>
        <v>18.5</v>
      </c>
      <c r="F59" s="76"/>
      <c r="G59" s="77">
        <f t="shared" ca="1" si="46"/>
        <v>1</v>
      </c>
      <c r="H59" s="76">
        <f t="shared" ca="1" si="47"/>
        <v>12950</v>
      </c>
      <c r="I59" s="76">
        <f t="shared" ca="1" si="48"/>
        <v>453.25000000000006</v>
      </c>
      <c r="J59" s="233">
        <f t="shared" ca="1" si="49"/>
        <v>12302.5</v>
      </c>
      <c r="K59" s="76">
        <f t="shared" ca="1" si="58"/>
        <v>116.87</v>
      </c>
      <c r="L59" s="76">
        <f t="shared" ca="1" si="50"/>
        <v>162.63999999999999</v>
      </c>
      <c r="M59" s="76">
        <f t="shared" ca="1" si="24"/>
        <v>1067.3399999999999</v>
      </c>
      <c r="N59" s="76">
        <f t="shared" ca="1" si="51"/>
        <v>0</v>
      </c>
      <c r="O59" s="76"/>
      <c r="P59" s="76">
        <f t="shared" ca="1" si="52"/>
        <v>10955.65</v>
      </c>
      <c r="Q59" s="76">
        <f t="shared" ca="1" si="53"/>
        <v>3233</v>
      </c>
      <c r="R59" s="76">
        <f t="shared" ca="1" si="54"/>
        <v>7722.65</v>
      </c>
      <c r="S59" s="232">
        <f t="shared" ca="1" si="55"/>
        <v>178.9</v>
      </c>
      <c r="U59" s="120" t="str">
        <f t="shared" si="56"/>
        <v>*:4</v>
      </c>
      <c r="V59" s="120" t="str">
        <f t="shared" si="57"/>
        <v>GEO:43738</v>
      </c>
      <c r="W59" s="120" t="str">
        <f t="shared" si="59"/>
        <v>GEO:4</v>
      </c>
      <c r="X59" s="250" t="str">
        <f t="array" ref="X59:AI59">VLOOKUP($D59&amp;":"&amp;$C59,tblPayRates,{3,4,5,6,7,8,9,10,11,12,13,14},0)</f>
        <v>GEO</v>
      </c>
      <c r="Y59" s="16" t="str">
        <v>Magma</v>
      </c>
      <c r="Z59" s="261" t="str">
        <v>M</v>
      </c>
      <c r="AA59" s="77" t="str">
        <v>Daily</v>
      </c>
      <c r="AB59" s="77">
        <v>700</v>
      </c>
      <c r="AC59" s="77">
        <v>700</v>
      </c>
      <c r="AD59" s="77">
        <v>665</v>
      </c>
      <c r="AE59" s="77">
        <v>0</v>
      </c>
      <c r="AF59" s="261" t="str">
        <v>N</v>
      </c>
      <c r="AG59" s="261">
        <v>2</v>
      </c>
      <c r="AH59" s="261">
        <v>1</v>
      </c>
      <c r="AI59" s="262">
        <v>0</v>
      </c>
    </row>
    <row r="60" spans="1:35" hidden="1" outlineLevel="1" x14ac:dyDescent="0.25">
      <c r="A60" s="120">
        <f t="shared" si="45"/>
        <v>4</v>
      </c>
      <c r="B60" s="231">
        <v>43738</v>
      </c>
      <c r="C60" s="77" t="s">
        <v>657</v>
      </c>
      <c r="D60" s="238" t="s">
        <v>674</v>
      </c>
      <c r="E60" s="76">
        <f ca="1">SUMIF(payNonMonth,"="&amp;$W60,$E$371:OFFSET($E$371,ROWS(payNonMonth)-1,0))</f>
        <v>20</v>
      </c>
      <c r="F60" s="76"/>
      <c r="G60" s="77">
        <f t="shared" ca="1" si="46"/>
        <v>1</v>
      </c>
      <c r="H60" s="76">
        <f t="shared" ca="1" si="47"/>
        <v>12460</v>
      </c>
      <c r="I60" s="76">
        <f t="shared" ca="1" si="48"/>
        <v>623</v>
      </c>
      <c r="J60" s="233">
        <f t="shared" ca="1" si="49"/>
        <v>10484.200000000001</v>
      </c>
      <c r="K60" s="76">
        <f t="shared" ca="1" si="58"/>
        <v>99.6</v>
      </c>
      <c r="L60" s="76">
        <f t="shared" ca="1" si="50"/>
        <v>160.82</v>
      </c>
      <c r="M60" s="76">
        <f t="shared" ca="1" si="24"/>
        <v>909.59</v>
      </c>
      <c r="N60" s="76">
        <f t="shared" ca="1" si="51"/>
        <v>0</v>
      </c>
      <c r="O60" s="76"/>
      <c r="P60" s="76">
        <f t="shared" ca="1" si="52"/>
        <v>9314.19</v>
      </c>
      <c r="Q60" s="76">
        <f t="shared" ca="1" si="53"/>
        <v>2596</v>
      </c>
      <c r="R60" s="76">
        <f t="shared" ca="1" si="54"/>
        <v>6718.1900000000005</v>
      </c>
      <c r="S60" s="232">
        <f t="shared" ca="1" si="55"/>
        <v>176.9</v>
      </c>
      <c r="U60" s="120" t="str">
        <f t="shared" si="56"/>
        <v>*:4</v>
      </c>
      <c r="V60" s="120" t="str">
        <f t="shared" si="57"/>
        <v>VAK:43738</v>
      </c>
      <c r="W60" s="120" t="str">
        <f t="shared" si="59"/>
        <v>VAK:4</v>
      </c>
      <c r="X60" s="250" t="str">
        <f t="array" ref="X60:AI60">VLOOKUP($D60&amp;":"&amp;$C60,tblPayRates,{3,4,5,6,7,8,9,10,11,12,13,14},0)</f>
        <v>VAK</v>
      </c>
      <c r="Y60" s="16" t="str">
        <v>Paxus</v>
      </c>
      <c r="Z60" s="261" t="str">
        <v>M</v>
      </c>
      <c r="AA60" s="77" t="str">
        <v>Daily</v>
      </c>
      <c r="AB60" s="77">
        <v>623</v>
      </c>
      <c r="AC60" s="77">
        <v>623</v>
      </c>
      <c r="AD60" s="77">
        <v>524.21</v>
      </c>
      <c r="AE60" s="77">
        <v>0</v>
      </c>
      <c r="AF60" s="261" t="str">
        <v>Q</v>
      </c>
      <c r="AG60" s="261">
        <v>1</v>
      </c>
      <c r="AH60" s="261">
        <v>1</v>
      </c>
      <c r="AI60" s="262">
        <v>0</v>
      </c>
    </row>
    <row r="61" spans="1:35" hidden="1" outlineLevel="1" x14ac:dyDescent="0.25">
      <c r="A61" s="120">
        <f t="shared" si="45"/>
        <v>4</v>
      </c>
      <c r="B61" s="231">
        <v>43738</v>
      </c>
      <c r="C61" s="77" t="s">
        <v>658</v>
      </c>
      <c r="D61" s="238" t="s">
        <v>673</v>
      </c>
      <c r="E61" s="76">
        <f ca="1">SUMIF(payNonMonth,"="&amp;$W61,$E$371:OFFSET($E$371,ROWS(payNonMonth)-1,0))</f>
        <v>20</v>
      </c>
      <c r="F61" s="76"/>
      <c r="G61" s="77">
        <f t="shared" ca="1" si="46"/>
        <v>1</v>
      </c>
      <c r="H61" s="76">
        <f t="shared" ca="1" si="47"/>
        <v>5340</v>
      </c>
      <c r="I61" s="76">
        <f t="shared" ca="1" si="48"/>
        <v>267</v>
      </c>
      <c r="J61" s="233">
        <f t="shared" ca="1" si="49"/>
        <v>6425.8</v>
      </c>
      <c r="K61" s="76">
        <f t="shared" ca="1" si="58"/>
        <v>61.05</v>
      </c>
      <c r="L61" s="76">
        <f t="shared" ca="1" si="50"/>
        <v>341.04</v>
      </c>
      <c r="M61" s="76">
        <f t="shared" ca="1" si="24"/>
        <v>557.49</v>
      </c>
      <c r="N61" s="76">
        <f t="shared" ca="1" si="51"/>
        <v>0</v>
      </c>
      <c r="O61" s="76"/>
      <c r="P61" s="76">
        <f t="shared" ca="1" si="52"/>
        <v>5466.22</v>
      </c>
      <c r="Q61" s="76">
        <f t="shared" ca="1" si="53"/>
        <v>1183</v>
      </c>
      <c r="R61" s="76">
        <f t="shared" ca="1" si="54"/>
        <v>4283.22</v>
      </c>
      <c r="S61" s="232">
        <f t="shared" ca="1" si="55"/>
        <v>375.14000000000004</v>
      </c>
      <c r="U61" s="120" t="str">
        <f t="shared" si="56"/>
        <v>*:4</v>
      </c>
      <c r="V61" s="120" t="str">
        <f t="shared" si="57"/>
        <v>ASW:43738</v>
      </c>
      <c r="W61" s="120" t="str">
        <f t="shared" si="59"/>
        <v>ASW:4</v>
      </c>
      <c r="X61" s="250" t="str">
        <f t="array" ref="X61:AI61">VLOOKUP($D61&amp;":"&amp;$C61,tblPayRates,{3,4,5,6,7,8,9,10,11,12,13,14},0)</f>
        <v>ASW</v>
      </c>
      <c r="Y61" s="16" t="str">
        <v>Paxus</v>
      </c>
      <c r="Z61" s="261" t="str">
        <v>M</v>
      </c>
      <c r="AA61" s="77" t="str">
        <v>Daily</v>
      </c>
      <c r="AB61" s="77">
        <v>267</v>
      </c>
      <c r="AC61" s="77">
        <v>267</v>
      </c>
      <c r="AD61" s="77">
        <v>321.29000000000002</v>
      </c>
      <c r="AE61" s="77">
        <v>0</v>
      </c>
      <c r="AF61" s="261" t="str">
        <v>Q</v>
      </c>
      <c r="AG61" s="261">
        <v>1</v>
      </c>
      <c r="AH61" s="261">
        <v>1</v>
      </c>
      <c r="AI61" s="262">
        <v>0</v>
      </c>
    </row>
    <row r="62" spans="1:35" hidden="1" outlineLevel="1" x14ac:dyDescent="0.25">
      <c r="A62" s="120">
        <f>GETPAYMONTH(B62)</f>
        <v>4</v>
      </c>
      <c r="B62" s="231">
        <v>43751</v>
      </c>
      <c r="C62" s="77" t="s">
        <v>669</v>
      </c>
      <c r="D62" s="238" t="s">
        <v>668</v>
      </c>
      <c r="E62" s="76">
        <f ca="1">SUMIF(payNonMonth,"="&amp;$W62,$E$371:OFFSET($E$371,ROWS(payNonMonth)-1,0))</f>
        <v>0</v>
      </c>
      <c r="F62" s="76"/>
      <c r="G62" s="77">
        <f ca="1">IF(AND($E62=0,$F62=0),0,1)</f>
        <v>0</v>
      </c>
      <c r="H62" s="76">
        <f ca="1">ROUND(SUM(E62:F62)*AB62,2)</f>
        <v>0</v>
      </c>
      <c r="I62" s="76">
        <f ca="1">H62*OFFSET(payMgmtRate,0,$AG62)</f>
        <v>0</v>
      </c>
      <c r="J62" s="233">
        <f t="shared" ca="1" si="49"/>
        <v>0</v>
      </c>
      <c r="K62" s="76">
        <f ca="1">ROUND(J62*InsureRate2,2)</f>
        <v>0</v>
      </c>
      <c r="L62" s="76">
        <f t="shared" ca="1" si="50"/>
        <v>0</v>
      </c>
      <c r="M62" s="76">
        <f ca="1">GETSUPER(J62)</f>
        <v>0</v>
      </c>
      <c r="N62" s="76">
        <f t="shared" ca="1" si="51"/>
        <v>0</v>
      </c>
      <c r="O62" s="76"/>
      <c r="P62" s="76">
        <f ca="1">J62-SUM(K62:O62)</f>
        <v>0</v>
      </c>
      <c r="Q62" s="76">
        <f ca="1">GETTAX(P62,Z62)</f>
        <v>0</v>
      </c>
      <c r="R62" s="76">
        <f ca="1">P62-Q62</f>
        <v>0</v>
      </c>
      <c r="S62" s="232">
        <f t="shared" ca="1" si="55"/>
        <v>0</v>
      </c>
      <c r="U62" s="120" t="str">
        <f>IF(EmpID="*","*",C62) &amp;":"&amp; $A62</f>
        <v>*:4</v>
      </c>
      <c r="V62" s="120" t="str">
        <f>$C62 &amp;":"&amp; $B62</f>
        <v>DP:43751</v>
      </c>
      <c r="W62" s="120" t="str">
        <f>C62 &amp;":"&amp; B62</f>
        <v>DP:43751</v>
      </c>
      <c r="X62" s="250" t="str">
        <f t="array" ref="X62:AI62">VLOOKUP($D62&amp;":"&amp;$C62,tblPayRates,{3,4,5,6,7,8,9,10,11,12,13,14},0)</f>
        <v>DP</v>
      </c>
      <c r="Y62" s="16" t="str">
        <v>MTR</v>
      </c>
      <c r="Z62" s="261" t="str">
        <v>F</v>
      </c>
      <c r="AA62" s="77" t="str">
        <v>Daily</v>
      </c>
      <c r="AB62" s="77">
        <v>450</v>
      </c>
      <c r="AC62" s="77">
        <v>450</v>
      </c>
      <c r="AD62" s="77">
        <v>427.5</v>
      </c>
      <c r="AE62" s="77">
        <v>0</v>
      </c>
      <c r="AF62" s="261" t="str">
        <v>Q</v>
      </c>
      <c r="AG62" s="261">
        <v>1</v>
      </c>
      <c r="AH62" s="261">
        <v>1</v>
      </c>
      <c r="AI62" s="262">
        <v>0</v>
      </c>
    </row>
    <row r="63" spans="1:35" hidden="1" outlineLevel="1" x14ac:dyDescent="0.25">
      <c r="A63" s="120">
        <f>GETPAYMONTH(B63)</f>
        <v>4</v>
      </c>
      <c r="B63" s="231">
        <v>43751</v>
      </c>
      <c r="C63" s="77" t="s">
        <v>678</v>
      </c>
      <c r="D63" s="238" t="s">
        <v>668</v>
      </c>
      <c r="E63" s="76">
        <f ca="1">SUMIF(payNonMonth,"="&amp;$W63,$E$371:OFFSET($E$371,ROWS(payNonMonth)-1,0))</f>
        <v>0</v>
      </c>
      <c r="F63" s="76"/>
      <c r="G63" s="77">
        <f ca="1">IF(AND($E63=0,$F63=0),0,1)</f>
        <v>0</v>
      </c>
      <c r="H63" s="76">
        <f ca="1">ROUND(SUM(E63:F63)*AB63,2)</f>
        <v>0</v>
      </c>
      <c r="I63" s="76">
        <f ca="1">H63*OFFSET(payMgmtRate,0,$AG63)</f>
        <v>0</v>
      </c>
      <c r="J63" s="233">
        <f t="shared" ca="1" si="49"/>
        <v>0</v>
      </c>
      <c r="K63" s="76">
        <f ca="1">ROUND(J63*InsureRate2,2)</f>
        <v>0</v>
      </c>
      <c r="L63" s="76">
        <f t="shared" ca="1" si="50"/>
        <v>0</v>
      </c>
      <c r="M63" s="76">
        <f ca="1">GETSUPER(J63)</f>
        <v>0</v>
      </c>
      <c r="N63" s="76">
        <f t="shared" ca="1" si="51"/>
        <v>0</v>
      </c>
      <c r="O63" s="76"/>
      <c r="P63" s="76">
        <f ca="1">J63-SUM(K63:O63)</f>
        <v>0</v>
      </c>
      <c r="Q63" s="76">
        <f ca="1">GETTAX(P63,Z63)</f>
        <v>0</v>
      </c>
      <c r="R63" s="76">
        <f ca="1">P63-Q63</f>
        <v>0</v>
      </c>
      <c r="S63" s="232">
        <f t="shared" ca="1" si="55"/>
        <v>0</v>
      </c>
      <c r="U63" s="120" t="str">
        <f>IF(EmpID="*","*",C63) &amp;":"&amp; $A63</f>
        <v>*:4</v>
      </c>
      <c r="V63" s="120" t="str">
        <f>$C63 &amp;":"&amp; $B63</f>
        <v>ANK:43751</v>
      </c>
      <c r="W63" s="120" t="str">
        <f>C63 &amp;":"&amp; B63</f>
        <v>ANK:43751</v>
      </c>
      <c r="X63" s="250" t="str">
        <f t="array" ref="X63:AI63">VLOOKUP($D63&amp;":"&amp;$C63,tblPayRates,{3,4,5,6,7,8,9,10,11,12,13,14},0)</f>
        <v>ANK</v>
      </c>
      <c r="Y63" s="16" t="str">
        <v>MTR</v>
      </c>
      <c r="Z63" s="261" t="str">
        <v>F</v>
      </c>
      <c r="AA63" s="77" t="str">
        <v>Daily</v>
      </c>
      <c r="AB63" s="77">
        <v>450</v>
      </c>
      <c r="AC63" s="77">
        <v>450</v>
      </c>
      <c r="AD63" s="77">
        <v>427.5</v>
      </c>
      <c r="AE63" s="77">
        <v>0</v>
      </c>
      <c r="AF63" s="261" t="str">
        <v>Q</v>
      </c>
      <c r="AG63" s="261">
        <v>1</v>
      </c>
      <c r="AH63" s="261">
        <v>1</v>
      </c>
      <c r="AI63" s="262">
        <v>0</v>
      </c>
    </row>
    <row r="64" spans="1:35" hidden="1" outlineLevel="1" x14ac:dyDescent="0.25">
      <c r="A64" s="120">
        <f t="shared" si="45"/>
        <v>0</v>
      </c>
      <c r="B64" s="231"/>
      <c r="C64" s="77"/>
      <c r="D64" s="238"/>
      <c r="E64" s="76">
        <f ca="1">SUMIF(payNonMonth,"="&amp;$W64,$E$371:OFFSET($E$371,ROWS(payNonMonth)-1,0))</f>
        <v>0</v>
      </c>
      <c r="F64" s="76"/>
      <c r="G64" s="77">
        <f t="shared" ca="1" si="46"/>
        <v>0</v>
      </c>
      <c r="H64" s="76">
        <f t="shared" ca="1" si="47"/>
        <v>0</v>
      </c>
      <c r="I64" s="76">
        <f t="shared" ca="1" si="48"/>
        <v>0</v>
      </c>
      <c r="J64" s="233">
        <f t="shared" ca="1" si="49"/>
        <v>0</v>
      </c>
      <c r="K64" s="76">
        <f t="shared" ca="1" si="58"/>
        <v>0</v>
      </c>
      <c r="L64" s="76">
        <f t="shared" ca="1" si="50"/>
        <v>0</v>
      </c>
      <c r="M64" s="76">
        <f t="shared" ca="1" si="24"/>
        <v>0</v>
      </c>
      <c r="N64" s="76">
        <f t="shared" ca="1" si="51"/>
        <v>0</v>
      </c>
      <c r="O64" s="76"/>
      <c r="P64" s="76">
        <f t="shared" ca="1" si="52"/>
        <v>0</v>
      </c>
      <c r="Q64" s="76">
        <f t="shared" ca="1" si="53"/>
        <v>0</v>
      </c>
      <c r="R64" s="76">
        <f t="shared" ca="1" si="54"/>
        <v>0</v>
      </c>
      <c r="S64" s="232">
        <f t="shared" ca="1" si="55"/>
        <v>0</v>
      </c>
      <c r="U64" s="120" t="str">
        <f t="shared" si="56"/>
        <v>*:0</v>
      </c>
      <c r="V64" s="120" t="str">
        <f t="shared" si="57"/>
        <v>:</v>
      </c>
      <c r="W64" s="120" t="str">
        <f>C64 &amp;":"&amp; A64</f>
        <v>:0</v>
      </c>
      <c r="X64" s="250">
        <f t="array" aca="1" ref="X64:AI64" ca="1">VLOOKUP($D64&amp;":"&amp;$C64,tblPayRates,{3,4,5,6,7,8,9,10,11,12,13,14},0)</f>
        <v>0</v>
      </c>
      <c r="Y64" s="16" t="str">
        <f ca="1"/>
        <v>Nobody</v>
      </c>
      <c r="Z64" s="261" t="str">
        <f ca="1"/>
        <v>M</v>
      </c>
      <c r="AA64" s="77" t="str">
        <f ca="1"/>
        <v>Daily</v>
      </c>
      <c r="AB64" s="77">
        <f ca="1"/>
        <v>0</v>
      </c>
      <c r="AC64" s="77">
        <f ca="1"/>
        <v>0</v>
      </c>
      <c r="AD64" s="77">
        <f ca="1"/>
        <v>0</v>
      </c>
      <c r="AE64" s="77">
        <f ca="1"/>
        <v>0</v>
      </c>
      <c r="AF64" s="261" t="str">
        <f ca="1"/>
        <v>N</v>
      </c>
      <c r="AG64" s="261">
        <f ca="1"/>
        <v>1</v>
      </c>
      <c r="AH64" s="261">
        <f ca="1"/>
        <v>1</v>
      </c>
      <c r="AI64" s="262">
        <f ca="1"/>
        <v>0</v>
      </c>
    </row>
    <row r="65" spans="1:35" hidden="1" outlineLevel="1" x14ac:dyDescent="0.25">
      <c r="A65" s="120">
        <f t="shared" si="45"/>
        <v>0</v>
      </c>
      <c r="B65" s="231"/>
      <c r="C65" s="77"/>
      <c r="D65" s="238"/>
      <c r="E65" s="76">
        <f ca="1">SUMIF(payNonMonth,"="&amp;$W65,$E$371:OFFSET($E$371,ROWS(payNonMonth)-1,0))</f>
        <v>0</v>
      </c>
      <c r="F65" s="76"/>
      <c r="G65" s="77">
        <f t="shared" ca="1" si="46"/>
        <v>0</v>
      </c>
      <c r="H65" s="76">
        <f t="shared" ca="1" si="47"/>
        <v>0</v>
      </c>
      <c r="I65" s="76">
        <f t="shared" ca="1" si="48"/>
        <v>0</v>
      </c>
      <c r="J65" s="233">
        <f t="shared" ca="1" si="49"/>
        <v>0</v>
      </c>
      <c r="K65" s="76">
        <f t="shared" ca="1" si="58"/>
        <v>0</v>
      </c>
      <c r="L65" s="76">
        <f t="shared" ca="1" si="50"/>
        <v>0</v>
      </c>
      <c r="M65" s="76">
        <f t="shared" ca="1" si="24"/>
        <v>0</v>
      </c>
      <c r="N65" s="76">
        <f t="shared" ca="1" si="51"/>
        <v>0</v>
      </c>
      <c r="O65" s="76"/>
      <c r="P65" s="76">
        <f t="shared" ca="1" si="52"/>
        <v>0</v>
      </c>
      <c r="Q65" s="76">
        <f t="shared" ca="1" si="53"/>
        <v>0</v>
      </c>
      <c r="R65" s="76">
        <f t="shared" ca="1" si="54"/>
        <v>0</v>
      </c>
      <c r="S65" s="232">
        <f t="shared" ca="1" si="55"/>
        <v>0</v>
      </c>
      <c r="U65" s="120" t="str">
        <f t="shared" si="56"/>
        <v>*:0</v>
      </c>
      <c r="V65" s="120" t="str">
        <f t="shared" si="57"/>
        <v>:</v>
      </c>
      <c r="W65" s="120" t="str">
        <f>C65 &amp;":"&amp; A65</f>
        <v>:0</v>
      </c>
      <c r="X65" s="250">
        <f t="array" aca="1" ref="X65:AI65" ca="1">VLOOKUP($D65&amp;":"&amp;$C65,tblPayRates,{3,4,5,6,7,8,9,10,11,12,13,14},0)</f>
        <v>0</v>
      </c>
      <c r="Y65" s="16" t="str">
        <f ca="1"/>
        <v>Nobody</v>
      </c>
      <c r="Z65" s="261" t="str">
        <f ca="1"/>
        <v>M</v>
      </c>
      <c r="AA65" s="77" t="str">
        <f ca="1"/>
        <v>Daily</v>
      </c>
      <c r="AB65" s="77">
        <f ca="1"/>
        <v>0</v>
      </c>
      <c r="AC65" s="77">
        <f ca="1"/>
        <v>0</v>
      </c>
      <c r="AD65" s="77">
        <f ca="1"/>
        <v>0</v>
      </c>
      <c r="AE65" s="77">
        <f ca="1"/>
        <v>0</v>
      </c>
      <c r="AF65" s="261" t="str">
        <f ca="1"/>
        <v>N</v>
      </c>
      <c r="AG65" s="261">
        <f ca="1"/>
        <v>1</v>
      </c>
      <c r="AH65" s="261">
        <f ca="1"/>
        <v>1</v>
      </c>
      <c r="AI65" s="262">
        <f ca="1"/>
        <v>0</v>
      </c>
    </row>
    <row r="66" spans="1:35" hidden="1" outlineLevel="1" x14ac:dyDescent="0.25">
      <c r="A66" s="120">
        <f t="shared" si="45"/>
        <v>0</v>
      </c>
      <c r="B66" s="231"/>
      <c r="C66" s="77"/>
      <c r="D66" s="238"/>
      <c r="E66" s="76">
        <f ca="1">SUMIF(payNonMonth,"="&amp;$W66,$E$371:OFFSET($E$371,ROWS(payNonMonth)-1,0))</f>
        <v>0</v>
      </c>
      <c r="F66" s="76"/>
      <c r="G66" s="77">
        <f t="shared" ca="1" si="46"/>
        <v>0</v>
      </c>
      <c r="H66" s="76">
        <f t="shared" ca="1" si="47"/>
        <v>0</v>
      </c>
      <c r="I66" s="76">
        <f t="shared" ca="1" si="48"/>
        <v>0</v>
      </c>
      <c r="J66" s="233">
        <f t="shared" ca="1" si="49"/>
        <v>0</v>
      </c>
      <c r="K66" s="76">
        <f t="shared" ca="1" si="58"/>
        <v>0</v>
      </c>
      <c r="L66" s="76">
        <f t="shared" ca="1" si="50"/>
        <v>0</v>
      </c>
      <c r="M66" s="76">
        <f t="shared" ca="1" si="24"/>
        <v>0</v>
      </c>
      <c r="N66" s="76">
        <f t="shared" ca="1" si="51"/>
        <v>0</v>
      </c>
      <c r="O66" s="76"/>
      <c r="P66" s="76">
        <f t="shared" ca="1" si="52"/>
        <v>0</v>
      </c>
      <c r="Q66" s="76">
        <f t="shared" ca="1" si="53"/>
        <v>0</v>
      </c>
      <c r="R66" s="76">
        <f t="shared" ca="1" si="54"/>
        <v>0</v>
      </c>
      <c r="S66" s="232">
        <f t="shared" ca="1" si="55"/>
        <v>0</v>
      </c>
      <c r="U66" s="120" t="str">
        <f t="shared" si="56"/>
        <v>*:0</v>
      </c>
      <c r="V66" s="120" t="str">
        <f t="shared" si="57"/>
        <v>:</v>
      </c>
      <c r="W66" s="120" t="str">
        <f>C66 &amp;":"&amp; A66</f>
        <v>:0</v>
      </c>
      <c r="X66" s="250">
        <f t="array" aca="1" ref="X66:AI66" ca="1">VLOOKUP($D66&amp;":"&amp;$C66,tblPayRates,{3,4,5,6,7,8,9,10,11,12,13,14},0)</f>
        <v>0</v>
      </c>
      <c r="Y66" s="16" t="str">
        <f ca="1"/>
        <v>Nobody</v>
      </c>
      <c r="Z66" s="261" t="str">
        <f ca="1"/>
        <v>M</v>
      </c>
      <c r="AA66" s="77" t="str">
        <f ca="1"/>
        <v>Daily</v>
      </c>
      <c r="AB66" s="77">
        <f ca="1"/>
        <v>0</v>
      </c>
      <c r="AC66" s="77">
        <f ca="1"/>
        <v>0</v>
      </c>
      <c r="AD66" s="77">
        <f ca="1"/>
        <v>0</v>
      </c>
      <c r="AE66" s="77">
        <f ca="1"/>
        <v>0</v>
      </c>
      <c r="AF66" s="261" t="str">
        <f ca="1"/>
        <v>N</v>
      </c>
      <c r="AG66" s="261">
        <f ca="1"/>
        <v>1</v>
      </c>
      <c r="AH66" s="261">
        <f ca="1"/>
        <v>1</v>
      </c>
      <c r="AI66" s="262">
        <f ca="1"/>
        <v>0</v>
      </c>
    </row>
    <row r="67" spans="1:35" hidden="1" outlineLevel="1" x14ac:dyDescent="0.25">
      <c r="A67" s="120">
        <f t="shared" si="45"/>
        <v>0</v>
      </c>
      <c r="B67" s="231"/>
      <c r="C67" s="77"/>
      <c r="D67" s="238"/>
      <c r="E67" s="76">
        <f ca="1">SUMIF(payNonMonth,"="&amp;$W67,$E$371:OFFSET($E$371,ROWS(payNonMonth)-1,0))</f>
        <v>0</v>
      </c>
      <c r="F67" s="76"/>
      <c r="G67" s="77">
        <f ca="1">IF(AND($E67=0,$F67=0),0,1)</f>
        <v>0</v>
      </c>
      <c r="H67" s="76">
        <f t="shared" ca="1" si="47"/>
        <v>0</v>
      </c>
      <c r="I67" s="76">
        <f t="shared" ca="1" si="48"/>
        <v>0</v>
      </c>
      <c r="J67" s="233">
        <f t="shared" ca="1" si="49"/>
        <v>0</v>
      </c>
      <c r="K67" s="76">
        <f t="shared" ca="1" si="58"/>
        <v>0</v>
      </c>
      <c r="L67" s="76">
        <f t="shared" ca="1" si="50"/>
        <v>0</v>
      </c>
      <c r="M67" s="76">
        <f t="shared" ca="1" si="24"/>
        <v>0</v>
      </c>
      <c r="N67" s="76">
        <f t="shared" ca="1" si="51"/>
        <v>0</v>
      </c>
      <c r="O67" s="76"/>
      <c r="P67" s="76">
        <f t="shared" ca="1" si="52"/>
        <v>0</v>
      </c>
      <c r="Q67" s="76">
        <f ca="1">GETTAX(P67,Z67)</f>
        <v>0</v>
      </c>
      <c r="R67" s="76">
        <f ca="1">P67-Q67</f>
        <v>0</v>
      </c>
      <c r="S67" s="232">
        <f t="shared" ca="1" si="55"/>
        <v>0</v>
      </c>
      <c r="U67" s="120" t="str">
        <f t="shared" si="56"/>
        <v>*:0</v>
      </c>
      <c r="V67" s="120" t="str">
        <f>$C67 &amp;":"&amp; $B67</f>
        <v>:</v>
      </c>
      <c r="W67" s="120" t="str">
        <f t="shared" ref="W67:W72" si="60">C67 &amp;":"&amp; B67</f>
        <v>:</v>
      </c>
      <c r="X67" s="250">
        <f t="array" aca="1" ref="X67:AI67" ca="1">VLOOKUP($D67&amp;":"&amp;$C67,tblPayRates,{3,4,5,6,7,8,9,10,11,12,13,14},0)</f>
        <v>0</v>
      </c>
      <c r="Y67" s="16" t="str">
        <f ca="1"/>
        <v>Nobody</v>
      </c>
      <c r="Z67" s="261" t="str">
        <f ca="1"/>
        <v>M</v>
      </c>
      <c r="AA67" s="77" t="str">
        <f ca="1"/>
        <v>Daily</v>
      </c>
      <c r="AB67" s="77">
        <f ca="1"/>
        <v>0</v>
      </c>
      <c r="AC67" s="77">
        <f ca="1"/>
        <v>0</v>
      </c>
      <c r="AD67" s="77">
        <f ca="1"/>
        <v>0</v>
      </c>
      <c r="AE67" s="77">
        <f ca="1"/>
        <v>0</v>
      </c>
      <c r="AF67" s="261" t="str">
        <f ca="1"/>
        <v>N</v>
      </c>
      <c r="AG67" s="261">
        <f ca="1"/>
        <v>1</v>
      </c>
      <c r="AH67" s="261">
        <f ca="1"/>
        <v>1</v>
      </c>
      <c r="AI67" s="262">
        <f ca="1"/>
        <v>0</v>
      </c>
    </row>
    <row r="68" spans="1:35" hidden="1" outlineLevel="1" x14ac:dyDescent="0.25">
      <c r="A68" s="120">
        <f t="shared" si="45"/>
        <v>0</v>
      </c>
      <c r="B68" s="231"/>
      <c r="C68" s="77"/>
      <c r="D68" s="238"/>
      <c r="E68" s="76">
        <f ca="1">SUMIF(payNonMonth,"="&amp;$W68,$E$371:OFFSET($E$371,ROWS(payNonMonth)-1,0))</f>
        <v>0</v>
      </c>
      <c r="F68" s="76"/>
      <c r="G68" s="77">
        <f ca="1">IF(AND($E68=0,$F68=0),0,1)</f>
        <v>0</v>
      </c>
      <c r="H68" s="76">
        <f t="shared" ca="1" si="47"/>
        <v>0</v>
      </c>
      <c r="I68" s="76">
        <f t="shared" ca="1" si="48"/>
        <v>0</v>
      </c>
      <c r="J68" s="233">
        <f t="shared" ca="1" si="49"/>
        <v>0</v>
      </c>
      <c r="K68" s="76">
        <f t="shared" ca="1" si="58"/>
        <v>0</v>
      </c>
      <c r="L68" s="76">
        <f t="shared" ca="1" si="50"/>
        <v>0</v>
      </c>
      <c r="M68" s="76">
        <f t="shared" ca="1" si="24"/>
        <v>0</v>
      </c>
      <c r="N68" s="76">
        <f t="shared" ca="1" si="51"/>
        <v>0</v>
      </c>
      <c r="O68" s="76"/>
      <c r="P68" s="76">
        <f t="shared" ca="1" si="52"/>
        <v>0</v>
      </c>
      <c r="Q68" s="76">
        <f ca="1">GETTAX(P68,Z68)</f>
        <v>0</v>
      </c>
      <c r="R68" s="76">
        <f ca="1">P68-Q68</f>
        <v>0</v>
      </c>
      <c r="S68" s="232">
        <f t="shared" ca="1" si="55"/>
        <v>0</v>
      </c>
      <c r="U68" s="120" t="str">
        <f t="shared" si="56"/>
        <v>*:0</v>
      </c>
      <c r="V68" s="120" t="str">
        <f>$C68 &amp;":"&amp; $B68</f>
        <v>:</v>
      </c>
      <c r="W68" s="120" t="str">
        <f t="shared" si="60"/>
        <v>:</v>
      </c>
      <c r="X68" s="250">
        <f t="array" aca="1" ref="X68:AI68" ca="1">VLOOKUP($D68&amp;":"&amp;$C68,tblPayRates,{3,4,5,6,7,8,9,10,11,12,13,14},0)</f>
        <v>0</v>
      </c>
      <c r="Y68" s="16" t="str">
        <f ca="1"/>
        <v>Nobody</v>
      </c>
      <c r="Z68" s="261" t="str">
        <f ca="1"/>
        <v>M</v>
      </c>
      <c r="AA68" s="77" t="str">
        <f ca="1"/>
        <v>Daily</v>
      </c>
      <c r="AB68" s="77">
        <f ca="1"/>
        <v>0</v>
      </c>
      <c r="AC68" s="77">
        <f ca="1"/>
        <v>0</v>
      </c>
      <c r="AD68" s="77">
        <f ca="1"/>
        <v>0</v>
      </c>
      <c r="AE68" s="77">
        <f ca="1"/>
        <v>0</v>
      </c>
      <c r="AF68" s="261" t="str">
        <f ca="1"/>
        <v>N</v>
      </c>
      <c r="AG68" s="261">
        <f ca="1"/>
        <v>1</v>
      </c>
      <c r="AH68" s="261">
        <f ca="1"/>
        <v>1</v>
      </c>
      <c r="AI68" s="262">
        <f ca="1"/>
        <v>0</v>
      </c>
    </row>
    <row r="69" spans="1:35" hidden="1" outlineLevel="1" x14ac:dyDescent="0.25">
      <c r="A69" s="120">
        <f t="shared" si="45"/>
        <v>0</v>
      </c>
      <c r="B69" s="231"/>
      <c r="C69" s="77"/>
      <c r="D69" s="238"/>
      <c r="E69" s="76">
        <f ca="1">SUMIF(payNonMonth,"="&amp;$W69,$E$371:OFFSET($E$371,ROWS(payNonMonth)-1,0))</f>
        <v>0</v>
      </c>
      <c r="F69" s="76"/>
      <c r="G69" s="77">
        <f t="shared" ref="G69:G79" ca="1" si="61">IF(AND($E69=0,$F69=0),0,1)</f>
        <v>0</v>
      </c>
      <c r="H69" s="76">
        <f t="shared" ca="1" si="47"/>
        <v>0</v>
      </c>
      <c r="I69" s="76">
        <f t="shared" ca="1" si="48"/>
        <v>0</v>
      </c>
      <c r="J69" s="233">
        <f t="shared" ca="1" si="49"/>
        <v>0</v>
      </c>
      <c r="K69" s="76">
        <f t="shared" ca="1" si="58"/>
        <v>0</v>
      </c>
      <c r="L69" s="76">
        <f t="shared" ca="1" si="50"/>
        <v>0</v>
      </c>
      <c r="M69" s="76">
        <f t="shared" ca="1" si="24"/>
        <v>0</v>
      </c>
      <c r="N69" s="76">
        <f t="shared" ca="1" si="51"/>
        <v>0</v>
      </c>
      <c r="O69" s="76"/>
      <c r="P69" s="76">
        <f t="shared" ca="1" si="52"/>
        <v>0</v>
      </c>
      <c r="Q69" s="76"/>
      <c r="R69" s="76">
        <f ca="1">P69-Q69</f>
        <v>0</v>
      </c>
      <c r="S69" s="232">
        <f t="shared" ca="1" si="55"/>
        <v>0</v>
      </c>
      <c r="U69" s="120" t="str">
        <f t="shared" si="56"/>
        <v>*:0</v>
      </c>
      <c r="V69" s="120" t="str">
        <f t="shared" ref="V69:V79" si="62">$C69 &amp;":"&amp; $B69</f>
        <v>:</v>
      </c>
      <c r="W69" s="120" t="str">
        <f t="shared" si="60"/>
        <v>:</v>
      </c>
      <c r="X69" s="250">
        <f t="array" aca="1" ref="X69:AI69" ca="1">VLOOKUP($D69&amp;":"&amp;$C69,tblPayRates,{3,4,5,6,7,8,9,10,11,12,13,14},0)</f>
        <v>0</v>
      </c>
      <c r="Y69" s="16" t="str">
        <f ca="1"/>
        <v>Nobody</v>
      </c>
      <c r="Z69" s="261" t="str">
        <f ca="1"/>
        <v>M</v>
      </c>
      <c r="AA69" s="77" t="str">
        <f ca="1"/>
        <v>Daily</v>
      </c>
      <c r="AB69" s="77">
        <f ca="1"/>
        <v>0</v>
      </c>
      <c r="AC69" s="77">
        <f ca="1"/>
        <v>0</v>
      </c>
      <c r="AD69" s="77">
        <f ca="1"/>
        <v>0</v>
      </c>
      <c r="AE69" s="77">
        <f ca="1"/>
        <v>0</v>
      </c>
      <c r="AF69" s="261" t="str">
        <f ca="1"/>
        <v>N</v>
      </c>
      <c r="AG69" s="261">
        <f ca="1"/>
        <v>1</v>
      </c>
      <c r="AH69" s="261">
        <f ca="1"/>
        <v>1</v>
      </c>
      <c r="AI69" s="262">
        <f ca="1"/>
        <v>0</v>
      </c>
    </row>
    <row r="70" spans="1:35" hidden="1" outlineLevel="1" x14ac:dyDescent="0.25">
      <c r="A70" s="120">
        <f t="shared" si="45"/>
        <v>0</v>
      </c>
      <c r="B70" s="231"/>
      <c r="C70" s="77"/>
      <c r="D70" s="238"/>
      <c r="E70" s="76">
        <f ca="1">SUMIF(payNonMonth,"="&amp;$W70,$E$371:OFFSET($E$371,ROWS(payNonMonth)-1,0))</f>
        <v>0</v>
      </c>
      <c r="F70" s="76"/>
      <c r="G70" s="77">
        <f t="shared" ca="1" si="61"/>
        <v>0</v>
      </c>
      <c r="H70" s="76">
        <f t="shared" ca="1" si="47"/>
        <v>0</v>
      </c>
      <c r="I70" s="76">
        <f t="shared" ca="1" si="48"/>
        <v>0</v>
      </c>
      <c r="J70" s="233">
        <f t="shared" ca="1" si="49"/>
        <v>0</v>
      </c>
      <c r="K70" s="76">
        <f t="shared" ca="1" si="58"/>
        <v>0</v>
      </c>
      <c r="L70" s="76">
        <f t="shared" ca="1" si="50"/>
        <v>0</v>
      </c>
      <c r="M70" s="76">
        <f t="shared" ca="1" si="24"/>
        <v>0</v>
      </c>
      <c r="N70" s="76">
        <f t="shared" ca="1" si="51"/>
        <v>0</v>
      </c>
      <c r="O70" s="76"/>
      <c r="P70" s="76">
        <f t="shared" ca="1" si="52"/>
        <v>0</v>
      </c>
      <c r="Q70" s="76">
        <f ca="1">GETTAX(SUM(P69:P70),Z70)</f>
        <v>0</v>
      </c>
      <c r="R70" s="76">
        <f t="shared" ref="R70" ca="1" si="63">P70-Q70</f>
        <v>0</v>
      </c>
      <c r="S70" s="232">
        <f t="shared" ca="1" si="55"/>
        <v>0</v>
      </c>
      <c r="U70" s="120" t="str">
        <f t="shared" si="56"/>
        <v>*:0</v>
      </c>
      <c r="V70" s="120" t="str">
        <f t="shared" si="62"/>
        <v>:</v>
      </c>
      <c r="W70" s="120" t="str">
        <f t="shared" si="60"/>
        <v>:</v>
      </c>
      <c r="X70" s="250">
        <f t="array" aca="1" ref="X70:AI70" ca="1">VLOOKUP($D70&amp;":"&amp;$C70,tblPayRates,{3,4,5,6,7,8,9,10,11,12,13,14},0)</f>
        <v>0</v>
      </c>
      <c r="Y70" s="16" t="str">
        <f ca="1"/>
        <v>Nobody</v>
      </c>
      <c r="Z70" s="261" t="str">
        <f ca="1"/>
        <v>M</v>
      </c>
      <c r="AA70" s="77" t="str">
        <f ca="1"/>
        <v>Daily</v>
      </c>
      <c r="AB70" s="77">
        <f ca="1"/>
        <v>0</v>
      </c>
      <c r="AC70" s="77">
        <f ca="1"/>
        <v>0</v>
      </c>
      <c r="AD70" s="77">
        <f ca="1"/>
        <v>0</v>
      </c>
      <c r="AE70" s="77">
        <f ca="1"/>
        <v>0</v>
      </c>
      <c r="AF70" s="261" t="str">
        <f ca="1"/>
        <v>N</v>
      </c>
      <c r="AG70" s="261">
        <f ca="1"/>
        <v>1</v>
      </c>
      <c r="AH70" s="261">
        <f ca="1"/>
        <v>1</v>
      </c>
      <c r="AI70" s="262">
        <f ca="1"/>
        <v>0</v>
      </c>
    </row>
    <row r="71" spans="1:35" hidden="1" outlineLevel="1" x14ac:dyDescent="0.25">
      <c r="A71" s="120">
        <f t="shared" si="45"/>
        <v>0</v>
      </c>
      <c r="B71" s="231"/>
      <c r="C71" s="77"/>
      <c r="D71" s="238"/>
      <c r="E71" s="76">
        <f ca="1">SUMIF(payNonMonth,"="&amp;$W71,$E$371:OFFSET($E$371,ROWS(payNonMonth)-1,0))</f>
        <v>0</v>
      </c>
      <c r="F71" s="76"/>
      <c r="G71" s="77">
        <f t="shared" ca="1" si="61"/>
        <v>0</v>
      </c>
      <c r="H71" s="76">
        <f t="shared" ca="1" si="47"/>
        <v>0</v>
      </c>
      <c r="I71" s="76">
        <f t="shared" ca="1" si="48"/>
        <v>0</v>
      </c>
      <c r="J71" s="233">
        <f t="shared" ca="1" si="49"/>
        <v>0</v>
      </c>
      <c r="K71" s="76">
        <f t="shared" ca="1" si="58"/>
        <v>0</v>
      </c>
      <c r="L71" s="76">
        <f t="shared" ca="1" si="50"/>
        <v>0</v>
      </c>
      <c r="M71" s="76">
        <f t="shared" ca="1" si="24"/>
        <v>0</v>
      </c>
      <c r="N71" s="76">
        <f t="shared" ca="1" si="51"/>
        <v>0</v>
      </c>
      <c r="O71" s="76"/>
      <c r="P71" s="76">
        <f t="shared" ca="1" si="52"/>
        <v>0</v>
      </c>
      <c r="Q71" s="76"/>
      <c r="R71" s="76">
        <f ca="1">P71-Q71</f>
        <v>0</v>
      </c>
      <c r="S71" s="232">
        <f t="shared" ca="1" si="55"/>
        <v>0</v>
      </c>
      <c r="U71" s="120" t="str">
        <f t="shared" si="56"/>
        <v>*:0</v>
      </c>
      <c r="V71" s="120" t="str">
        <f t="shared" si="62"/>
        <v>:</v>
      </c>
      <c r="W71" s="120" t="str">
        <f t="shared" si="60"/>
        <v>:</v>
      </c>
      <c r="X71" s="250">
        <f t="array" aca="1" ref="X71:AI71" ca="1">VLOOKUP($D71&amp;":"&amp;$C71,tblPayRates,{3,4,5,6,7,8,9,10,11,12,13,14},0)</f>
        <v>0</v>
      </c>
      <c r="Y71" s="16" t="str">
        <f ca="1"/>
        <v>Nobody</v>
      </c>
      <c r="Z71" s="261" t="str">
        <f ca="1"/>
        <v>M</v>
      </c>
      <c r="AA71" s="77" t="str">
        <f ca="1"/>
        <v>Daily</v>
      </c>
      <c r="AB71" s="77">
        <f ca="1"/>
        <v>0</v>
      </c>
      <c r="AC71" s="77">
        <f ca="1"/>
        <v>0</v>
      </c>
      <c r="AD71" s="77">
        <f ca="1"/>
        <v>0</v>
      </c>
      <c r="AE71" s="77">
        <f ca="1"/>
        <v>0</v>
      </c>
      <c r="AF71" s="261" t="str">
        <f ca="1"/>
        <v>N</v>
      </c>
      <c r="AG71" s="261">
        <f ca="1"/>
        <v>1</v>
      </c>
      <c r="AH71" s="261">
        <f ca="1"/>
        <v>1</v>
      </c>
      <c r="AI71" s="262">
        <f ca="1"/>
        <v>0</v>
      </c>
    </row>
    <row r="72" spans="1:35" hidden="1" outlineLevel="1" x14ac:dyDescent="0.25">
      <c r="A72" s="120">
        <f t="shared" si="45"/>
        <v>0</v>
      </c>
      <c r="B72" s="231"/>
      <c r="C72" s="77"/>
      <c r="D72" s="238"/>
      <c r="E72" s="76">
        <f ca="1">SUMIF(payNonMonth,"="&amp;$W72,$E$371:OFFSET($E$371,ROWS(payNonMonth)-1,0))</f>
        <v>0</v>
      </c>
      <c r="F72" s="76"/>
      <c r="G72" s="77">
        <f t="shared" ca="1" si="61"/>
        <v>0</v>
      </c>
      <c r="H72" s="76">
        <f t="shared" ca="1" si="47"/>
        <v>0</v>
      </c>
      <c r="I72" s="76">
        <f t="shared" ca="1" si="48"/>
        <v>0</v>
      </c>
      <c r="J72" s="233">
        <f t="shared" ca="1" si="49"/>
        <v>0</v>
      </c>
      <c r="K72" s="76">
        <f t="shared" ca="1" si="58"/>
        <v>0</v>
      </c>
      <c r="L72" s="76">
        <f t="shared" ca="1" si="50"/>
        <v>0</v>
      </c>
      <c r="M72" s="76">
        <f t="shared" ca="1" si="24"/>
        <v>0</v>
      </c>
      <c r="N72" s="76">
        <f t="shared" ca="1" si="51"/>
        <v>0</v>
      </c>
      <c r="O72" s="76"/>
      <c r="P72" s="76">
        <f t="shared" ca="1" si="52"/>
        <v>0</v>
      </c>
      <c r="Q72" s="76">
        <f ca="1">GETTAX(SUM(P71:P72),Z72)</f>
        <v>0</v>
      </c>
      <c r="R72" s="76">
        <f t="shared" ref="R72:R79" ca="1" si="64">P72-Q72</f>
        <v>0</v>
      </c>
      <c r="S72" s="232">
        <f t="shared" ca="1" si="55"/>
        <v>0</v>
      </c>
      <c r="U72" s="120" t="str">
        <f t="shared" si="56"/>
        <v>*:0</v>
      </c>
      <c r="V72" s="120" t="str">
        <f t="shared" si="62"/>
        <v>:</v>
      </c>
      <c r="W72" s="120" t="str">
        <f t="shared" si="60"/>
        <v>:</v>
      </c>
      <c r="X72" s="250">
        <f t="array" aca="1" ref="X72:AI72" ca="1">VLOOKUP($D72&amp;":"&amp;$C72,tblPayRates,{3,4,5,6,7,8,9,10,11,12,13,14},0)</f>
        <v>0</v>
      </c>
      <c r="Y72" s="16" t="str">
        <f ca="1"/>
        <v>Nobody</v>
      </c>
      <c r="Z72" s="261" t="str">
        <f ca="1"/>
        <v>M</v>
      </c>
      <c r="AA72" s="77" t="str">
        <f ca="1"/>
        <v>Daily</v>
      </c>
      <c r="AB72" s="77">
        <f ca="1"/>
        <v>0</v>
      </c>
      <c r="AC72" s="77">
        <f ca="1"/>
        <v>0</v>
      </c>
      <c r="AD72" s="77">
        <f ca="1"/>
        <v>0</v>
      </c>
      <c r="AE72" s="77">
        <f ca="1"/>
        <v>0</v>
      </c>
      <c r="AF72" s="261" t="str">
        <f ca="1"/>
        <v>N</v>
      </c>
      <c r="AG72" s="261">
        <f ca="1"/>
        <v>1</v>
      </c>
      <c r="AH72" s="261">
        <f ca="1"/>
        <v>1</v>
      </c>
      <c r="AI72" s="262">
        <f ca="1"/>
        <v>0</v>
      </c>
    </row>
    <row r="73" spans="1:35" hidden="1" outlineLevel="1" x14ac:dyDescent="0.25">
      <c r="A73" s="120">
        <f t="shared" si="45"/>
        <v>0</v>
      </c>
      <c r="B73" s="231"/>
      <c r="C73" s="77"/>
      <c r="D73" s="238"/>
      <c r="E73" s="76">
        <f ca="1">SUMIF(payNonMonth,"="&amp;$W73,$E$371:OFFSET($E$371,ROWS(payNonMonth)-1,0))</f>
        <v>0</v>
      </c>
      <c r="F73" s="76"/>
      <c r="G73" s="77">
        <f t="shared" ca="1" si="61"/>
        <v>0</v>
      </c>
      <c r="H73" s="76">
        <f t="shared" ca="1" si="47"/>
        <v>0</v>
      </c>
      <c r="I73" s="76">
        <f t="shared" ca="1" si="48"/>
        <v>0</v>
      </c>
      <c r="J73" s="233">
        <f t="shared" ca="1" si="49"/>
        <v>0</v>
      </c>
      <c r="K73" s="76">
        <f t="shared" ca="1" si="58"/>
        <v>0</v>
      </c>
      <c r="L73" s="76">
        <f t="shared" ca="1" si="50"/>
        <v>0</v>
      </c>
      <c r="M73" s="76">
        <f t="shared" ca="1" si="24"/>
        <v>0</v>
      </c>
      <c r="N73" s="76">
        <f t="shared" ca="1" si="51"/>
        <v>0</v>
      </c>
      <c r="O73" s="76"/>
      <c r="P73" s="76">
        <f t="shared" ca="1" si="52"/>
        <v>0</v>
      </c>
      <c r="Q73" s="76">
        <f t="shared" ref="Q73:Q79" ca="1" si="65">GETTAX(P73,Z73)</f>
        <v>0</v>
      </c>
      <c r="R73" s="76">
        <f t="shared" ca="1" si="64"/>
        <v>0</v>
      </c>
      <c r="S73" s="232">
        <f t="shared" ca="1" si="55"/>
        <v>0</v>
      </c>
      <c r="U73" s="120" t="str">
        <f t="shared" si="56"/>
        <v>*:0</v>
      </c>
      <c r="V73" s="120" t="str">
        <f t="shared" si="62"/>
        <v>:</v>
      </c>
      <c r="W73" s="120" t="str">
        <f t="shared" ref="W73:W78" si="66">C73 &amp;":"&amp; A73</f>
        <v>:0</v>
      </c>
      <c r="X73" s="250">
        <f t="array" aca="1" ref="X73:AI73" ca="1">VLOOKUP($D73&amp;":"&amp;$C73,tblPayRates,{3,4,5,6,7,8,9,10,11,12,13,14},0)</f>
        <v>0</v>
      </c>
      <c r="Y73" s="16" t="str">
        <f ca="1"/>
        <v>Nobody</v>
      </c>
      <c r="Z73" s="261" t="str">
        <f ca="1"/>
        <v>M</v>
      </c>
      <c r="AA73" s="77" t="str">
        <f ca="1"/>
        <v>Daily</v>
      </c>
      <c r="AB73" s="77">
        <f ca="1"/>
        <v>0</v>
      </c>
      <c r="AC73" s="77">
        <f ca="1"/>
        <v>0</v>
      </c>
      <c r="AD73" s="77">
        <f ca="1"/>
        <v>0</v>
      </c>
      <c r="AE73" s="77">
        <f ca="1"/>
        <v>0</v>
      </c>
      <c r="AF73" s="261" t="str">
        <f ca="1"/>
        <v>N</v>
      </c>
      <c r="AG73" s="261">
        <f ca="1"/>
        <v>1</v>
      </c>
      <c r="AH73" s="261">
        <f ca="1"/>
        <v>1</v>
      </c>
      <c r="AI73" s="262">
        <f ca="1"/>
        <v>0</v>
      </c>
    </row>
    <row r="74" spans="1:35" hidden="1" outlineLevel="1" x14ac:dyDescent="0.25">
      <c r="A74" s="120">
        <f t="shared" si="45"/>
        <v>0</v>
      </c>
      <c r="B74" s="231"/>
      <c r="C74" s="77"/>
      <c r="D74" s="238"/>
      <c r="E74" s="76">
        <f ca="1">SUMIF(payNonMonth,"="&amp;$W74,$E$371:OFFSET($E$371,ROWS(payNonMonth)-1,0))</f>
        <v>0</v>
      </c>
      <c r="F74" s="76"/>
      <c r="G74" s="77">
        <f t="shared" ca="1" si="61"/>
        <v>0</v>
      </c>
      <c r="H74" s="76">
        <f t="shared" ca="1" si="47"/>
        <v>0</v>
      </c>
      <c r="I74" s="76">
        <f t="shared" ca="1" si="48"/>
        <v>0</v>
      </c>
      <c r="J74" s="233">
        <f t="shared" ca="1" si="49"/>
        <v>0</v>
      </c>
      <c r="K74" s="76">
        <f t="shared" ca="1" si="58"/>
        <v>0</v>
      </c>
      <c r="L74" s="76">
        <f t="shared" ca="1" si="50"/>
        <v>0</v>
      </c>
      <c r="M74" s="76">
        <f t="shared" ca="1" si="24"/>
        <v>0</v>
      </c>
      <c r="N74" s="76">
        <f t="shared" ca="1" si="51"/>
        <v>0</v>
      </c>
      <c r="O74" s="76"/>
      <c r="P74" s="76">
        <f t="shared" ca="1" si="52"/>
        <v>0</v>
      </c>
      <c r="Q74" s="76">
        <f t="shared" ca="1" si="65"/>
        <v>0</v>
      </c>
      <c r="R74" s="76">
        <f t="shared" ca="1" si="64"/>
        <v>0</v>
      </c>
      <c r="S74" s="232">
        <f t="shared" ca="1" si="55"/>
        <v>0</v>
      </c>
      <c r="U74" s="120" t="str">
        <f t="shared" si="56"/>
        <v>*:0</v>
      </c>
      <c r="V74" s="120" t="str">
        <f t="shared" si="62"/>
        <v>:</v>
      </c>
      <c r="W74" s="120" t="str">
        <f t="shared" si="66"/>
        <v>:0</v>
      </c>
      <c r="X74" s="250">
        <f t="array" aca="1" ref="X74:AI74" ca="1">VLOOKUP($D74&amp;":"&amp;$C74,tblPayRates,{3,4,5,6,7,8,9,10,11,12,13,14},0)</f>
        <v>0</v>
      </c>
      <c r="Y74" s="16" t="str">
        <f ca="1"/>
        <v>Nobody</v>
      </c>
      <c r="Z74" s="261" t="str">
        <f ca="1"/>
        <v>M</v>
      </c>
      <c r="AA74" s="77" t="str">
        <f ca="1"/>
        <v>Daily</v>
      </c>
      <c r="AB74" s="77">
        <f ca="1"/>
        <v>0</v>
      </c>
      <c r="AC74" s="77">
        <f ca="1"/>
        <v>0</v>
      </c>
      <c r="AD74" s="77">
        <f ca="1"/>
        <v>0</v>
      </c>
      <c r="AE74" s="77">
        <f ca="1"/>
        <v>0</v>
      </c>
      <c r="AF74" s="261" t="str">
        <f ca="1"/>
        <v>N</v>
      </c>
      <c r="AG74" s="261">
        <f ca="1"/>
        <v>1</v>
      </c>
      <c r="AH74" s="261">
        <f ca="1"/>
        <v>1</v>
      </c>
      <c r="AI74" s="262">
        <f ca="1"/>
        <v>0</v>
      </c>
    </row>
    <row r="75" spans="1:35" hidden="1" outlineLevel="1" x14ac:dyDescent="0.25">
      <c r="A75" s="120">
        <f t="shared" si="45"/>
        <v>0</v>
      </c>
      <c r="B75" s="231"/>
      <c r="C75" s="77"/>
      <c r="D75" s="238"/>
      <c r="E75" s="76">
        <f ca="1">SUMIF(payNonMonth,"="&amp;$W75,$E$371:OFFSET($E$371,ROWS(payNonMonth)-1,0))</f>
        <v>0</v>
      </c>
      <c r="F75" s="76"/>
      <c r="G75" s="77">
        <f t="shared" ca="1" si="61"/>
        <v>0</v>
      </c>
      <c r="H75" s="76">
        <f t="shared" ca="1" si="47"/>
        <v>0</v>
      </c>
      <c r="I75" s="76">
        <f t="shared" ca="1" si="48"/>
        <v>0</v>
      </c>
      <c r="J75" s="233">
        <f t="shared" ca="1" si="49"/>
        <v>0</v>
      </c>
      <c r="K75" s="76">
        <f t="shared" ca="1" si="58"/>
        <v>0</v>
      </c>
      <c r="L75" s="76">
        <f t="shared" ca="1" si="50"/>
        <v>0</v>
      </c>
      <c r="M75" s="76">
        <f t="shared" ca="1" si="24"/>
        <v>0</v>
      </c>
      <c r="N75" s="76">
        <f t="shared" ca="1" si="51"/>
        <v>0</v>
      </c>
      <c r="O75" s="76"/>
      <c r="P75" s="76">
        <f t="shared" ca="1" si="52"/>
        <v>0</v>
      </c>
      <c r="Q75" s="76">
        <f t="shared" ca="1" si="65"/>
        <v>0</v>
      </c>
      <c r="R75" s="76">
        <f t="shared" ca="1" si="64"/>
        <v>0</v>
      </c>
      <c r="S75" s="232">
        <f t="shared" ca="1" si="55"/>
        <v>0</v>
      </c>
      <c r="U75" s="120" t="str">
        <f t="shared" si="56"/>
        <v>*:0</v>
      </c>
      <c r="V75" s="120" t="str">
        <f t="shared" si="62"/>
        <v>:</v>
      </c>
      <c r="W75" s="120" t="str">
        <f t="shared" si="66"/>
        <v>:0</v>
      </c>
      <c r="X75" s="250">
        <f t="array" aca="1" ref="X75:AI75" ca="1">VLOOKUP($D75&amp;":"&amp;$C75,tblPayRates,{3,4,5,6,7,8,9,10,11,12,13,14},0)</f>
        <v>0</v>
      </c>
      <c r="Y75" s="16" t="str">
        <f ca="1"/>
        <v>Nobody</v>
      </c>
      <c r="Z75" s="261" t="str">
        <f ca="1"/>
        <v>M</v>
      </c>
      <c r="AA75" s="77" t="str">
        <f ca="1"/>
        <v>Daily</v>
      </c>
      <c r="AB75" s="77">
        <f ca="1"/>
        <v>0</v>
      </c>
      <c r="AC75" s="77">
        <f ca="1"/>
        <v>0</v>
      </c>
      <c r="AD75" s="77">
        <f ca="1"/>
        <v>0</v>
      </c>
      <c r="AE75" s="77">
        <f ca="1"/>
        <v>0</v>
      </c>
      <c r="AF75" s="261" t="str">
        <f ca="1"/>
        <v>N</v>
      </c>
      <c r="AG75" s="261">
        <f ca="1"/>
        <v>1</v>
      </c>
      <c r="AH75" s="261">
        <f ca="1"/>
        <v>1</v>
      </c>
      <c r="AI75" s="262">
        <f ca="1"/>
        <v>0</v>
      </c>
    </row>
    <row r="76" spans="1:35" hidden="1" outlineLevel="1" x14ac:dyDescent="0.25">
      <c r="A76" s="120">
        <f t="shared" si="45"/>
        <v>0</v>
      </c>
      <c r="B76" s="231"/>
      <c r="C76" s="77"/>
      <c r="D76" s="238"/>
      <c r="E76" s="76">
        <f ca="1">SUMIF(payNonMonth,"="&amp;$W76,$E$371:OFFSET($E$371,ROWS(payNonMonth)-1,0))</f>
        <v>0</v>
      </c>
      <c r="F76" s="76"/>
      <c r="G76" s="77">
        <f t="shared" ca="1" si="61"/>
        <v>0</v>
      </c>
      <c r="H76" s="76">
        <f t="shared" ca="1" si="47"/>
        <v>0</v>
      </c>
      <c r="I76" s="76">
        <f t="shared" ca="1" si="48"/>
        <v>0</v>
      </c>
      <c r="J76" s="233">
        <f t="shared" ca="1" si="49"/>
        <v>0</v>
      </c>
      <c r="K76" s="76">
        <f t="shared" ca="1" si="58"/>
        <v>0</v>
      </c>
      <c r="L76" s="76">
        <f t="shared" ca="1" si="50"/>
        <v>0</v>
      </c>
      <c r="M76" s="76">
        <f t="shared" ca="1" si="24"/>
        <v>0</v>
      </c>
      <c r="N76" s="76">
        <f t="shared" ca="1" si="51"/>
        <v>0</v>
      </c>
      <c r="O76" s="76"/>
      <c r="P76" s="76">
        <f t="shared" ca="1" si="52"/>
        <v>0</v>
      </c>
      <c r="Q76" s="76">
        <f t="shared" ca="1" si="65"/>
        <v>0</v>
      </c>
      <c r="R76" s="76">
        <f t="shared" ca="1" si="64"/>
        <v>0</v>
      </c>
      <c r="S76" s="232">
        <f t="shared" ca="1" si="55"/>
        <v>0</v>
      </c>
      <c r="U76" s="120" t="str">
        <f t="shared" si="56"/>
        <v>*:0</v>
      </c>
      <c r="V76" s="120" t="str">
        <f t="shared" si="62"/>
        <v>:</v>
      </c>
      <c r="W76" s="120" t="str">
        <f t="shared" si="66"/>
        <v>:0</v>
      </c>
      <c r="X76" s="250">
        <f t="array" aca="1" ref="X76:AI76" ca="1">VLOOKUP($D76&amp;":"&amp;$C76,tblPayRates,{3,4,5,6,7,8,9,10,11,12,13,14},0)</f>
        <v>0</v>
      </c>
      <c r="Y76" s="16" t="str">
        <f ca="1"/>
        <v>Nobody</v>
      </c>
      <c r="Z76" s="261" t="str">
        <f ca="1"/>
        <v>M</v>
      </c>
      <c r="AA76" s="77" t="str">
        <f ca="1"/>
        <v>Daily</v>
      </c>
      <c r="AB76" s="77">
        <f ca="1"/>
        <v>0</v>
      </c>
      <c r="AC76" s="77">
        <f ca="1"/>
        <v>0</v>
      </c>
      <c r="AD76" s="77">
        <f ca="1"/>
        <v>0</v>
      </c>
      <c r="AE76" s="77">
        <f ca="1"/>
        <v>0</v>
      </c>
      <c r="AF76" s="261" t="str">
        <f ca="1"/>
        <v>N</v>
      </c>
      <c r="AG76" s="261">
        <f ca="1"/>
        <v>1</v>
      </c>
      <c r="AH76" s="261">
        <f ca="1"/>
        <v>1</v>
      </c>
      <c r="AI76" s="262">
        <f ca="1"/>
        <v>0</v>
      </c>
    </row>
    <row r="77" spans="1:35" hidden="1" outlineLevel="1" x14ac:dyDescent="0.25">
      <c r="A77" s="120">
        <f t="shared" si="45"/>
        <v>0</v>
      </c>
      <c r="B77" s="231"/>
      <c r="C77" s="77"/>
      <c r="D77" s="238"/>
      <c r="E77" s="76">
        <f ca="1">SUMIF(payNonMonth,"="&amp;$W77,$E$371:OFFSET($E$371,ROWS(payNonMonth)-1,0))</f>
        <v>0</v>
      </c>
      <c r="F77" s="76"/>
      <c r="G77" s="77">
        <f t="shared" ca="1" si="61"/>
        <v>0</v>
      </c>
      <c r="H77" s="76">
        <f t="shared" ca="1" si="47"/>
        <v>0</v>
      </c>
      <c r="I77" s="76">
        <f t="shared" ca="1" si="48"/>
        <v>0</v>
      </c>
      <c r="J77" s="233">
        <f t="shared" ca="1" si="49"/>
        <v>0</v>
      </c>
      <c r="K77" s="76">
        <f t="shared" ca="1" si="58"/>
        <v>0</v>
      </c>
      <c r="L77" s="76">
        <f t="shared" ca="1" si="50"/>
        <v>0</v>
      </c>
      <c r="M77" s="76">
        <f t="shared" ca="1" si="24"/>
        <v>0</v>
      </c>
      <c r="N77" s="76">
        <f t="shared" ca="1" si="51"/>
        <v>0</v>
      </c>
      <c r="O77" s="76"/>
      <c r="P77" s="76">
        <f t="shared" ca="1" si="52"/>
        <v>0</v>
      </c>
      <c r="Q77" s="76">
        <f t="shared" ca="1" si="65"/>
        <v>0</v>
      </c>
      <c r="R77" s="76">
        <f t="shared" ca="1" si="64"/>
        <v>0</v>
      </c>
      <c r="S77" s="232">
        <f t="shared" ca="1" si="55"/>
        <v>0</v>
      </c>
      <c r="U77" s="120" t="str">
        <f t="shared" si="56"/>
        <v>*:0</v>
      </c>
      <c r="V77" s="120" t="str">
        <f t="shared" si="62"/>
        <v>:</v>
      </c>
      <c r="W77" s="120" t="str">
        <f t="shared" si="66"/>
        <v>:0</v>
      </c>
      <c r="X77" s="250">
        <f t="array" aca="1" ref="X77:AI77" ca="1">VLOOKUP($D77&amp;":"&amp;$C77,tblPayRates,{3,4,5,6,7,8,9,10,11,12,13,14},0)</f>
        <v>0</v>
      </c>
      <c r="Y77" s="16" t="str">
        <f ca="1"/>
        <v>Nobody</v>
      </c>
      <c r="Z77" s="261" t="str">
        <f ca="1"/>
        <v>M</v>
      </c>
      <c r="AA77" s="77" t="str">
        <f ca="1"/>
        <v>Daily</v>
      </c>
      <c r="AB77" s="77">
        <f ca="1"/>
        <v>0</v>
      </c>
      <c r="AC77" s="77">
        <f ca="1"/>
        <v>0</v>
      </c>
      <c r="AD77" s="77">
        <f ca="1"/>
        <v>0</v>
      </c>
      <c r="AE77" s="77">
        <f ca="1"/>
        <v>0</v>
      </c>
      <c r="AF77" s="261" t="str">
        <f ca="1"/>
        <v>N</v>
      </c>
      <c r="AG77" s="261">
        <f ca="1"/>
        <v>1</v>
      </c>
      <c r="AH77" s="261">
        <f ca="1"/>
        <v>1</v>
      </c>
      <c r="AI77" s="262">
        <f ca="1"/>
        <v>0</v>
      </c>
    </row>
    <row r="78" spans="1:35" hidden="1" outlineLevel="1" x14ac:dyDescent="0.25">
      <c r="A78" s="120">
        <f t="shared" si="45"/>
        <v>0</v>
      </c>
      <c r="B78" s="231"/>
      <c r="C78" s="77"/>
      <c r="D78" s="238"/>
      <c r="E78" s="76">
        <f ca="1">SUMIF(payNonMonth,"="&amp;$W78,$E$371:OFFSET($E$371,ROWS(payNonMonth)-1,0))</f>
        <v>0</v>
      </c>
      <c r="F78" s="76"/>
      <c r="G78" s="77">
        <f t="shared" ca="1" si="61"/>
        <v>0</v>
      </c>
      <c r="H78" s="76">
        <f t="shared" ca="1" si="47"/>
        <v>0</v>
      </c>
      <c r="I78" s="76">
        <f t="shared" ca="1" si="48"/>
        <v>0</v>
      </c>
      <c r="J78" s="233">
        <f t="shared" ca="1" si="49"/>
        <v>0</v>
      </c>
      <c r="K78" s="76">
        <f t="shared" ca="1" si="58"/>
        <v>0</v>
      </c>
      <c r="L78" s="76">
        <f t="shared" ca="1" si="50"/>
        <v>0</v>
      </c>
      <c r="M78" s="76">
        <f t="shared" ca="1" si="24"/>
        <v>0</v>
      </c>
      <c r="N78" s="76">
        <f t="shared" ca="1" si="51"/>
        <v>0</v>
      </c>
      <c r="O78" s="76"/>
      <c r="P78" s="76">
        <f t="shared" ca="1" si="52"/>
        <v>0</v>
      </c>
      <c r="Q78" s="76">
        <f t="shared" ca="1" si="65"/>
        <v>0</v>
      </c>
      <c r="R78" s="76">
        <f t="shared" ca="1" si="64"/>
        <v>0</v>
      </c>
      <c r="S78" s="232">
        <f t="shared" ca="1" si="55"/>
        <v>0</v>
      </c>
      <c r="U78" s="120" t="str">
        <f t="shared" si="56"/>
        <v>*:0</v>
      </c>
      <c r="V78" s="120" t="str">
        <f t="shared" si="62"/>
        <v>:</v>
      </c>
      <c r="W78" s="120" t="str">
        <f t="shared" si="66"/>
        <v>:0</v>
      </c>
      <c r="X78" s="250">
        <f t="array" aca="1" ref="X78:AI78" ca="1">VLOOKUP($D78&amp;":"&amp;$C78,tblPayRates,{3,4,5,6,7,8,9,10,11,12,13,14},0)</f>
        <v>0</v>
      </c>
      <c r="Y78" s="16" t="str">
        <f ca="1"/>
        <v>Nobody</v>
      </c>
      <c r="Z78" s="261" t="str">
        <f ca="1"/>
        <v>M</v>
      </c>
      <c r="AA78" s="77" t="str">
        <f ca="1"/>
        <v>Daily</v>
      </c>
      <c r="AB78" s="77">
        <f ca="1"/>
        <v>0</v>
      </c>
      <c r="AC78" s="77">
        <f ca="1"/>
        <v>0</v>
      </c>
      <c r="AD78" s="77">
        <f ca="1"/>
        <v>0</v>
      </c>
      <c r="AE78" s="77">
        <f ca="1"/>
        <v>0</v>
      </c>
      <c r="AF78" s="261" t="str">
        <f ca="1"/>
        <v>N</v>
      </c>
      <c r="AG78" s="261">
        <f ca="1"/>
        <v>1</v>
      </c>
      <c r="AH78" s="261">
        <f ca="1"/>
        <v>1</v>
      </c>
      <c r="AI78" s="262">
        <f ca="1"/>
        <v>0</v>
      </c>
    </row>
    <row r="79" spans="1:35" hidden="1" outlineLevel="1" x14ac:dyDescent="0.25">
      <c r="A79" s="120">
        <f t="shared" si="45"/>
        <v>0</v>
      </c>
      <c r="B79" s="231"/>
      <c r="C79" s="77"/>
      <c r="D79" s="238"/>
      <c r="E79" s="76">
        <f ca="1">SUMIF(payNonMonth,"="&amp;$W79,$E$371:OFFSET($E$371,ROWS(payNonMonth)-1,0))</f>
        <v>0</v>
      </c>
      <c r="F79" s="76"/>
      <c r="G79" s="77">
        <f t="shared" ca="1" si="61"/>
        <v>0</v>
      </c>
      <c r="H79" s="76">
        <f t="shared" ca="1" si="47"/>
        <v>0</v>
      </c>
      <c r="I79" s="76">
        <f t="shared" ca="1" si="48"/>
        <v>0</v>
      </c>
      <c r="J79" s="233">
        <f t="shared" ca="1" si="49"/>
        <v>0</v>
      </c>
      <c r="K79" s="76">
        <f t="shared" ca="1" si="58"/>
        <v>0</v>
      </c>
      <c r="L79" s="76">
        <f t="shared" ca="1" si="50"/>
        <v>0</v>
      </c>
      <c r="M79" s="76">
        <f t="shared" ca="1" si="24"/>
        <v>0</v>
      </c>
      <c r="N79" s="76">
        <f t="shared" ca="1" si="51"/>
        <v>0</v>
      </c>
      <c r="O79" s="76"/>
      <c r="P79" s="76">
        <f t="shared" ca="1" si="52"/>
        <v>0</v>
      </c>
      <c r="Q79" s="76">
        <f t="shared" ca="1" si="65"/>
        <v>0</v>
      </c>
      <c r="R79" s="76">
        <f t="shared" ca="1" si="64"/>
        <v>0</v>
      </c>
      <c r="S79" s="232">
        <f t="shared" ca="1" si="55"/>
        <v>0</v>
      </c>
      <c r="U79" s="120" t="str">
        <f t="shared" si="56"/>
        <v>*:0</v>
      </c>
      <c r="V79" s="120" t="str">
        <f t="shared" si="62"/>
        <v>:</v>
      </c>
      <c r="W79" s="120" t="str">
        <f>C79 &amp;":"&amp; B79</f>
        <v>:</v>
      </c>
      <c r="X79" s="250">
        <f t="array" aca="1" ref="X79:AI79" ca="1">VLOOKUP($D79&amp;":"&amp;$C79,tblPayRates,{3,4,5,6,7,8,9,10,11,12,13,14},0)</f>
        <v>0</v>
      </c>
      <c r="Y79" s="16" t="str">
        <f ca="1"/>
        <v>Nobody</v>
      </c>
      <c r="Z79" s="261" t="str">
        <f ca="1"/>
        <v>M</v>
      </c>
      <c r="AA79" s="77" t="str">
        <f ca="1"/>
        <v>Daily</v>
      </c>
      <c r="AB79" s="77">
        <f ca="1"/>
        <v>0</v>
      </c>
      <c r="AC79" s="77">
        <f ca="1"/>
        <v>0</v>
      </c>
      <c r="AD79" s="77">
        <f ca="1"/>
        <v>0</v>
      </c>
      <c r="AE79" s="77">
        <f ca="1"/>
        <v>0</v>
      </c>
      <c r="AF79" s="261" t="str">
        <f ca="1"/>
        <v>N</v>
      </c>
      <c r="AG79" s="261">
        <f ca="1"/>
        <v>1</v>
      </c>
      <c r="AH79" s="261">
        <f ca="1"/>
        <v>1</v>
      </c>
      <c r="AI79" s="262">
        <f ca="1"/>
        <v>0</v>
      </c>
    </row>
    <row r="80" spans="1:35" hidden="1" outlineLevel="1" x14ac:dyDescent="0.25">
      <c r="A80" s="120">
        <f>GETPAYMONTH(B80)</f>
        <v>0</v>
      </c>
      <c r="B80" s="231"/>
      <c r="C80" s="77"/>
      <c r="D80" s="238"/>
      <c r="E80" s="76">
        <f ca="1">SUMIF(payNonMonth,"="&amp;$W80,$E$371:OFFSET($E$371,ROWS(payNonMonth)-1,0))</f>
        <v>0</v>
      </c>
      <c r="F80" s="76"/>
      <c r="G80" s="77">
        <f ca="1">IF(AND($E80=0,$F80=0),0,1)</f>
        <v>0</v>
      </c>
      <c r="H80" s="76">
        <f t="shared" ca="1" si="47"/>
        <v>0</v>
      </c>
      <c r="I80" s="76">
        <f t="shared" ca="1" si="48"/>
        <v>0</v>
      </c>
      <c r="J80" s="233">
        <f t="shared" ca="1" si="49"/>
        <v>0</v>
      </c>
      <c r="K80" s="76">
        <f t="shared" ca="1" si="58"/>
        <v>0</v>
      </c>
      <c r="L80" s="76">
        <f t="shared" ca="1" si="50"/>
        <v>0</v>
      </c>
      <c r="M80" s="76">
        <f t="shared" ca="1" si="24"/>
        <v>0</v>
      </c>
      <c r="N80" s="76">
        <f t="shared" ca="1" si="51"/>
        <v>0</v>
      </c>
      <c r="O80" s="76"/>
      <c r="P80" s="76">
        <f t="shared" ca="1" si="52"/>
        <v>0</v>
      </c>
      <c r="Q80" s="76">
        <f ca="1">GETTAX(P80,Z80)</f>
        <v>0</v>
      </c>
      <c r="R80" s="76">
        <f ca="1">P80-Q80</f>
        <v>0</v>
      </c>
      <c r="S80" s="232">
        <f t="shared" ca="1" si="55"/>
        <v>0</v>
      </c>
      <c r="U80" s="120" t="str">
        <f t="shared" si="56"/>
        <v>*:0</v>
      </c>
      <c r="V80" s="120" t="str">
        <f>$C80 &amp;":"&amp; $B80</f>
        <v>:</v>
      </c>
      <c r="W80" s="120" t="str">
        <f>C80 &amp;":"&amp; B80</f>
        <v>:</v>
      </c>
      <c r="X80" s="250">
        <f t="array" aca="1" ref="X80:AI80" ca="1">VLOOKUP($D80&amp;":"&amp;$C80,tblPayRates,{3,4,5,6,7,8,9,10,11,12,13,14},0)</f>
        <v>0</v>
      </c>
      <c r="Y80" s="16" t="str">
        <f ca="1"/>
        <v>Nobody</v>
      </c>
      <c r="Z80" s="261" t="str">
        <f ca="1"/>
        <v>M</v>
      </c>
      <c r="AA80" s="77" t="str">
        <f ca="1"/>
        <v>Daily</v>
      </c>
      <c r="AB80" s="77">
        <f ca="1"/>
        <v>0</v>
      </c>
      <c r="AC80" s="77">
        <f ca="1"/>
        <v>0</v>
      </c>
      <c r="AD80" s="77">
        <f ca="1"/>
        <v>0</v>
      </c>
      <c r="AE80" s="77">
        <f ca="1"/>
        <v>0</v>
      </c>
      <c r="AF80" s="261" t="str">
        <f ca="1"/>
        <v>N</v>
      </c>
      <c r="AG80" s="261">
        <f ca="1"/>
        <v>1</v>
      </c>
      <c r="AH80" s="261">
        <f ca="1"/>
        <v>1</v>
      </c>
      <c r="AI80" s="262">
        <f ca="1"/>
        <v>0</v>
      </c>
    </row>
    <row r="81" spans="1:35" hidden="1" outlineLevel="1" x14ac:dyDescent="0.25">
      <c r="A81" s="120">
        <f t="shared" ref="A81:A87" si="67">GETPAYMONTH(B81)</f>
        <v>0</v>
      </c>
      <c r="B81" s="231"/>
      <c r="C81" s="77"/>
      <c r="D81" s="238"/>
      <c r="E81" s="76">
        <f ca="1">SUMIF(payNonMonth,"="&amp;$W81,$E$371:OFFSET($E$371,ROWS(payNonMonth)-1,0))</f>
        <v>0</v>
      </c>
      <c r="F81" s="76"/>
      <c r="G81" s="77">
        <f t="shared" ref="G81:G87" ca="1" si="68">IF(AND($E81=0,$F81=0),0,1)</f>
        <v>0</v>
      </c>
      <c r="H81" s="76">
        <f t="shared" ca="1" si="47"/>
        <v>0</v>
      </c>
      <c r="I81" s="76">
        <f t="shared" ca="1" si="48"/>
        <v>0</v>
      </c>
      <c r="J81" s="233">
        <f t="shared" ca="1" si="49"/>
        <v>0</v>
      </c>
      <c r="K81" s="76">
        <f t="shared" ca="1" si="58"/>
        <v>0</v>
      </c>
      <c r="L81" s="76">
        <f t="shared" ca="1" si="50"/>
        <v>0</v>
      </c>
      <c r="M81" s="76">
        <f t="shared" ca="1" si="24"/>
        <v>0</v>
      </c>
      <c r="N81" s="76">
        <f t="shared" ca="1" si="51"/>
        <v>0</v>
      </c>
      <c r="O81" s="76"/>
      <c r="P81" s="76">
        <f t="shared" ca="1" si="52"/>
        <v>0</v>
      </c>
      <c r="Q81" s="76">
        <f t="shared" ref="Q81:Q87" ca="1" si="69">GETTAX(P81,Z81)</f>
        <v>0</v>
      </c>
      <c r="R81" s="76">
        <f t="shared" ref="R81:R87" ca="1" si="70">P81-Q81</f>
        <v>0</v>
      </c>
      <c r="S81" s="232">
        <f t="shared" ca="1" si="55"/>
        <v>0</v>
      </c>
      <c r="U81" s="120" t="str">
        <f t="shared" si="56"/>
        <v>*:0</v>
      </c>
      <c r="V81" s="120" t="str">
        <f t="shared" ref="V81:V87" si="71">$C81 &amp;":"&amp; $B81</f>
        <v>:</v>
      </c>
      <c r="W81" s="120" t="str">
        <f>C81 &amp;":"&amp; B81</f>
        <v>:</v>
      </c>
      <c r="X81" s="250">
        <f t="array" aca="1" ref="X81:AI81" ca="1">VLOOKUP($D81&amp;":"&amp;$C81,tblPayRates,{3,4,5,6,7,8,9,10,11,12,13,14},0)</f>
        <v>0</v>
      </c>
      <c r="Y81" s="16" t="str">
        <f ca="1"/>
        <v>Nobody</v>
      </c>
      <c r="Z81" s="261" t="str">
        <f ca="1"/>
        <v>M</v>
      </c>
      <c r="AA81" s="77" t="str">
        <f ca="1"/>
        <v>Daily</v>
      </c>
      <c r="AB81" s="77">
        <f ca="1"/>
        <v>0</v>
      </c>
      <c r="AC81" s="77">
        <f ca="1"/>
        <v>0</v>
      </c>
      <c r="AD81" s="77">
        <f ca="1"/>
        <v>0</v>
      </c>
      <c r="AE81" s="77">
        <f ca="1"/>
        <v>0</v>
      </c>
      <c r="AF81" s="261" t="str">
        <f ca="1"/>
        <v>N</v>
      </c>
      <c r="AG81" s="261">
        <f ca="1"/>
        <v>1</v>
      </c>
      <c r="AH81" s="261">
        <f ca="1"/>
        <v>1</v>
      </c>
      <c r="AI81" s="262">
        <f ca="1"/>
        <v>0</v>
      </c>
    </row>
    <row r="82" spans="1:35" hidden="1" outlineLevel="1" x14ac:dyDescent="0.25">
      <c r="A82" s="120">
        <f t="shared" si="67"/>
        <v>0</v>
      </c>
      <c r="B82" s="231"/>
      <c r="C82" s="77"/>
      <c r="D82" s="238"/>
      <c r="E82" s="76">
        <f ca="1">SUMIF(payNonMonth,"="&amp;$W82,$E$371:OFFSET($E$371,ROWS(payNonMonth)-1,0))</f>
        <v>0</v>
      </c>
      <c r="F82" s="76"/>
      <c r="G82" s="77">
        <f t="shared" ca="1" si="68"/>
        <v>0</v>
      </c>
      <c r="H82" s="76">
        <f t="shared" ca="1" si="47"/>
        <v>0</v>
      </c>
      <c r="I82" s="76">
        <f t="shared" ca="1" si="48"/>
        <v>0</v>
      </c>
      <c r="J82" s="233">
        <f t="shared" ca="1" si="49"/>
        <v>0</v>
      </c>
      <c r="K82" s="76">
        <f t="shared" ca="1" si="58"/>
        <v>0</v>
      </c>
      <c r="L82" s="76">
        <f t="shared" ca="1" si="50"/>
        <v>0</v>
      </c>
      <c r="M82" s="76">
        <f t="shared" ca="1" si="24"/>
        <v>0</v>
      </c>
      <c r="N82" s="76">
        <f t="shared" ca="1" si="51"/>
        <v>0</v>
      </c>
      <c r="O82" s="76"/>
      <c r="P82" s="76">
        <f t="shared" ca="1" si="52"/>
        <v>0</v>
      </c>
      <c r="Q82" s="76">
        <f t="shared" ca="1" si="69"/>
        <v>0</v>
      </c>
      <c r="R82" s="76">
        <f t="shared" ca="1" si="70"/>
        <v>0</v>
      </c>
      <c r="S82" s="232">
        <f t="shared" ca="1" si="55"/>
        <v>0</v>
      </c>
      <c r="U82" s="120" t="str">
        <f t="shared" si="56"/>
        <v>*:0</v>
      </c>
      <c r="V82" s="120" t="str">
        <f t="shared" si="71"/>
        <v>:</v>
      </c>
      <c r="W82" s="120" t="str">
        <f>C82 &amp;":"&amp; B82</f>
        <v>:</v>
      </c>
      <c r="X82" s="250">
        <f t="array" aca="1" ref="X82:AI82" ca="1">VLOOKUP($D82&amp;":"&amp;$C82,tblPayRates,{3,4,5,6,7,8,9,10,11,12,13,14},0)</f>
        <v>0</v>
      </c>
      <c r="Y82" s="16" t="str">
        <f ca="1"/>
        <v>Nobody</v>
      </c>
      <c r="Z82" s="261" t="str">
        <f ca="1"/>
        <v>M</v>
      </c>
      <c r="AA82" s="77" t="str">
        <f ca="1"/>
        <v>Daily</v>
      </c>
      <c r="AB82" s="77">
        <f ca="1"/>
        <v>0</v>
      </c>
      <c r="AC82" s="77">
        <f ca="1"/>
        <v>0</v>
      </c>
      <c r="AD82" s="77">
        <f ca="1"/>
        <v>0</v>
      </c>
      <c r="AE82" s="77">
        <f ca="1"/>
        <v>0</v>
      </c>
      <c r="AF82" s="261" t="str">
        <f ca="1"/>
        <v>N</v>
      </c>
      <c r="AG82" s="261">
        <f ca="1"/>
        <v>1</v>
      </c>
      <c r="AH82" s="261">
        <f ca="1"/>
        <v>1</v>
      </c>
      <c r="AI82" s="262">
        <f ca="1"/>
        <v>0</v>
      </c>
    </row>
    <row r="83" spans="1:35" hidden="1" outlineLevel="1" x14ac:dyDescent="0.25">
      <c r="A83" s="120">
        <f t="shared" si="67"/>
        <v>0</v>
      </c>
      <c r="B83" s="231"/>
      <c r="C83" s="77"/>
      <c r="D83" s="238"/>
      <c r="E83" s="76">
        <f ca="1">SUMIF(payNonMonth,"="&amp;$W83,$E$371:OFFSET($E$371,ROWS(payNonMonth)-1,0))</f>
        <v>0</v>
      </c>
      <c r="F83" s="76"/>
      <c r="G83" s="77">
        <f t="shared" ca="1" si="68"/>
        <v>0</v>
      </c>
      <c r="H83" s="76">
        <f t="shared" ca="1" si="47"/>
        <v>0</v>
      </c>
      <c r="I83" s="76">
        <f t="shared" ca="1" si="48"/>
        <v>0</v>
      </c>
      <c r="J83" s="233">
        <f t="shared" ca="1" si="49"/>
        <v>0</v>
      </c>
      <c r="K83" s="76">
        <f t="shared" ca="1" si="58"/>
        <v>0</v>
      </c>
      <c r="L83" s="76">
        <f t="shared" ca="1" si="50"/>
        <v>0</v>
      </c>
      <c r="M83" s="76">
        <f t="shared" ca="1" si="24"/>
        <v>0</v>
      </c>
      <c r="N83" s="76">
        <f t="shared" ca="1" si="51"/>
        <v>0</v>
      </c>
      <c r="O83" s="76"/>
      <c r="P83" s="76">
        <f t="shared" ca="1" si="52"/>
        <v>0</v>
      </c>
      <c r="Q83" s="76">
        <f t="shared" ca="1" si="69"/>
        <v>0</v>
      </c>
      <c r="R83" s="76">
        <f t="shared" ca="1" si="70"/>
        <v>0</v>
      </c>
      <c r="S83" s="232">
        <f t="shared" ca="1" si="55"/>
        <v>0</v>
      </c>
      <c r="U83" s="120" t="str">
        <f t="shared" si="56"/>
        <v>*:0</v>
      </c>
      <c r="V83" s="120" t="str">
        <f t="shared" si="71"/>
        <v>:</v>
      </c>
      <c r="W83" s="120" t="str">
        <f t="shared" ref="W83:W88" si="72">C83 &amp;":"&amp; A83</f>
        <v>:0</v>
      </c>
      <c r="X83" s="250">
        <f t="array" aca="1" ref="X83:AI83" ca="1">VLOOKUP($D83&amp;":"&amp;$C83,tblPayRates,{3,4,5,6,7,8,9,10,11,12,13,14},0)</f>
        <v>0</v>
      </c>
      <c r="Y83" s="16" t="str">
        <f ca="1"/>
        <v>Nobody</v>
      </c>
      <c r="Z83" s="261" t="str">
        <f ca="1"/>
        <v>M</v>
      </c>
      <c r="AA83" s="77" t="str">
        <f ca="1"/>
        <v>Daily</v>
      </c>
      <c r="AB83" s="77">
        <f ca="1"/>
        <v>0</v>
      </c>
      <c r="AC83" s="77">
        <f ca="1"/>
        <v>0</v>
      </c>
      <c r="AD83" s="77">
        <f ca="1"/>
        <v>0</v>
      </c>
      <c r="AE83" s="77">
        <f ca="1"/>
        <v>0</v>
      </c>
      <c r="AF83" s="261" t="str">
        <f ca="1"/>
        <v>N</v>
      </c>
      <c r="AG83" s="261">
        <f ca="1"/>
        <v>1</v>
      </c>
      <c r="AH83" s="261">
        <f ca="1"/>
        <v>1</v>
      </c>
      <c r="AI83" s="262">
        <f ca="1"/>
        <v>0</v>
      </c>
    </row>
    <row r="84" spans="1:35" hidden="1" outlineLevel="1" x14ac:dyDescent="0.25">
      <c r="A84" s="120">
        <f t="shared" si="67"/>
        <v>0</v>
      </c>
      <c r="B84" s="231"/>
      <c r="C84" s="77"/>
      <c r="D84" s="238"/>
      <c r="E84" s="76">
        <f ca="1">SUMIF(payNonMonth,"="&amp;$W84,$E$371:OFFSET($E$371,ROWS(payNonMonth)-1,0))</f>
        <v>0</v>
      </c>
      <c r="F84" s="76"/>
      <c r="G84" s="77">
        <f t="shared" ca="1" si="68"/>
        <v>0</v>
      </c>
      <c r="H84" s="76">
        <f t="shared" ca="1" si="47"/>
        <v>0</v>
      </c>
      <c r="I84" s="76">
        <f t="shared" ca="1" si="48"/>
        <v>0</v>
      </c>
      <c r="J84" s="233">
        <f t="shared" ca="1" si="49"/>
        <v>0</v>
      </c>
      <c r="K84" s="76">
        <f t="shared" ca="1" si="58"/>
        <v>0</v>
      </c>
      <c r="L84" s="76">
        <f t="shared" ca="1" si="50"/>
        <v>0</v>
      </c>
      <c r="M84" s="76">
        <f t="shared" ca="1" si="24"/>
        <v>0</v>
      </c>
      <c r="N84" s="76">
        <f t="shared" ca="1" si="51"/>
        <v>0</v>
      </c>
      <c r="O84" s="76"/>
      <c r="P84" s="76">
        <f t="shared" ca="1" si="52"/>
        <v>0</v>
      </c>
      <c r="Q84" s="76">
        <f t="shared" ca="1" si="69"/>
        <v>0</v>
      </c>
      <c r="R84" s="76">
        <f t="shared" ca="1" si="70"/>
        <v>0</v>
      </c>
      <c r="S84" s="232">
        <f t="shared" ca="1" si="55"/>
        <v>0</v>
      </c>
      <c r="U84" s="120" t="str">
        <f t="shared" si="56"/>
        <v>*:0</v>
      </c>
      <c r="V84" s="120" t="str">
        <f t="shared" si="71"/>
        <v>:</v>
      </c>
      <c r="W84" s="120" t="str">
        <f t="shared" si="72"/>
        <v>:0</v>
      </c>
      <c r="X84" s="250">
        <f t="array" aca="1" ref="X84:AI84" ca="1">VLOOKUP($D84&amp;":"&amp;$C84,tblPayRates,{3,4,5,6,7,8,9,10,11,12,13,14},0)</f>
        <v>0</v>
      </c>
      <c r="Y84" s="16" t="str">
        <f ca="1"/>
        <v>Nobody</v>
      </c>
      <c r="Z84" s="261" t="str">
        <f ca="1"/>
        <v>M</v>
      </c>
      <c r="AA84" s="77" t="str">
        <f ca="1"/>
        <v>Daily</v>
      </c>
      <c r="AB84" s="77">
        <f ca="1"/>
        <v>0</v>
      </c>
      <c r="AC84" s="77">
        <f ca="1"/>
        <v>0</v>
      </c>
      <c r="AD84" s="77">
        <f ca="1"/>
        <v>0</v>
      </c>
      <c r="AE84" s="77">
        <f ca="1"/>
        <v>0</v>
      </c>
      <c r="AF84" s="261" t="str">
        <f ca="1"/>
        <v>N</v>
      </c>
      <c r="AG84" s="261">
        <f ca="1"/>
        <v>1</v>
      </c>
      <c r="AH84" s="261">
        <f ca="1"/>
        <v>1</v>
      </c>
      <c r="AI84" s="262">
        <f ca="1"/>
        <v>0</v>
      </c>
    </row>
    <row r="85" spans="1:35" hidden="1" outlineLevel="1" x14ac:dyDescent="0.25">
      <c r="A85" s="120">
        <f t="shared" si="67"/>
        <v>0</v>
      </c>
      <c r="B85" s="231"/>
      <c r="C85" s="77"/>
      <c r="D85" s="238"/>
      <c r="E85" s="76">
        <f ca="1">SUMIF(payNonMonth,"="&amp;$W85,$E$371:OFFSET($E$371,ROWS(payNonMonth)-1,0))</f>
        <v>0</v>
      </c>
      <c r="F85" s="76"/>
      <c r="G85" s="77">
        <f t="shared" ca="1" si="68"/>
        <v>0</v>
      </c>
      <c r="H85" s="76">
        <f t="shared" ref="H85:H116" ca="1" si="73">ROUND(SUM(E85:F85)*AB85,2)</f>
        <v>0</v>
      </c>
      <c r="I85" s="76">
        <f t="shared" ref="I85:I116" ca="1" si="74">H85*OFFSET(payMgmtRate,0,$AG85)</f>
        <v>0</v>
      </c>
      <c r="J85" s="233">
        <f t="shared" ref="J85:J116" ca="1" si="75">ROUND(IF(AH85,$E85,1)*AD85+$F85*AE85+SUMIF(payAllow,$V85,$J$266:$J$368),2)</f>
        <v>0</v>
      </c>
      <c r="K85" s="76">
        <f t="shared" ca="1" si="58"/>
        <v>0</v>
      </c>
      <c r="L85" s="76">
        <f t="shared" ref="L85:L116" ca="1" si="76">SUMIF(payAllow,$V85,L$266:L$368)*$G85</f>
        <v>0</v>
      </c>
      <c r="M85" s="76">
        <f t="shared" ca="1" si="24"/>
        <v>0</v>
      </c>
      <c r="N85" s="76">
        <f t="shared" ref="N85:N116" ca="1" si="77">SUMIF(payAllow,$V85,N$266:N$368)*G85</f>
        <v>0</v>
      </c>
      <c r="O85" s="76"/>
      <c r="P85" s="76">
        <f t="shared" ref="P85:P116" ca="1" si="78">J85-SUM(K85:O85)</f>
        <v>0</v>
      </c>
      <c r="Q85" s="76">
        <f t="shared" ca="1" si="69"/>
        <v>0</v>
      </c>
      <c r="R85" s="76">
        <f t="shared" ca="1" si="70"/>
        <v>0</v>
      </c>
      <c r="S85" s="232">
        <f t="shared" ref="S85:S116" ca="1" si="79">SUMIF(payAllow,V85,S$266:S$368)*G85</f>
        <v>0</v>
      </c>
      <c r="U85" s="120" t="str">
        <f t="shared" ref="U85:U116" si="80">IF(EmpID="*","*",C85) &amp;":"&amp; $A85</f>
        <v>*:0</v>
      </c>
      <c r="V85" s="120" t="str">
        <f t="shared" si="71"/>
        <v>:</v>
      </c>
      <c r="W85" s="120" t="str">
        <f t="shared" si="72"/>
        <v>:0</v>
      </c>
      <c r="X85" s="250">
        <f t="array" aca="1" ref="X85:AI85" ca="1">VLOOKUP($D85&amp;":"&amp;$C85,tblPayRates,{3,4,5,6,7,8,9,10,11,12,13,14},0)</f>
        <v>0</v>
      </c>
      <c r="Y85" s="16" t="str">
        <f ca="1"/>
        <v>Nobody</v>
      </c>
      <c r="Z85" s="261" t="str">
        <f ca="1"/>
        <v>M</v>
      </c>
      <c r="AA85" s="77" t="str">
        <f ca="1"/>
        <v>Daily</v>
      </c>
      <c r="AB85" s="77">
        <f ca="1"/>
        <v>0</v>
      </c>
      <c r="AC85" s="77">
        <f ca="1"/>
        <v>0</v>
      </c>
      <c r="AD85" s="77">
        <f ca="1"/>
        <v>0</v>
      </c>
      <c r="AE85" s="77">
        <f ca="1"/>
        <v>0</v>
      </c>
      <c r="AF85" s="261" t="str">
        <f ca="1"/>
        <v>N</v>
      </c>
      <c r="AG85" s="261">
        <f ca="1"/>
        <v>1</v>
      </c>
      <c r="AH85" s="261">
        <f ca="1"/>
        <v>1</v>
      </c>
      <c r="AI85" s="262">
        <f ca="1"/>
        <v>0</v>
      </c>
    </row>
    <row r="86" spans="1:35" hidden="1" outlineLevel="1" x14ac:dyDescent="0.25">
      <c r="A86" s="120">
        <f t="shared" si="67"/>
        <v>0</v>
      </c>
      <c r="B86" s="231"/>
      <c r="C86" s="77"/>
      <c r="D86" s="238"/>
      <c r="E86" s="76">
        <f ca="1">SUMIF(payNonMonth,"="&amp;$W86,$E$371:OFFSET($E$371,ROWS(payNonMonth)-1,0))</f>
        <v>0</v>
      </c>
      <c r="F86" s="76"/>
      <c r="G86" s="77">
        <f t="shared" ca="1" si="68"/>
        <v>0</v>
      </c>
      <c r="H86" s="76">
        <f t="shared" ca="1" si="73"/>
        <v>0</v>
      </c>
      <c r="I86" s="76">
        <f t="shared" ca="1" si="74"/>
        <v>0</v>
      </c>
      <c r="J86" s="233">
        <f t="shared" ca="1" si="75"/>
        <v>0</v>
      </c>
      <c r="K86" s="76">
        <f t="shared" ref="K86:K117" ca="1" si="81">ROUND(J86*InsureRate2,2)</f>
        <v>0</v>
      </c>
      <c r="L86" s="76">
        <f t="shared" ca="1" si="76"/>
        <v>0</v>
      </c>
      <c r="M86" s="76">
        <f t="shared" ref="M86:M147" ca="1" si="82">GETSUPER(J86)</f>
        <v>0</v>
      </c>
      <c r="N86" s="76">
        <f t="shared" ca="1" si="77"/>
        <v>0</v>
      </c>
      <c r="O86" s="76"/>
      <c r="P86" s="76">
        <f t="shared" ca="1" si="78"/>
        <v>0</v>
      </c>
      <c r="Q86" s="76">
        <f t="shared" ca="1" si="69"/>
        <v>0</v>
      </c>
      <c r="R86" s="76">
        <f t="shared" ca="1" si="70"/>
        <v>0</v>
      </c>
      <c r="S86" s="232">
        <f t="shared" ca="1" si="79"/>
        <v>0</v>
      </c>
      <c r="U86" s="120" t="str">
        <f t="shared" si="80"/>
        <v>*:0</v>
      </c>
      <c r="V86" s="120" t="str">
        <f t="shared" si="71"/>
        <v>:</v>
      </c>
      <c r="W86" s="120" t="str">
        <f t="shared" si="72"/>
        <v>:0</v>
      </c>
      <c r="X86" s="250">
        <f t="array" aca="1" ref="X86:AI86" ca="1">VLOOKUP($D86&amp;":"&amp;$C86,tblPayRates,{3,4,5,6,7,8,9,10,11,12,13,14},0)</f>
        <v>0</v>
      </c>
      <c r="Y86" s="16" t="str">
        <f ca="1"/>
        <v>Nobody</v>
      </c>
      <c r="Z86" s="261" t="str">
        <f ca="1"/>
        <v>M</v>
      </c>
      <c r="AA86" s="77" t="str">
        <f ca="1"/>
        <v>Daily</v>
      </c>
      <c r="AB86" s="77">
        <f ca="1"/>
        <v>0</v>
      </c>
      <c r="AC86" s="77">
        <f ca="1"/>
        <v>0</v>
      </c>
      <c r="AD86" s="77">
        <f ca="1"/>
        <v>0</v>
      </c>
      <c r="AE86" s="77">
        <f ca="1"/>
        <v>0</v>
      </c>
      <c r="AF86" s="261" t="str">
        <f ca="1"/>
        <v>N</v>
      </c>
      <c r="AG86" s="261">
        <f ca="1"/>
        <v>1</v>
      </c>
      <c r="AH86" s="261">
        <f ca="1"/>
        <v>1</v>
      </c>
      <c r="AI86" s="262">
        <f ca="1"/>
        <v>0</v>
      </c>
    </row>
    <row r="87" spans="1:35" hidden="1" outlineLevel="1" x14ac:dyDescent="0.25">
      <c r="A87" s="120">
        <f t="shared" si="67"/>
        <v>0</v>
      </c>
      <c r="B87" s="231"/>
      <c r="C87" s="77"/>
      <c r="D87" s="238"/>
      <c r="E87" s="76">
        <f ca="1">SUMIF(payNonMonth,"="&amp;$W87,$E$371:OFFSET($E$371,ROWS(payNonMonth)-1,0))</f>
        <v>0</v>
      </c>
      <c r="F87" s="76"/>
      <c r="G87" s="77">
        <f t="shared" ca="1" si="68"/>
        <v>0</v>
      </c>
      <c r="H87" s="76">
        <f t="shared" ca="1" si="73"/>
        <v>0</v>
      </c>
      <c r="I87" s="76">
        <f t="shared" ca="1" si="74"/>
        <v>0</v>
      </c>
      <c r="J87" s="233">
        <f t="shared" ca="1" si="75"/>
        <v>0</v>
      </c>
      <c r="K87" s="76">
        <f t="shared" ca="1" si="81"/>
        <v>0</v>
      </c>
      <c r="L87" s="76">
        <f t="shared" ca="1" si="76"/>
        <v>0</v>
      </c>
      <c r="M87" s="76">
        <f t="shared" ca="1" si="82"/>
        <v>0</v>
      </c>
      <c r="N87" s="76">
        <f t="shared" ca="1" si="77"/>
        <v>0</v>
      </c>
      <c r="O87" s="76"/>
      <c r="P87" s="76">
        <f t="shared" ca="1" si="78"/>
        <v>0</v>
      </c>
      <c r="Q87" s="76">
        <f t="shared" ca="1" si="69"/>
        <v>0</v>
      </c>
      <c r="R87" s="76">
        <f t="shared" ca="1" si="70"/>
        <v>0</v>
      </c>
      <c r="S87" s="232">
        <f t="shared" ca="1" si="79"/>
        <v>0</v>
      </c>
      <c r="U87" s="120" t="str">
        <f t="shared" si="80"/>
        <v>*:0</v>
      </c>
      <c r="V87" s="120" t="str">
        <f t="shared" si="71"/>
        <v>:</v>
      </c>
      <c r="W87" s="120" t="str">
        <f t="shared" si="72"/>
        <v>:0</v>
      </c>
      <c r="X87" s="250">
        <f t="array" aca="1" ref="X87:AI87" ca="1">VLOOKUP($D87&amp;":"&amp;$C87,tblPayRates,{3,4,5,6,7,8,9,10,11,12,13,14},0)</f>
        <v>0</v>
      </c>
      <c r="Y87" s="16" t="str">
        <f ca="1"/>
        <v>Nobody</v>
      </c>
      <c r="Z87" s="261" t="str">
        <f ca="1"/>
        <v>M</v>
      </c>
      <c r="AA87" s="77" t="str">
        <f ca="1"/>
        <v>Daily</v>
      </c>
      <c r="AB87" s="77">
        <f ca="1"/>
        <v>0</v>
      </c>
      <c r="AC87" s="77">
        <f ca="1"/>
        <v>0</v>
      </c>
      <c r="AD87" s="77">
        <f ca="1"/>
        <v>0</v>
      </c>
      <c r="AE87" s="77">
        <f ca="1"/>
        <v>0</v>
      </c>
      <c r="AF87" s="261" t="str">
        <f ca="1"/>
        <v>N</v>
      </c>
      <c r="AG87" s="261">
        <f ca="1"/>
        <v>1</v>
      </c>
      <c r="AH87" s="261">
        <f ca="1"/>
        <v>1</v>
      </c>
      <c r="AI87" s="262">
        <f ca="1"/>
        <v>0</v>
      </c>
    </row>
    <row r="88" spans="1:35" hidden="1" outlineLevel="1" x14ac:dyDescent="0.25">
      <c r="A88" s="120">
        <f>GETPAYMONTH(B88)</f>
        <v>0</v>
      </c>
      <c r="B88" s="231"/>
      <c r="C88" s="77"/>
      <c r="D88" s="238"/>
      <c r="E88" s="76">
        <f ca="1">SUMIF(payNonMonth,"="&amp;$W88,$E$371:OFFSET($E$371,ROWS(payNonMonth)-1,0))</f>
        <v>0</v>
      </c>
      <c r="F88" s="76"/>
      <c r="G88" s="77">
        <f ca="1">IF(AND($E88=0,$F88=0),0,1)</f>
        <v>0</v>
      </c>
      <c r="H88" s="76">
        <f t="shared" ca="1" si="73"/>
        <v>0</v>
      </c>
      <c r="I88" s="76">
        <f t="shared" ca="1" si="74"/>
        <v>0</v>
      </c>
      <c r="J88" s="233">
        <f t="shared" ca="1" si="75"/>
        <v>0</v>
      </c>
      <c r="K88" s="76">
        <f t="shared" ca="1" si="81"/>
        <v>0</v>
      </c>
      <c r="L88" s="76">
        <f t="shared" ca="1" si="76"/>
        <v>0</v>
      </c>
      <c r="M88" s="76">
        <f t="shared" ca="1" si="82"/>
        <v>0</v>
      </c>
      <c r="N88" s="76">
        <f t="shared" ca="1" si="77"/>
        <v>0</v>
      </c>
      <c r="O88" s="76"/>
      <c r="P88" s="76">
        <f t="shared" ca="1" si="78"/>
        <v>0</v>
      </c>
      <c r="Q88" s="76">
        <f ca="1">GETTAX(P88,Z88)</f>
        <v>0</v>
      </c>
      <c r="R88" s="76">
        <f ca="1">P88-Q88</f>
        <v>0</v>
      </c>
      <c r="S88" s="232">
        <f t="shared" ca="1" si="79"/>
        <v>0</v>
      </c>
      <c r="U88" s="120" t="str">
        <f t="shared" si="80"/>
        <v>*:0</v>
      </c>
      <c r="V88" s="120" t="str">
        <f>$C88 &amp;":"&amp; $B88</f>
        <v>:</v>
      </c>
      <c r="W88" s="120" t="str">
        <f t="shared" si="72"/>
        <v>:0</v>
      </c>
      <c r="X88" s="250">
        <f t="array" aca="1" ref="X88:AI88" ca="1">VLOOKUP($D88&amp;":"&amp;$C88,tblPayRates,{3,4,5,6,7,8,9,10,11,12,13,14},0)</f>
        <v>0</v>
      </c>
      <c r="Y88" s="16" t="str">
        <f ca="1"/>
        <v>Nobody</v>
      </c>
      <c r="Z88" s="261" t="str">
        <f ca="1"/>
        <v>M</v>
      </c>
      <c r="AA88" s="77" t="str">
        <f ca="1"/>
        <v>Daily</v>
      </c>
      <c r="AB88" s="77">
        <f ca="1"/>
        <v>0</v>
      </c>
      <c r="AC88" s="77">
        <f ca="1"/>
        <v>0</v>
      </c>
      <c r="AD88" s="77">
        <f ca="1"/>
        <v>0</v>
      </c>
      <c r="AE88" s="77">
        <f ca="1"/>
        <v>0</v>
      </c>
      <c r="AF88" s="261" t="str">
        <f ca="1"/>
        <v>N</v>
      </c>
      <c r="AG88" s="261">
        <f ca="1"/>
        <v>1</v>
      </c>
      <c r="AH88" s="261">
        <f ca="1"/>
        <v>1</v>
      </c>
      <c r="AI88" s="262">
        <f ca="1"/>
        <v>0</v>
      </c>
    </row>
    <row r="89" spans="1:35" hidden="1" outlineLevel="1" x14ac:dyDescent="0.25">
      <c r="A89" s="120">
        <f t="shared" ref="A89:A148" si="83">GETPAYMONTH(B89)</f>
        <v>0</v>
      </c>
      <c r="B89" s="231"/>
      <c r="C89" s="77"/>
      <c r="D89" s="238"/>
      <c r="E89" s="76">
        <f ca="1">SUMIF(payNonMonth,"="&amp;$W89,$E$371:OFFSET($E$371,ROWS(payNonMonth)-1,0))</f>
        <v>0</v>
      </c>
      <c r="F89" s="76"/>
      <c r="G89" s="77">
        <f t="shared" ref="G89:G147" ca="1" si="84">IF(AND($E89=0,$F89=0),0,1)</f>
        <v>0</v>
      </c>
      <c r="H89" s="76">
        <f t="shared" ca="1" si="73"/>
        <v>0</v>
      </c>
      <c r="I89" s="76">
        <f t="shared" ca="1" si="74"/>
        <v>0</v>
      </c>
      <c r="J89" s="233">
        <f t="shared" ca="1" si="75"/>
        <v>0</v>
      </c>
      <c r="K89" s="76">
        <f t="shared" ca="1" si="81"/>
        <v>0</v>
      </c>
      <c r="L89" s="76">
        <f t="shared" ca="1" si="76"/>
        <v>0</v>
      </c>
      <c r="M89" s="76">
        <f t="shared" ca="1" si="82"/>
        <v>0</v>
      </c>
      <c r="N89" s="76">
        <f t="shared" ca="1" si="77"/>
        <v>0</v>
      </c>
      <c r="O89" s="76"/>
      <c r="P89" s="76">
        <f t="shared" ca="1" si="78"/>
        <v>0</v>
      </c>
      <c r="Q89" s="76">
        <f t="shared" ref="Q89:Q147" ca="1" si="85">GETTAX(P89,Z89)</f>
        <v>0</v>
      </c>
      <c r="R89" s="76">
        <f t="shared" ref="R89:R147" ca="1" si="86">P89-Q89</f>
        <v>0</v>
      </c>
      <c r="S89" s="232">
        <f t="shared" ca="1" si="79"/>
        <v>0</v>
      </c>
      <c r="U89" s="120" t="str">
        <f t="shared" si="80"/>
        <v>*:0</v>
      </c>
      <c r="V89" s="120" t="str">
        <f t="shared" ref="V89:V147" si="87">$C89 &amp;":"&amp; $B89</f>
        <v>:</v>
      </c>
      <c r="W89" s="120" t="str">
        <f t="shared" ref="W89:W94" si="88">C89 &amp;":"&amp; B89</f>
        <v>:</v>
      </c>
      <c r="X89" s="250">
        <f t="array" aca="1" ref="X89:AI89" ca="1">VLOOKUP($D89&amp;":"&amp;$C89,tblPayRates,{3,4,5,6,7,8,9,10,11,12,13,14},0)</f>
        <v>0</v>
      </c>
      <c r="Y89" s="16" t="str">
        <f ca="1"/>
        <v>Nobody</v>
      </c>
      <c r="Z89" s="261" t="str">
        <f ca="1"/>
        <v>M</v>
      </c>
      <c r="AA89" s="77" t="str">
        <f ca="1"/>
        <v>Daily</v>
      </c>
      <c r="AB89" s="77">
        <f ca="1"/>
        <v>0</v>
      </c>
      <c r="AC89" s="77">
        <f ca="1"/>
        <v>0</v>
      </c>
      <c r="AD89" s="77">
        <f ca="1"/>
        <v>0</v>
      </c>
      <c r="AE89" s="77">
        <f ca="1"/>
        <v>0</v>
      </c>
      <c r="AF89" s="261" t="str">
        <f ca="1"/>
        <v>N</v>
      </c>
      <c r="AG89" s="261">
        <f ca="1"/>
        <v>1</v>
      </c>
      <c r="AH89" s="261">
        <f ca="1"/>
        <v>1</v>
      </c>
      <c r="AI89" s="262">
        <f ca="1"/>
        <v>0</v>
      </c>
    </row>
    <row r="90" spans="1:35" hidden="1" outlineLevel="1" x14ac:dyDescent="0.25">
      <c r="A90" s="120">
        <f t="shared" si="83"/>
        <v>0</v>
      </c>
      <c r="B90" s="231"/>
      <c r="C90" s="77"/>
      <c r="D90" s="238"/>
      <c r="E90" s="76">
        <f ca="1">SUMIF(payNonMonth,"="&amp;$W90,$E$371:OFFSET($E$371,ROWS(payNonMonth)-1,0))</f>
        <v>0</v>
      </c>
      <c r="F90" s="76"/>
      <c r="G90" s="77">
        <f t="shared" ca="1" si="84"/>
        <v>0</v>
      </c>
      <c r="H90" s="76">
        <f t="shared" ca="1" si="73"/>
        <v>0</v>
      </c>
      <c r="I90" s="76">
        <f t="shared" ca="1" si="74"/>
        <v>0</v>
      </c>
      <c r="J90" s="233">
        <f t="shared" ca="1" si="75"/>
        <v>0</v>
      </c>
      <c r="K90" s="76">
        <f t="shared" ca="1" si="81"/>
        <v>0</v>
      </c>
      <c r="L90" s="76">
        <f t="shared" ca="1" si="76"/>
        <v>0</v>
      </c>
      <c r="M90" s="76">
        <f t="shared" ca="1" si="82"/>
        <v>0</v>
      </c>
      <c r="N90" s="76">
        <f t="shared" ca="1" si="77"/>
        <v>0</v>
      </c>
      <c r="O90" s="76"/>
      <c r="P90" s="76">
        <f t="shared" ca="1" si="78"/>
        <v>0</v>
      </c>
      <c r="Q90" s="76">
        <f t="shared" ca="1" si="85"/>
        <v>0</v>
      </c>
      <c r="R90" s="76">
        <f t="shared" ca="1" si="86"/>
        <v>0</v>
      </c>
      <c r="S90" s="232">
        <f t="shared" ca="1" si="79"/>
        <v>0</v>
      </c>
      <c r="U90" s="120" t="str">
        <f t="shared" si="80"/>
        <v>*:0</v>
      </c>
      <c r="V90" s="120" t="str">
        <f t="shared" si="87"/>
        <v>:</v>
      </c>
      <c r="W90" s="120" t="str">
        <f t="shared" si="88"/>
        <v>:</v>
      </c>
      <c r="X90" s="250">
        <f t="array" aca="1" ref="X90:AI90" ca="1">VLOOKUP($D90&amp;":"&amp;$C90,tblPayRates,{3,4,5,6,7,8,9,10,11,12,13,14},0)</f>
        <v>0</v>
      </c>
      <c r="Y90" s="16" t="str">
        <f ca="1"/>
        <v>Nobody</v>
      </c>
      <c r="Z90" s="261" t="str">
        <f ca="1"/>
        <v>M</v>
      </c>
      <c r="AA90" s="77" t="str">
        <f ca="1"/>
        <v>Daily</v>
      </c>
      <c r="AB90" s="77">
        <f ca="1"/>
        <v>0</v>
      </c>
      <c r="AC90" s="77">
        <f ca="1"/>
        <v>0</v>
      </c>
      <c r="AD90" s="77">
        <f ca="1"/>
        <v>0</v>
      </c>
      <c r="AE90" s="77">
        <f ca="1"/>
        <v>0</v>
      </c>
      <c r="AF90" s="261" t="str">
        <f ca="1"/>
        <v>N</v>
      </c>
      <c r="AG90" s="261">
        <f ca="1"/>
        <v>1</v>
      </c>
      <c r="AH90" s="261">
        <f ca="1"/>
        <v>1</v>
      </c>
      <c r="AI90" s="262">
        <f ca="1"/>
        <v>0</v>
      </c>
    </row>
    <row r="91" spans="1:35" hidden="1" outlineLevel="1" x14ac:dyDescent="0.25">
      <c r="A91" s="120">
        <f t="shared" si="83"/>
        <v>0</v>
      </c>
      <c r="B91" s="231"/>
      <c r="C91" s="77"/>
      <c r="D91" s="238"/>
      <c r="E91" s="76">
        <f ca="1">SUMIF(payNonMonth,"="&amp;$W91,$E$371:OFFSET($E$371,ROWS(payNonMonth)-1,0))</f>
        <v>0</v>
      </c>
      <c r="F91" s="76"/>
      <c r="G91" s="77">
        <f t="shared" ca="1" si="84"/>
        <v>0</v>
      </c>
      <c r="H91" s="76">
        <f t="shared" ca="1" si="73"/>
        <v>0</v>
      </c>
      <c r="I91" s="76">
        <f t="shared" ca="1" si="74"/>
        <v>0</v>
      </c>
      <c r="J91" s="233">
        <f t="shared" ca="1" si="75"/>
        <v>0</v>
      </c>
      <c r="K91" s="76">
        <f t="shared" ca="1" si="81"/>
        <v>0</v>
      </c>
      <c r="L91" s="76">
        <f t="shared" ca="1" si="76"/>
        <v>0</v>
      </c>
      <c r="M91" s="76">
        <f t="shared" ca="1" si="82"/>
        <v>0</v>
      </c>
      <c r="N91" s="76">
        <f t="shared" ca="1" si="77"/>
        <v>0</v>
      </c>
      <c r="O91" s="76"/>
      <c r="P91" s="76">
        <f t="shared" ca="1" si="78"/>
        <v>0</v>
      </c>
      <c r="Q91" s="76">
        <f t="shared" ca="1" si="85"/>
        <v>0</v>
      </c>
      <c r="R91" s="76">
        <f t="shared" ca="1" si="86"/>
        <v>0</v>
      </c>
      <c r="S91" s="232">
        <f t="shared" ca="1" si="79"/>
        <v>0</v>
      </c>
      <c r="U91" s="120" t="str">
        <f t="shared" si="80"/>
        <v>*:0</v>
      </c>
      <c r="V91" s="120" t="str">
        <f t="shared" si="87"/>
        <v>:</v>
      </c>
      <c r="W91" s="120" t="str">
        <f t="shared" si="88"/>
        <v>:</v>
      </c>
      <c r="X91" s="250">
        <f t="array" aca="1" ref="X91:AI91" ca="1">VLOOKUP($D91&amp;":"&amp;$C91,tblPayRates,{3,4,5,6,7,8,9,10,11,12,13,14},0)</f>
        <v>0</v>
      </c>
      <c r="Y91" s="16" t="str">
        <f ca="1"/>
        <v>Nobody</v>
      </c>
      <c r="Z91" s="261" t="str">
        <f ca="1"/>
        <v>M</v>
      </c>
      <c r="AA91" s="77" t="str">
        <f ca="1"/>
        <v>Daily</v>
      </c>
      <c r="AB91" s="77">
        <f ca="1"/>
        <v>0</v>
      </c>
      <c r="AC91" s="77">
        <f ca="1"/>
        <v>0</v>
      </c>
      <c r="AD91" s="77">
        <f ca="1"/>
        <v>0</v>
      </c>
      <c r="AE91" s="77">
        <f ca="1"/>
        <v>0</v>
      </c>
      <c r="AF91" s="261" t="str">
        <f ca="1"/>
        <v>N</v>
      </c>
      <c r="AG91" s="261">
        <f ca="1"/>
        <v>1</v>
      </c>
      <c r="AH91" s="261">
        <f ca="1"/>
        <v>1</v>
      </c>
      <c r="AI91" s="262">
        <f ca="1"/>
        <v>0</v>
      </c>
    </row>
    <row r="92" spans="1:35" hidden="1" outlineLevel="1" x14ac:dyDescent="0.25">
      <c r="A92" s="120">
        <f t="shared" si="83"/>
        <v>0</v>
      </c>
      <c r="B92" s="231"/>
      <c r="C92" s="77"/>
      <c r="D92" s="238"/>
      <c r="E92" s="76">
        <f ca="1">SUMIF(payNonMonth,"="&amp;$W92,$E$371:OFFSET($E$371,ROWS(payNonMonth)-1,0))</f>
        <v>0</v>
      </c>
      <c r="F92" s="76"/>
      <c r="G92" s="77">
        <f t="shared" ca="1" si="84"/>
        <v>0</v>
      </c>
      <c r="H92" s="76">
        <f t="shared" ca="1" si="73"/>
        <v>0</v>
      </c>
      <c r="I92" s="76">
        <f t="shared" ca="1" si="74"/>
        <v>0</v>
      </c>
      <c r="J92" s="233">
        <f t="shared" ca="1" si="75"/>
        <v>0</v>
      </c>
      <c r="K92" s="76">
        <f t="shared" ca="1" si="81"/>
        <v>0</v>
      </c>
      <c r="L92" s="76">
        <f t="shared" ca="1" si="76"/>
        <v>0</v>
      </c>
      <c r="M92" s="76">
        <f t="shared" ca="1" si="82"/>
        <v>0</v>
      </c>
      <c r="N92" s="76">
        <f t="shared" ca="1" si="77"/>
        <v>0</v>
      </c>
      <c r="O92" s="76"/>
      <c r="P92" s="76">
        <f t="shared" ca="1" si="78"/>
        <v>0</v>
      </c>
      <c r="Q92" s="76">
        <f t="shared" ca="1" si="85"/>
        <v>0</v>
      </c>
      <c r="R92" s="76">
        <f t="shared" ca="1" si="86"/>
        <v>0</v>
      </c>
      <c r="S92" s="232">
        <f t="shared" ca="1" si="79"/>
        <v>0</v>
      </c>
      <c r="U92" s="120" t="str">
        <f t="shared" si="80"/>
        <v>*:0</v>
      </c>
      <c r="V92" s="120" t="str">
        <f t="shared" si="87"/>
        <v>:</v>
      </c>
      <c r="W92" s="120" t="str">
        <f t="shared" si="88"/>
        <v>:</v>
      </c>
      <c r="X92" s="250">
        <f t="array" aca="1" ref="X92:AI92" ca="1">VLOOKUP($D92&amp;":"&amp;$C92,tblPayRates,{3,4,5,6,7,8,9,10,11,12,13,14},0)</f>
        <v>0</v>
      </c>
      <c r="Y92" s="16" t="str">
        <f ca="1"/>
        <v>Nobody</v>
      </c>
      <c r="Z92" s="261" t="str">
        <f ca="1"/>
        <v>M</v>
      </c>
      <c r="AA92" s="77" t="str">
        <f ca="1"/>
        <v>Daily</v>
      </c>
      <c r="AB92" s="77">
        <f ca="1"/>
        <v>0</v>
      </c>
      <c r="AC92" s="77">
        <f ca="1"/>
        <v>0</v>
      </c>
      <c r="AD92" s="77">
        <f ca="1"/>
        <v>0</v>
      </c>
      <c r="AE92" s="77">
        <f ca="1"/>
        <v>0</v>
      </c>
      <c r="AF92" s="261" t="str">
        <f ca="1"/>
        <v>N</v>
      </c>
      <c r="AG92" s="261">
        <f ca="1"/>
        <v>1</v>
      </c>
      <c r="AH92" s="261">
        <f ca="1"/>
        <v>1</v>
      </c>
      <c r="AI92" s="262">
        <f ca="1"/>
        <v>0</v>
      </c>
    </row>
    <row r="93" spans="1:35" hidden="1" outlineLevel="1" x14ac:dyDescent="0.25">
      <c r="A93" s="120">
        <f t="shared" si="83"/>
        <v>0</v>
      </c>
      <c r="B93" s="231"/>
      <c r="C93" s="77"/>
      <c r="D93" s="238"/>
      <c r="E93" s="76">
        <f ca="1">SUMIF(payNonMonth,"="&amp;$W93,$E$371:OFFSET($E$371,ROWS(payNonMonth)-1,0))</f>
        <v>0</v>
      </c>
      <c r="F93" s="76"/>
      <c r="G93" s="77">
        <f t="shared" ca="1" si="84"/>
        <v>0</v>
      </c>
      <c r="H93" s="76">
        <f t="shared" ca="1" si="73"/>
        <v>0</v>
      </c>
      <c r="I93" s="76">
        <f t="shared" ca="1" si="74"/>
        <v>0</v>
      </c>
      <c r="J93" s="233">
        <f t="shared" ca="1" si="75"/>
        <v>0</v>
      </c>
      <c r="K93" s="76">
        <f t="shared" ca="1" si="81"/>
        <v>0</v>
      </c>
      <c r="L93" s="76">
        <f t="shared" ca="1" si="76"/>
        <v>0</v>
      </c>
      <c r="M93" s="76">
        <f t="shared" ca="1" si="82"/>
        <v>0</v>
      </c>
      <c r="N93" s="76">
        <f t="shared" ca="1" si="77"/>
        <v>0</v>
      </c>
      <c r="O93" s="76"/>
      <c r="P93" s="76">
        <f t="shared" ca="1" si="78"/>
        <v>0</v>
      </c>
      <c r="Q93" s="76">
        <f t="shared" ca="1" si="85"/>
        <v>0</v>
      </c>
      <c r="R93" s="76">
        <f t="shared" ca="1" si="86"/>
        <v>0</v>
      </c>
      <c r="S93" s="232">
        <f t="shared" ca="1" si="79"/>
        <v>0</v>
      </c>
      <c r="U93" s="120" t="str">
        <f t="shared" si="80"/>
        <v>*:0</v>
      </c>
      <c r="V93" s="120" t="str">
        <f t="shared" si="87"/>
        <v>:</v>
      </c>
      <c r="W93" s="120" t="str">
        <f t="shared" si="88"/>
        <v>:</v>
      </c>
      <c r="X93" s="250">
        <f t="array" aca="1" ref="X93:AI93" ca="1">VLOOKUP($D93&amp;":"&amp;$C93,tblPayRates,{3,4,5,6,7,8,9,10,11,12,13,14},0)</f>
        <v>0</v>
      </c>
      <c r="Y93" s="16" t="str">
        <f ca="1"/>
        <v>Nobody</v>
      </c>
      <c r="Z93" s="261" t="str">
        <f ca="1"/>
        <v>M</v>
      </c>
      <c r="AA93" s="77" t="str">
        <f ca="1"/>
        <v>Daily</v>
      </c>
      <c r="AB93" s="77">
        <f ca="1"/>
        <v>0</v>
      </c>
      <c r="AC93" s="77">
        <f ca="1"/>
        <v>0</v>
      </c>
      <c r="AD93" s="77">
        <f ca="1"/>
        <v>0</v>
      </c>
      <c r="AE93" s="77">
        <f ca="1"/>
        <v>0</v>
      </c>
      <c r="AF93" s="261" t="str">
        <f ca="1"/>
        <v>N</v>
      </c>
      <c r="AG93" s="261">
        <f ca="1"/>
        <v>1</v>
      </c>
      <c r="AH93" s="261">
        <f ca="1"/>
        <v>1</v>
      </c>
      <c r="AI93" s="262">
        <f ca="1"/>
        <v>0</v>
      </c>
    </row>
    <row r="94" spans="1:35" hidden="1" outlineLevel="1" x14ac:dyDescent="0.25">
      <c r="A94" s="120">
        <f t="shared" si="83"/>
        <v>0</v>
      </c>
      <c r="B94" s="231"/>
      <c r="C94" s="77"/>
      <c r="D94" s="238"/>
      <c r="E94" s="76">
        <f ca="1">SUMIF(payNonMonth,"="&amp;$W94,$E$371:OFFSET($E$371,ROWS(payNonMonth)-1,0))</f>
        <v>0</v>
      </c>
      <c r="F94" s="76"/>
      <c r="G94" s="77">
        <f t="shared" ca="1" si="84"/>
        <v>0</v>
      </c>
      <c r="H94" s="76">
        <f t="shared" ca="1" si="73"/>
        <v>0</v>
      </c>
      <c r="I94" s="76">
        <f t="shared" ca="1" si="74"/>
        <v>0</v>
      </c>
      <c r="J94" s="233">
        <f t="shared" ca="1" si="75"/>
        <v>0</v>
      </c>
      <c r="K94" s="76">
        <f t="shared" ca="1" si="81"/>
        <v>0</v>
      </c>
      <c r="L94" s="76">
        <f t="shared" ca="1" si="76"/>
        <v>0</v>
      </c>
      <c r="M94" s="76">
        <f t="shared" ca="1" si="82"/>
        <v>0</v>
      </c>
      <c r="N94" s="76">
        <f t="shared" ca="1" si="77"/>
        <v>0</v>
      </c>
      <c r="O94" s="76"/>
      <c r="P94" s="76">
        <f t="shared" ca="1" si="78"/>
        <v>0</v>
      </c>
      <c r="Q94" s="76">
        <f t="shared" ca="1" si="85"/>
        <v>0</v>
      </c>
      <c r="R94" s="76">
        <f t="shared" ca="1" si="86"/>
        <v>0</v>
      </c>
      <c r="S94" s="232">
        <f t="shared" ca="1" si="79"/>
        <v>0</v>
      </c>
      <c r="U94" s="120" t="str">
        <f t="shared" si="80"/>
        <v>*:0</v>
      </c>
      <c r="V94" s="120" t="str">
        <f t="shared" si="87"/>
        <v>:</v>
      </c>
      <c r="W94" s="120" t="str">
        <f t="shared" si="88"/>
        <v>:</v>
      </c>
      <c r="X94" s="250">
        <f t="array" aca="1" ref="X94:AI94" ca="1">VLOOKUP($D94&amp;":"&amp;$C94,tblPayRates,{3,4,5,6,7,8,9,10,11,12,13,14},0)</f>
        <v>0</v>
      </c>
      <c r="Y94" s="16" t="str">
        <f ca="1"/>
        <v>Nobody</v>
      </c>
      <c r="Z94" s="261" t="str">
        <f ca="1"/>
        <v>M</v>
      </c>
      <c r="AA94" s="77" t="str">
        <f ca="1"/>
        <v>Daily</v>
      </c>
      <c r="AB94" s="77">
        <f ca="1"/>
        <v>0</v>
      </c>
      <c r="AC94" s="77">
        <f ca="1"/>
        <v>0</v>
      </c>
      <c r="AD94" s="77">
        <f ca="1"/>
        <v>0</v>
      </c>
      <c r="AE94" s="77">
        <f ca="1"/>
        <v>0</v>
      </c>
      <c r="AF94" s="261" t="str">
        <f ca="1"/>
        <v>N</v>
      </c>
      <c r="AG94" s="261">
        <f ca="1"/>
        <v>1</v>
      </c>
      <c r="AH94" s="261">
        <f ca="1"/>
        <v>1</v>
      </c>
      <c r="AI94" s="262">
        <f ca="1"/>
        <v>0</v>
      </c>
    </row>
    <row r="95" spans="1:35" hidden="1" outlineLevel="1" x14ac:dyDescent="0.25">
      <c r="A95" s="120">
        <f t="shared" si="83"/>
        <v>0</v>
      </c>
      <c r="B95" s="231"/>
      <c r="C95" s="77"/>
      <c r="D95" s="238"/>
      <c r="E95" s="76">
        <f ca="1">SUMIF(payNonMonth,"="&amp;$W95,$E$371:OFFSET($E$371,ROWS(payNonMonth)-1,0))</f>
        <v>0</v>
      </c>
      <c r="F95" s="76"/>
      <c r="G95" s="77">
        <f t="shared" ca="1" si="84"/>
        <v>0</v>
      </c>
      <c r="H95" s="76">
        <f t="shared" ca="1" si="73"/>
        <v>0</v>
      </c>
      <c r="I95" s="76">
        <f t="shared" ca="1" si="74"/>
        <v>0</v>
      </c>
      <c r="J95" s="233">
        <f t="shared" ca="1" si="75"/>
        <v>0</v>
      </c>
      <c r="K95" s="76">
        <f t="shared" ca="1" si="81"/>
        <v>0</v>
      </c>
      <c r="L95" s="76">
        <f t="shared" ca="1" si="76"/>
        <v>0</v>
      </c>
      <c r="M95" s="76">
        <f t="shared" ca="1" si="82"/>
        <v>0</v>
      </c>
      <c r="N95" s="76">
        <f t="shared" ca="1" si="77"/>
        <v>0</v>
      </c>
      <c r="O95" s="76"/>
      <c r="P95" s="76">
        <f t="shared" ca="1" si="78"/>
        <v>0</v>
      </c>
      <c r="Q95" s="76">
        <f t="shared" ca="1" si="85"/>
        <v>0</v>
      </c>
      <c r="R95" s="76">
        <f t="shared" ca="1" si="86"/>
        <v>0</v>
      </c>
      <c r="S95" s="232">
        <f t="shared" ca="1" si="79"/>
        <v>0</v>
      </c>
      <c r="U95" s="120" t="str">
        <f t="shared" si="80"/>
        <v>*:0</v>
      </c>
      <c r="V95" s="120" t="str">
        <f t="shared" si="87"/>
        <v>:</v>
      </c>
      <c r="W95" s="120" t="str">
        <f t="shared" ref="W95:W100" si="89">C95 &amp;":"&amp; A95</f>
        <v>:0</v>
      </c>
      <c r="X95" s="250">
        <f t="array" aca="1" ref="X95:AI95" ca="1">VLOOKUP($D95&amp;":"&amp;$C95,tblPayRates,{3,4,5,6,7,8,9,10,11,12,13,14},0)</f>
        <v>0</v>
      </c>
      <c r="Y95" s="16" t="str">
        <f ca="1"/>
        <v>Nobody</v>
      </c>
      <c r="Z95" s="261" t="str">
        <f ca="1"/>
        <v>M</v>
      </c>
      <c r="AA95" s="77" t="str">
        <f ca="1"/>
        <v>Daily</v>
      </c>
      <c r="AB95" s="77">
        <f ca="1"/>
        <v>0</v>
      </c>
      <c r="AC95" s="77">
        <f ca="1"/>
        <v>0</v>
      </c>
      <c r="AD95" s="77">
        <f ca="1"/>
        <v>0</v>
      </c>
      <c r="AE95" s="77">
        <f ca="1"/>
        <v>0</v>
      </c>
      <c r="AF95" s="261" t="str">
        <f ca="1"/>
        <v>N</v>
      </c>
      <c r="AG95" s="261">
        <f ca="1"/>
        <v>1</v>
      </c>
      <c r="AH95" s="261">
        <f ca="1"/>
        <v>1</v>
      </c>
      <c r="AI95" s="262">
        <f ca="1"/>
        <v>0</v>
      </c>
    </row>
    <row r="96" spans="1:35" hidden="1" outlineLevel="1" x14ac:dyDescent="0.25">
      <c r="A96" s="120">
        <f t="shared" si="83"/>
        <v>0</v>
      </c>
      <c r="B96" s="231"/>
      <c r="C96" s="77"/>
      <c r="D96" s="238"/>
      <c r="E96" s="76">
        <f ca="1">SUMIF(payNonMonth,"="&amp;$W96,$E$371:OFFSET($E$371,ROWS(payNonMonth)-1,0))</f>
        <v>0</v>
      </c>
      <c r="F96" s="76"/>
      <c r="G96" s="77">
        <f t="shared" ca="1" si="84"/>
        <v>0</v>
      </c>
      <c r="H96" s="76">
        <f t="shared" ca="1" si="73"/>
        <v>0</v>
      </c>
      <c r="I96" s="76">
        <f t="shared" ca="1" si="74"/>
        <v>0</v>
      </c>
      <c r="J96" s="233">
        <f t="shared" ca="1" si="75"/>
        <v>0</v>
      </c>
      <c r="K96" s="76">
        <f t="shared" ca="1" si="81"/>
        <v>0</v>
      </c>
      <c r="L96" s="76">
        <f t="shared" ca="1" si="76"/>
        <v>0</v>
      </c>
      <c r="M96" s="76">
        <f t="shared" ca="1" si="82"/>
        <v>0</v>
      </c>
      <c r="N96" s="76">
        <f t="shared" ca="1" si="77"/>
        <v>0</v>
      </c>
      <c r="O96" s="76"/>
      <c r="P96" s="76">
        <f t="shared" ca="1" si="78"/>
        <v>0</v>
      </c>
      <c r="Q96" s="76">
        <f t="shared" ca="1" si="85"/>
        <v>0</v>
      </c>
      <c r="R96" s="76">
        <f t="shared" ca="1" si="86"/>
        <v>0</v>
      </c>
      <c r="S96" s="232">
        <f t="shared" ca="1" si="79"/>
        <v>0</v>
      </c>
      <c r="U96" s="120" t="str">
        <f t="shared" si="80"/>
        <v>*:0</v>
      </c>
      <c r="V96" s="120" t="str">
        <f t="shared" si="87"/>
        <v>:</v>
      </c>
      <c r="W96" s="120" t="str">
        <f t="shared" si="89"/>
        <v>:0</v>
      </c>
      <c r="X96" s="250">
        <f t="array" aca="1" ref="X96:AI96" ca="1">VLOOKUP($D96&amp;":"&amp;$C96,tblPayRates,{3,4,5,6,7,8,9,10,11,12,13,14},0)</f>
        <v>0</v>
      </c>
      <c r="Y96" s="16" t="str">
        <f ca="1"/>
        <v>Nobody</v>
      </c>
      <c r="Z96" s="261" t="str">
        <f ca="1"/>
        <v>M</v>
      </c>
      <c r="AA96" s="77" t="str">
        <f ca="1"/>
        <v>Daily</v>
      </c>
      <c r="AB96" s="77">
        <f ca="1"/>
        <v>0</v>
      </c>
      <c r="AC96" s="77">
        <f ca="1"/>
        <v>0</v>
      </c>
      <c r="AD96" s="77">
        <f ca="1"/>
        <v>0</v>
      </c>
      <c r="AE96" s="77">
        <f ca="1"/>
        <v>0</v>
      </c>
      <c r="AF96" s="261" t="str">
        <f ca="1"/>
        <v>N</v>
      </c>
      <c r="AG96" s="261">
        <f ca="1"/>
        <v>1</v>
      </c>
      <c r="AH96" s="261">
        <f ca="1"/>
        <v>1</v>
      </c>
      <c r="AI96" s="262">
        <f ca="1"/>
        <v>0</v>
      </c>
    </row>
    <row r="97" spans="1:35" hidden="1" outlineLevel="1" x14ac:dyDescent="0.25">
      <c r="A97" s="120">
        <f t="shared" si="83"/>
        <v>0</v>
      </c>
      <c r="B97" s="231"/>
      <c r="C97" s="77"/>
      <c r="D97" s="238"/>
      <c r="E97" s="76">
        <f ca="1">SUMIF(payNonMonth,"="&amp;$W97,$E$371:OFFSET($E$371,ROWS(payNonMonth)-1,0))</f>
        <v>0</v>
      </c>
      <c r="F97" s="76"/>
      <c r="G97" s="77">
        <f t="shared" ca="1" si="84"/>
        <v>0</v>
      </c>
      <c r="H97" s="76">
        <f t="shared" ca="1" si="73"/>
        <v>0</v>
      </c>
      <c r="I97" s="76">
        <f t="shared" ca="1" si="74"/>
        <v>0</v>
      </c>
      <c r="J97" s="233">
        <f t="shared" ca="1" si="75"/>
        <v>0</v>
      </c>
      <c r="K97" s="76">
        <f t="shared" ca="1" si="81"/>
        <v>0</v>
      </c>
      <c r="L97" s="76">
        <f t="shared" ca="1" si="76"/>
        <v>0</v>
      </c>
      <c r="M97" s="76">
        <f t="shared" ca="1" si="82"/>
        <v>0</v>
      </c>
      <c r="N97" s="76">
        <f t="shared" ca="1" si="77"/>
        <v>0</v>
      </c>
      <c r="O97" s="76"/>
      <c r="P97" s="76">
        <f t="shared" ca="1" si="78"/>
        <v>0</v>
      </c>
      <c r="Q97" s="76">
        <f t="shared" ca="1" si="85"/>
        <v>0</v>
      </c>
      <c r="R97" s="76">
        <f t="shared" ca="1" si="86"/>
        <v>0</v>
      </c>
      <c r="S97" s="232">
        <f t="shared" ca="1" si="79"/>
        <v>0</v>
      </c>
      <c r="U97" s="120" t="str">
        <f t="shared" si="80"/>
        <v>*:0</v>
      </c>
      <c r="V97" s="120" t="str">
        <f t="shared" si="87"/>
        <v>:</v>
      </c>
      <c r="W97" s="120" t="str">
        <f t="shared" si="89"/>
        <v>:0</v>
      </c>
      <c r="X97" s="250">
        <f t="array" aca="1" ref="X97:AI97" ca="1">VLOOKUP($D97&amp;":"&amp;$C97,tblPayRates,{3,4,5,6,7,8,9,10,11,12,13,14},0)</f>
        <v>0</v>
      </c>
      <c r="Y97" s="16" t="str">
        <f ca="1"/>
        <v>Nobody</v>
      </c>
      <c r="Z97" s="261" t="str">
        <f ca="1"/>
        <v>M</v>
      </c>
      <c r="AA97" s="77" t="str">
        <f ca="1"/>
        <v>Daily</v>
      </c>
      <c r="AB97" s="77">
        <f ca="1"/>
        <v>0</v>
      </c>
      <c r="AC97" s="77">
        <f ca="1"/>
        <v>0</v>
      </c>
      <c r="AD97" s="77">
        <f ca="1"/>
        <v>0</v>
      </c>
      <c r="AE97" s="77">
        <f ca="1"/>
        <v>0</v>
      </c>
      <c r="AF97" s="261" t="str">
        <f ca="1"/>
        <v>N</v>
      </c>
      <c r="AG97" s="261">
        <f ca="1"/>
        <v>1</v>
      </c>
      <c r="AH97" s="261">
        <f ca="1"/>
        <v>1</v>
      </c>
      <c r="AI97" s="262">
        <f ca="1"/>
        <v>0</v>
      </c>
    </row>
    <row r="98" spans="1:35" hidden="1" outlineLevel="1" x14ac:dyDescent="0.25">
      <c r="A98" s="120">
        <f t="shared" si="83"/>
        <v>0</v>
      </c>
      <c r="B98" s="231"/>
      <c r="C98" s="77"/>
      <c r="D98" s="238"/>
      <c r="E98" s="76">
        <f ca="1">SUMIF(payNonMonth,"="&amp;$W98,$E$371:OFFSET($E$371,ROWS(payNonMonth)-1,0))</f>
        <v>0</v>
      </c>
      <c r="F98" s="76"/>
      <c r="G98" s="77">
        <f t="shared" ca="1" si="84"/>
        <v>0</v>
      </c>
      <c r="H98" s="76">
        <f t="shared" ca="1" si="73"/>
        <v>0</v>
      </c>
      <c r="I98" s="76">
        <f t="shared" ca="1" si="74"/>
        <v>0</v>
      </c>
      <c r="J98" s="233">
        <f t="shared" ca="1" si="75"/>
        <v>0</v>
      </c>
      <c r="K98" s="76">
        <f t="shared" ca="1" si="81"/>
        <v>0</v>
      </c>
      <c r="L98" s="76">
        <f t="shared" ca="1" si="76"/>
        <v>0</v>
      </c>
      <c r="M98" s="76">
        <f t="shared" ca="1" si="82"/>
        <v>0</v>
      </c>
      <c r="N98" s="76">
        <f t="shared" ca="1" si="77"/>
        <v>0</v>
      </c>
      <c r="O98" s="76"/>
      <c r="P98" s="76">
        <f t="shared" ca="1" si="78"/>
        <v>0</v>
      </c>
      <c r="Q98" s="76">
        <f t="shared" ca="1" si="85"/>
        <v>0</v>
      </c>
      <c r="R98" s="76">
        <f t="shared" ca="1" si="86"/>
        <v>0</v>
      </c>
      <c r="S98" s="232">
        <f t="shared" ca="1" si="79"/>
        <v>0</v>
      </c>
      <c r="U98" s="120" t="str">
        <f t="shared" si="80"/>
        <v>*:0</v>
      </c>
      <c r="V98" s="120" t="str">
        <f t="shared" si="87"/>
        <v>:</v>
      </c>
      <c r="W98" s="120" t="str">
        <f t="shared" si="89"/>
        <v>:0</v>
      </c>
      <c r="X98" s="250">
        <f t="array" aca="1" ref="X98:AI98" ca="1">VLOOKUP($D98&amp;":"&amp;$C98,tblPayRates,{3,4,5,6,7,8,9,10,11,12,13,14},0)</f>
        <v>0</v>
      </c>
      <c r="Y98" s="16" t="str">
        <f ca="1"/>
        <v>Nobody</v>
      </c>
      <c r="Z98" s="261" t="str">
        <f ca="1"/>
        <v>M</v>
      </c>
      <c r="AA98" s="77" t="str">
        <f ca="1"/>
        <v>Daily</v>
      </c>
      <c r="AB98" s="77">
        <f ca="1"/>
        <v>0</v>
      </c>
      <c r="AC98" s="77">
        <f ca="1"/>
        <v>0</v>
      </c>
      <c r="AD98" s="77">
        <f ca="1"/>
        <v>0</v>
      </c>
      <c r="AE98" s="77">
        <f ca="1"/>
        <v>0</v>
      </c>
      <c r="AF98" s="261" t="str">
        <f ca="1"/>
        <v>N</v>
      </c>
      <c r="AG98" s="261">
        <f ca="1"/>
        <v>1</v>
      </c>
      <c r="AH98" s="261">
        <f ca="1"/>
        <v>1</v>
      </c>
      <c r="AI98" s="262">
        <f ca="1"/>
        <v>0</v>
      </c>
    </row>
    <row r="99" spans="1:35" hidden="1" outlineLevel="1" x14ac:dyDescent="0.25">
      <c r="A99" s="120">
        <f t="shared" si="83"/>
        <v>0</v>
      </c>
      <c r="B99" s="231"/>
      <c r="C99" s="77"/>
      <c r="D99" s="238"/>
      <c r="E99" s="76">
        <f ca="1">SUMIF(payNonMonth,"="&amp;$W99,$E$371:OFFSET($E$371,ROWS(payNonMonth)-1,0))</f>
        <v>0</v>
      </c>
      <c r="F99" s="76"/>
      <c r="G99" s="77">
        <f t="shared" ca="1" si="84"/>
        <v>0</v>
      </c>
      <c r="H99" s="76">
        <f t="shared" ca="1" si="73"/>
        <v>0</v>
      </c>
      <c r="I99" s="76">
        <f t="shared" ca="1" si="74"/>
        <v>0</v>
      </c>
      <c r="J99" s="233">
        <f t="shared" ca="1" si="75"/>
        <v>0</v>
      </c>
      <c r="K99" s="76">
        <f t="shared" ca="1" si="81"/>
        <v>0</v>
      </c>
      <c r="L99" s="76">
        <f t="shared" ca="1" si="76"/>
        <v>0</v>
      </c>
      <c r="M99" s="76">
        <f t="shared" ca="1" si="82"/>
        <v>0</v>
      </c>
      <c r="N99" s="76">
        <f t="shared" ca="1" si="77"/>
        <v>0</v>
      </c>
      <c r="O99" s="76"/>
      <c r="P99" s="76">
        <f t="shared" ca="1" si="78"/>
        <v>0</v>
      </c>
      <c r="Q99" s="76">
        <f t="shared" ca="1" si="85"/>
        <v>0</v>
      </c>
      <c r="R99" s="76">
        <f t="shared" ca="1" si="86"/>
        <v>0</v>
      </c>
      <c r="S99" s="232">
        <f t="shared" ca="1" si="79"/>
        <v>0</v>
      </c>
      <c r="U99" s="120" t="str">
        <f t="shared" si="80"/>
        <v>*:0</v>
      </c>
      <c r="V99" s="120" t="str">
        <f t="shared" si="87"/>
        <v>:</v>
      </c>
      <c r="W99" s="120" t="str">
        <f t="shared" si="89"/>
        <v>:0</v>
      </c>
      <c r="X99" s="250">
        <f t="array" aca="1" ref="X99:AI99" ca="1">VLOOKUP($D99&amp;":"&amp;$C99,tblPayRates,{3,4,5,6,7,8,9,10,11,12,13,14},0)</f>
        <v>0</v>
      </c>
      <c r="Y99" s="16" t="str">
        <f ca="1"/>
        <v>Nobody</v>
      </c>
      <c r="Z99" s="261" t="str">
        <f ca="1"/>
        <v>M</v>
      </c>
      <c r="AA99" s="77" t="str">
        <f ca="1"/>
        <v>Daily</v>
      </c>
      <c r="AB99" s="77">
        <f ca="1"/>
        <v>0</v>
      </c>
      <c r="AC99" s="77">
        <f ca="1"/>
        <v>0</v>
      </c>
      <c r="AD99" s="77">
        <f ca="1"/>
        <v>0</v>
      </c>
      <c r="AE99" s="77">
        <f ca="1"/>
        <v>0</v>
      </c>
      <c r="AF99" s="261" t="str">
        <f ca="1"/>
        <v>N</v>
      </c>
      <c r="AG99" s="261">
        <f ca="1"/>
        <v>1</v>
      </c>
      <c r="AH99" s="261">
        <f ca="1"/>
        <v>1</v>
      </c>
      <c r="AI99" s="262">
        <f ca="1"/>
        <v>0</v>
      </c>
    </row>
    <row r="100" spans="1:35" hidden="1" outlineLevel="1" x14ac:dyDescent="0.25">
      <c r="A100" s="120">
        <f t="shared" si="83"/>
        <v>0</v>
      </c>
      <c r="B100" s="231"/>
      <c r="C100" s="77"/>
      <c r="D100" s="238"/>
      <c r="E100" s="76">
        <f ca="1">SUMIF(payNonMonth,"="&amp;$W100,$E$371:OFFSET($E$371,ROWS(payNonMonth)-1,0))</f>
        <v>0</v>
      </c>
      <c r="F100" s="76"/>
      <c r="G100" s="77">
        <f t="shared" ca="1" si="84"/>
        <v>0</v>
      </c>
      <c r="H100" s="76">
        <f t="shared" ca="1" si="73"/>
        <v>0</v>
      </c>
      <c r="I100" s="76">
        <f t="shared" ca="1" si="74"/>
        <v>0</v>
      </c>
      <c r="J100" s="233">
        <f t="shared" ca="1" si="75"/>
        <v>0</v>
      </c>
      <c r="K100" s="76">
        <f t="shared" ca="1" si="81"/>
        <v>0</v>
      </c>
      <c r="L100" s="76">
        <f t="shared" ca="1" si="76"/>
        <v>0</v>
      </c>
      <c r="M100" s="76">
        <f t="shared" ca="1" si="82"/>
        <v>0</v>
      </c>
      <c r="N100" s="76">
        <f t="shared" ca="1" si="77"/>
        <v>0</v>
      </c>
      <c r="O100" s="76"/>
      <c r="P100" s="76">
        <f t="shared" ca="1" si="78"/>
        <v>0</v>
      </c>
      <c r="Q100" s="76">
        <f t="shared" ca="1" si="85"/>
        <v>0</v>
      </c>
      <c r="R100" s="76">
        <f t="shared" ca="1" si="86"/>
        <v>0</v>
      </c>
      <c r="S100" s="232">
        <f t="shared" ca="1" si="79"/>
        <v>0</v>
      </c>
      <c r="U100" s="120" t="str">
        <f t="shared" si="80"/>
        <v>*:0</v>
      </c>
      <c r="V100" s="120" t="str">
        <f t="shared" si="87"/>
        <v>:</v>
      </c>
      <c r="W100" s="120" t="str">
        <f t="shared" si="89"/>
        <v>:0</v>
      </c>
      <c r="X100" s="250">
        <f t="array" aca="1" ref="X100:AI100" ca="1">VLOOKUP($D100&amp;":"&amp;$C100,tblPayRates,{3,4,5,6,7,8,9,10,11,12,13,14},0)</f>
        <v>0</v>
      </c>
      <c r="Y100" s="16" t="str">
        <f ca="1"/>
        <v>Nobody</v>
      </c>
      <c r="Z100" s="261" t="str">
        <f ca="1"/>
        <v>M</v>
      </c>
      <c r="AA100" s="77" t="str">
        <f ca="1"/>
        <v>Daily</v>
      </c>
      <c r="AB100" s="77">
        <f ca="1"/>
        <v>0</v>
      </c>
      <c r="AC100" s="77">
        <f ca="1"/>
        <v>0</v>
      </c>
      <c r="AD100" s="77">
        <f ca="1"/>
        <v>0</v>
      </c>
      <c r="AE100" s="77">
        <f ca="1"/>
        <v>0</v>
      </c>
      <c r="AF100" s="261" t="str">
        <f ca="1"/>
        <v>N</v>
      </c>
      <c r="AG100" s="261">
        <f ca="1"/>
        <v>1</v>
      </c>
      <c r="AH100" s="261">
        <f ca="1"/>
        <v>1</v>
      </c>
      <c r="AI100" s="262">
        <f ca="1"/>
        <v>0</v>
      </c>
    </row>
    <row r="101" spans="1:35" hidden="1" outlineLevel="1" x14ac:dyDescent="0.25">
      <c r="A101" s="120">
        <f t="shared" si="83"/>
        <v>0</v>
      </c>
      <c r="B101" s="231"/>
      <c r="C101" s="77"/>
      <c r="D101" s="238"/>
      <c r="E101" s="76">
        <f ca="1">SUMIF(payNonMonth,"="&amp;$W101,$E$371:OFFSET($E$371,ROWS(payNonMonth)-1,0))</f>
        <v>0</v>
      </c>
      <c r="F101" s="76"/>
      <c r="G101" s="77">
        <f t="shared" ca="1" si="84"/>
        <v>0</v>
      </c>
      <c r="H101" s="76">
        <f t="shared" ca="1" si="73"/>
        <v>0</v>
      </c>
      <c r="I101" s="76">
        <f t="shared" ca="1" si="74"/>
        <v>0</v>
      </c>
      <c r="J101" s="233">
        <f t="shared" ca="1" si="75"/>
        <v>0</v>
      </c>
      <c r="K101" s="76">
        <f t="shared" ca="1" si="81"/>
        <v>0</v>
      </c>
      <c r="L101" s="76">
        <f t="shared" ca="1" si="76"/>
        <v>0</v>
      </c>
      <c r="M101" s="76">
        <f t="shared" ca="1" si="82"/>
        <v>0</v>
      </c>
      <c r="N101" s="76">
        <f t="shared" ca="1" si="77"/>
        <v>0</v>
      </c>
      <c r="O101" s="76"/>
      <c r="P101" s="76">
        <f t="shared" ca="1" si="78"/>
        <v>0</v>
      </c>
      <c r="Q101" s="76">
        <f t="shared" ca="1" si="85"/>
        <v>0</v>
      </c>
      <c r="R101" s="76">
        <f t="shared" ca="1" si="86"/>
        <v>0</v>
      </c>
      <c r="S101" s="232">
        <f t="shared" ca="1" si="79"/>
        <v>0</v>
      </c>
      <c r="U101" s="120" t="str">
        <f t="shared" si="80"/>
        <v>*:0</v>
      </c>
      <c r="V101" s="120" t="str">
        <f t="shared" si="87"/>
        <v>:</v>
      </c>
      <c r="W101" s="120" t="str">
        <f>C101 &amp;":"&amp; B101</f>
        <v>:</v>
      </c>
      <c r="X101" s="250">
        <f t="array" aca="1" ref="X101:AI101" ca="1">VLOOKUP($D101&amp;":"&amp;$C101,tblPayRates,{3,4,5,6,7,8,9,10,11,12,13,14},0)</f>
        <v>0</v>
      </c>
      <c r="Y101" s="16" t="str">
        <f ca="1"/>
        <v>Nobody</v>
      </c>
      <c r="Z101" s="261" t="str">
        <f ca="1"/>
        <v>M</v>
      </c>
      <c r="AA101" s="77" t="str">
        <f ca="1"/>
        <v>Daily</v>
      </c>
      <c r="AB101" s="77">
        <f ca="1"/>
        <v>0</v>
      </c>
      <c r="AC101" s="77">
        <f ca="1"/>
        <v>0</v>
      </c>
      <c r="AD101" s="77">
        <f ca="1"/>
        <v>0</v>
      </c>
      <c r="AE101" s="77">
        <f ca="1"/>
        <v>0</v>
      </c>
      <c r="AF101" s="261" t="str">
        <f ca="1"/>
        <v>N</v>
      </c>
      <c r="AG101" s="261">
        <f ca="1"/>
        <v>1</v>
      </c>
      <c r="AH101" s="261">
        <f ca="1"/>
        <v>1</v>
      </c>
      <c r="AI101" s="262">
        <f ca="1"/>
        <v>0</v>
      </c>
    </row>
    <row r="102" spans="1:35" hidden="1" outlineLevel="1" x14ac:dyDescent="0.25">
      <c r="A102" s="120">
        <f t="shared" si="83"/>
        <v>0</v>
      </c>
      <c r="B102" s="231"/>
      <c r="C102" s="77"/>
      <c r="D102" s="238"/>
      <c r="E102" s="76">
        <f ca="1">SUMIF(payNonMonth,"="&amp;$W102,$E$371:OFFSET($E$371,ROWS(payNonMonth)-1,0))</f>
        <v>0</v>
      </c>
      <c r="F102" s="76"/>
      <c r="G102" s="77">
        <f t="shared" ca="1" si="84"/>
        <v>0</v>
      </c>
      <c r="H102" s="76">
        <f t="shared" ca="1" si="73"/>
        <v>0</v>
      </c>
      <c r="I102" s="76">
        <f t="shared" ca="1" si="74"/>
        <v>0</v>
      </c>
      <c r="J102" s="233">
        <f t="shared" ca="1" si="75"/>
        <v>0</v>
      </c>
      <c r="K102" s="76">
        <f t="shared" ca="1" si="81"/>
        <v>0</v>
      </c>
      <c r="L102" s="76">
        <f t="shared" ca="1" si="76"/>
        <v>0</v>
      </c>
      <c r="M102" s="76">
        <f t="shared" ca="1" si="82"/>
        <v>0</v>
      </c>
      <c r="N102" s="76">
        <f t="shared" ca="1" si="77"/>
        <v>0</v>
      </c>
      <c r="O102" s="76"/>
      <c r="P102" s="76">
        <f t="shared" ca="1" si="78"/>
        <v>0</v>
      </c>
      <c r="Q102" s="76">
        <f t="shared" ca="1" si="85"/>
        <v>0</v>
      </c>
      <c r="R102" s="76">
        <f t="shared" ca="1" si="86"/>
        <v>0</v>
      </c>
      <c r="S102" s="232">
        <f t="shared" ca="1" si="79"/>
        <v>0</v>
      </c>
      <c r="U102" s="120" t="str">
        <f t="shared" si="80"/>
        <v>*:0</v>
      </c>
      <c r="V102" s="120" t="str">
        <f t="shared" si="87"/>
        <v>:</v>
      </c>
      <c r="W102" s="120" t="str">
        <f>C102 &amp;":"&amp; B102</f>
        <v>:</v>
      </c>
      <c r="X102" s="250">
        <f t="array" aca="1" ref="X102:AI102" ca="1">VLOOKUP($D102&amp;":"&amp;$C102,tblPayRates,{3,4,5,6,7,8,9,10,11,12,13,14},0)</f>
        <v>0</v>
      </c>
      <c r="Y102" s="16" t="str">
        <f ca="1"/>
        <v>Nobody</v>
      </c>
      <c r="Z102" s="261" t="str">
        <f ca="1"/>
        <v>M</v>
      </c>
      <c r="AA102" s="77" t="str">
        <f ca="1"/>
        <v>Daily</v>
      </c>
      <c r="AB102" s="77">
        <f ca="1"/>
        <v>0</v>
      </c>
      <c r="AC102" s="77">
        <f ca="1"/>
        <v>0</v>
      </c>
      <c r="AD102" s="77">
        <f ca="1"/>
        <v>0</v>
      </c>
      <c r="AE102" s="77">
        <f ca="1"/>
        <v>0</v>
      </c>
      <c r="AF102" s="261" t="str">
        <f ca="1"/>
        <v>N</v>
      </c>
      <c r="AG102" s="261">
        <f ca="1"/>
        <v>1</v>
      </c>
      <c r="AH102" s="261">
        <f ca="1"/>
        <v>1</v>
      </c>
      <c r="AI102" s="262">
        <f ca="1"/>
        <v>0</v>
      </c>
    </row>
    <row r="103" spans="1:35" hidden="1" outlineLevel="1" x14ac:dyDescent="0.25">
      <c r="A103" s="120">
        <f t="shared" si="83"/>
        <v>0</v>
      </c>
      <c r="B103" s="231"/>
      <c r="C103" s="77"/>
      <c r="D103" s="238"/>
      <c r="E103" s="76">
        <f ca="1">SUMIF(payNonMonth,"="&amp;$W103,$E$371:OFFSET($E$371,ROWS(payNonMonth)-1,0))</f>
        <v>0</v>
      </c>
      <c r="F103" s="76"/>
      <c r="G103" s="77">
        <f t="shared" ca="1" si="84"/>
        <v>0</v>
      </c>
      <c r="H103" s="76">
        <f t="shared" ca="1" si="73"/>
        <v>0</v>
      </c>
      <c r="I103" s="76">
        <f t="shared" ca="1" si="74"/>
        <v>0</v>
      </c>
      <c r="J103" s="233">
        <f t="shared" ca="1" si="75"/>
        <v>0</v>
      </c>
      <c r="K103" s="76">
        <f t="shared" ca="1" si="81"/>
        <v>0</v>
      </c>
      <c r="L103" s="76">
        <f t="shared" ca="1" si="76"/>
        <v>0</v>
      </c>
      <c r="M103" s="76">
        <f t="shared" ca="1" si="82"/>
        <v>0</v>
      </c>
      <c r="N103" s="76">
        <f t="shared" ca="1" si="77"/>
        <v>0</v>
      </c>
      <c r="O103" s="76"/>
      <c r="P103" s="76">
        <f t="shared" ca="1" si="78"/>
        <v>0</v>
      </c>
      <c r="Q103" s="76">
        <f t="shared" ca="1" si="85"/>
        <v>0</v>
      </c>
      <c r="R103" s="76">
        <f t="shared" ca="1" si="86"/>
        <v>0</v>
      </c>
      <c r="S103" s="232">
        <f t="shared" ca="1" si="79"/>
        <v>0</v>
      </c>
      <c r="U103" s="120" t="str">
        <f t="shared" si="80"/>
        <v>*:0</v>
      </c>
      <c r="V103" s="120" t="str">
        <f t="shared" si="87"/>
        <v>:</v>
      </c>
      <c r="W103" s="120" t="str">
        <f>C103 &amp;":"&amp; B103</f>
        <v>:</v>
      </c>
      <c r="X103" s="250">
        <f t="array" aca="1" ref="X103:AI103" ca="1">VLOOKUP($D103&amp;":"&amp;$C103,tblPayRates,{3,4,5,6,7,8,9,10,11,12,13,14},0)</f>
        <v>0</v>
      </c>
      <c r="Y103" s="16" t="str">
        <f ca="1"/>
        <v>Nobody</v>
      </c>
      <c r="Z103" s="261" t="str">
        <f ca="1"/>
        <v>M</v>
      </c>
      <c r="AA103" s="77" t="str">
        <f ca="1"/>
        <v>Daily</v>
      </c>
      <c r="AB103" s="77">
        <f ca="1"/>
        <v>0</v>
      </c>
      <c r="AC103" s="77">
        <f ca="1"/>
        <v>0</v>
      </c>
      <c r="AD103" s="77">
        <f ca="1"/>
        <v>0</v>
      </c>
      <c r="AE103" s="77">
        <f ca="1"/>
        <v>0</v>
      </c>
      <c r="AF103" s="261" t="str">
        <f ca="1"/>
        <v>N</v>
      </c>
      <c r="AG103" s="261">
        <f ca="1"/>
        <v>1</v>
      </c>
      <c r="AH103" s="261">
        <f ca="1"/>
        <v>1</v>
      </c>
      <c r="AI103" s="262">
        <f ca="1"/>
        <v>0</v>
      </c>
    </row>
    <row r="104" spans="1:35" hidden="1" outlineLevel="1" x14ac:dyDescent="0.25">
      <c r="A104" s="120">
        <f t="shared" si="83"/>
        <v>0</v>
      </c>
      <c r="B104" s="231"/>
      <c r="C104" s="77"/>
      <c r="D104" s="238"/>
      <c r="E104" s="76">
        <f ca="1">SUMIF(payNonMonth,"="&amp;$W104,$E$371:OFFSET($E$371,ROWS(payNonMonth)-1,0))</f>
        <v>0</v>
      </c>
      <c r="F104" s="76"/>
      <c r="G104" s="77">
        <f t="shared" ca="1" si="84"/>
        <v>0</v>
      </c>
      <c r="H104" s="76">
        <f t="shared" ca="1" si="73"/>
        <v>0</v>
      </c>
      <c r="I104" s="76">
        <f t="shared" ca="1" si="74"/>
        <v>0</v>
      </c>
      <c r="J104" s="233">
        <f t="shared" ca="1" si="75"/>
        <v>0</v>
      </c>
      <c r="K104" s="76">
        <f t="shared" ca="1" si="81"/>
        <v>0</v>
      </c>
      <c r="L104" s="76">
        <f t="shared" ca="1" si="76"/>
        <v>0</v>
      </c>
      <c r="M104" s="76">
        <f t="shared" ca="1" si="82"/>
        <v>0</v>
      </c>
      <c r="N104" s="76">
        <f t="shared" ca="1" si="77"/>
        <v>0</v>
      </c>
      <c r="O104" s="76"/>
      <c r="P104" s="76">
        <f t="shared" ca="1" si="78"/>
        <v>0</v>
      </c>
      <c r="Q104" s="76">
        <f t="shared" ca="1" si="85"/>
        <v>0</v>
      </c>
      <c r="R104" s="76">
        <f t="shared" ca="1" si="86"/>
        <v>0</v>
      </c>
      <c r="S104" s="232">
        <f t="shared" ca="1" si="79"/>
        <v>0</v>
      </c>
      <c r="U104" s="120" t="str">
        <f t="shared" si="80"/>
        <v>*:0</v>
      </c>
      <c r="V104" s="120" t="str">
        <f t="shared" si="87"/>
        <v>:</v>
      </c>
      <c r="W104" s="120" t="str">
        <f>C104 &amp;":"&amp; B104</f>
        <v>:</v>
      </c>
      <c r="X104" s="250">
        <f t="array" aca="1" ref="X104:AI104" ca="1">VLOOKUP($D104&amp;":"&amp;$C104,tblPayRates,{3,4,5,6,7,8,9,10,11,12,13,14},0)</f>
        <v>0</v>
      </c>
      <c r="Y104" s="16" t="str">
        <f ca="1"/>
        <v>Nobody</v>
      </c>
      <c r="Z104" s="261" t="str">
        <f ca="1"/>
        <v>M</v>
      </c>
      <c r="AA104" s="77" t="str">
        <f ca="1"/>
        <v>Daily</v>
      </c>
      <c r="AB104" s="77">
        <f ca="1"/>
        <v>0</v>
      </c>
      <c r="AC104" s="77">
        <f ca="1"/>
        <v>0</v>
      </c>
      <c r="AD104" s="77">
        <f ca="1"/>
        <v>0</v>
      </c>
      <c r="AE104" s="77">
        <f ca="1"/>
        <v>0</v>
      </c>
      <c r="AF104" s="261" t="str">
        <f ca="1"/>
        <v>N</v>
      </c>
      <c r="AG104" s="261">
        <f ca="1"/>
        <v>1</v>
      </c>
      <c r="AH104" s="261">
        <f ca="1"/>
        <v>1</v>
      </c>
      <c r="AI104" s="262">
        <f ca="1"/>
        <v>0</v>
      </c>
    </row>
    <row r="105" spans="1:35" hidden="1" outlineLevel="1" x14ac:dyDescent="0.25">
      <c r="A105" s="120">
        <f t="shared" si="83"/>
        <v>0</v>
      </c>
      <c r="B105" s="231"/>
      <c r="C105" s="77"/>
      <c r="D105" s="238"/>
      <c r="E105" s="76">
        <f ca="1">SUMIF(payNonMonth,"="&amp;$W105,$E$371:OFFSET($E$371,ROWS(payNonMonth)-1,0))</f>
        <v>0</v>
      </c>
      <c r="F105" s="76"/>
      <c r="G105" s="77">
        <f t="shared" ca="1" si="84"/>
        <v>0</v>
      </c>
      <c r="H105" s="76">
        <f t="shared" ca="1" si="73"/>
        <v>0</v>
      </c>
      <c r="I105" s="76">
        <f t="shared" ca="1" si="74"/>
        <v>0</v>
      </c>
      <c r="J105" s="233">
        <f t="shared" ca="1" si="75"/>
        <v>0</v>
      </c>
      <c r="K105" s="76">
        <f t="shared" ca="1" si="81"/>
        <v>0</v>
      </c>
      <c r="L105" s="76">
        <f t="shared" ca="1" si="76"/>
        <v>0</v>
      </c>
      <c r="M105" s="76">
        <f t="shared" ca="1" si="82"/>
        <v>0</v>
      </c>
      <c r="N105" s="76">
        <f t="shared" ca="1" si="77"/>
        <v>0</v>
      </c>
      <c r="O105" s="76"/>
      <c r="P105" s="76">
        <f t="shared" ca="1" si="78"/>
        <v>0</v>
      </c>
      <c r="Q105" s="76">
        <f t="shared" ca="1" si="85"/>
        <v>0</v>
      </c>
      <c r="R105" s="76">
        <f t="shared" ca="1" si="86"/>
        <v>0</v>
      </c>
      <c r="S105" s="232">
        <f t="shared" ca="1" si="79"/>
        <v>0</v>
      </c>
      <c r="U105" s="120" t="str">
        <f t="shared" si="80"/>
        <v>*:0</v>
      </c>
      <c r="V105" s="120" t="str">
        <f t="shared" si="87"/>
        <v>:</v>
      </c>
      <c r="W105" s="120" t="str">
        <f t="shared" ref="W105:W110" si="90">C105 &amp;":"&amp; A105</f>
        <v>:0</v>
      </c>
      <c r="X105" s="250">
        <f t="array" aca="1" ref="X105:AI105" ca="1">VLOOKUP($D105&amp;":"&amp;$C105,tblPayRates,{3,4,5,6,7,8,9,10,11,12,13,14},0)</f>
        <v>0</v>
      </c>
      <c r="Y105" s="16" t="str">
        <f ca="1"/>
        <v>Nobody</v>
      </c>
      <c r="Z105" s="261" t="str">
        <f ca="1"/>
        <v>M</v>
      </c>
      <c r="AA105" s="77" t="str">
        <f ca="1"/>
        <v>Daily</v>
      </c>
      <c r="AB105" s="77">
        <f ca="1"/>
        <v>0</v>
      </c>
      <c r="AC105" s="77">
        <f ca="1"/>
        <v>0</v>
      </c>
      <c r="AD105" s="77">
        <f ca="1"/>
        <v>0</v>
      </c>
      <c r="AE105" s="77">
        <f ca="1"/>
        <v>0</v>
      </c>
      <c r="AF105" s="261" t="str">
        <f ca="1"/>
        <v>N</v>
      </c>
      <c r="AG105" s="261">
        <f ca="1"/>
        <v>1</v>
      </c>
      <c r="AH105" s="261">
        <f ca="1"/>
        <v>1</v>
      </c>
      <c r="AI105" s="262">
        <f ca="1"/>
        <v>0</v>
      </c>
    </row>
    <row r="106" spans="1:35" hidden="1" outlineLevel="1" x14ac:dyDescent="0.25">
      <c r="A106" s="120">
        <f t="shared" si="83"/>
        <v>0</v>
      </c>
      <c r="B106" s="231"/>
      <c r="C106" s="77"/>
      <c r="D106" s="238"/>
      <c r="E106" s="76">
        <f ca="1">SUMIF(payNonMonth,"="&amp;$W106,$E$371:OFFSET($E$371,ROWS(payNonMonth)-1,0))</f>
        <v>0</v>
      </c>
      <c r="F106" s="76"/>
      <c r="G106" s="77">
        <f t="shared" ca="1" si="84"/>
        <v>0</v>
      </c>
      <c r="H106" s="76">
        <f t="shared" ca="1" si="73"/>
        <v>0</v>
      </c>
      <c r="I106" s="76">
        <f t="shared" ca="1" si="74"/>
        <v>0</v>
      </c>
      <c r="J106" s="233">
        <f t="shared" ca="1" si="75"/>
        <v>0</v>
      </c>
      <c r="K106" s="76">
        <f t="shared" ca="1" si="81"/>
        <v>0</v>
      </c>
      <c r="L106" s="76">
        <f t="shared" ca="1" si="76"/>
        <v>0</v>
      </c>
      <c r="M106" s="76">
        <f t="shared" ca="1" si="82"/>
        <v>0</v>
      </c>
      <c r="N106" s="76">
        <f t="shared" ca="1" si="77"/>
        <v>0</v>
      </c>
      <c r="O106" s="76"/>
      <c r="P106" s="76">
        <f t="shared" ca="1" si="78"/>
        <v>0</v>
      </c>
      <c r="Q106" s="76">
        <f t="shared" ca="1" si="85"/>
        <v>0</v>
      </c>
      <c r="R106" s="76">
        <f t="shared" ca="1" si="86"/>
        <v>0</v>
      </c>
      <c r="S106" s="232">
        <f t="shared" ca="1" si="79"/>
        <v>0</v>
      </c>
      <c r="U106" s="120" t="str">
        <f t="shared" si="80"/>
        <v>*:0</v>
      </c>
      <c r="V106" s="120" t="str">
        <f t="shared" si="87"/>
        <v>:</v>
      </c>
      <c r="W106" s="120" t="str">
        <f t="shared" si="90"/>
        <v>:0</v>
      </c>
      <c r="X106" s="250">
        <f t="array" aca="1" ref="X106:AI106" ca="1">VLOOKUP($D106&amp;":"&amp;$C106,tblPayRates,{3,4,5,6,7,8,9,10,11,12,13,14},0)</f>
        <v>0</v>
      </c>
      <c r="Y106" s="16" t="str">
        <f ca="1"/>
        <v>Nobody</v>
      </c>
      <c r="Z106" s="261" t="str">
        <f ca="1"/>
        <v>M</v>
      </c>
      <c r="AA106" s="77" t="str">
        <f ca="1"/>
        <v>Daily</v>
      </c>
      <c r="AB106" s="77">
        <f ca="1"/>
        <v>0</v>
      </c>
      <c r="AC106" s="77">
        <f ca="1"/>
        <v>0</v>
      </c>
      <c r="AD106" s="77">
        <f ca="1"/>
        <v>0</v>
      </c>
      <c r="AE106" s="77">
        <f ca="1"/>
        <v>0</v>
      </c>
      <c r="AF106" s="261" t="str">
        <f ca="1"/>
        <v>N</v>
      </c>
      <c r="AG106" s="261">
        <f ca="1"/>
        <v>1</v>
      </c>
      <c r="AH106" s="261">
        <f ca="1"/>
        <v>1</v>
      </c>
      <c r="AI106" s="262">
        <f ca="1"/>
        <v>0</v>
      </c>
    </row>
    <row r="107" spans="1:35" hidden="1" outlineLevel="1" x14ac:dyDescent="0.25">
      <c r="A107" s="120">
        <f t="shared" si="83"/>
        <v>0</v>
      </c>
      <c r="B107" s="231"/>
      <c r="C107" s="77"/>
      <c r="D107" s="238"/>
      <c r="E107" s="76">
        <f ca="1">SUMIF(payNonMonth,"="&amp;$W107,$E$371:OFFSET($E$371,ROWS(payNonMonth)-1,0))</f>
        <v>0</v>
      </c>
      <c r="F107" s="76"/>
      <c r="G107" s="77">
        <f t="shared" ca="1" si="84"/>
        <v>0</v>
      </c>
      <c r="H107" s="76">
        <f t="shared" ca="1" si="73"/>
        <v>0</v>
      </c>
      <c r="I107" s="76">
        <f t="shared" ca="1" si="74"/>
        <v>0</v>
      </c>
      <c r="J107" s="233">
        <f t="shared" ca="1" si="75"/>
        <v>0</v>
      </c>
      <c r="K107" s="76">
        <f t="shared" ca="1" si="81"/>
        <v>0</v>
      </c>
      <c r="L107" s="76">
        <f t="shared" ca="1" si="76"/>
        <v>0</v>
      </c>
      <c r="M107" s="76">
        <f t="shared" ca="1" si="82"/>
        <v>0</v>
      </c>
      <c r="N107" s="76">
        <f t="shared" ca="1" si="77"/>
        <v>0</v>
      </c>
      <c r="O107" s="76"/>
      <c r="P107" s="76">
        <f t="shared" ca="1" si="78"/>
        <v>0</v>
      </c>
      <c r="Q107" s="76">
        <f t="shared" ca="1" si="85"/>
        <v>0</v>
      </c>
      <c r="R107" s="76">
        <f t="shared" ca="1" si="86"/>
        <v>0</v>
      </c>
      <c r="S107" s="232">
        <f t="shared" ca="1" si="79"/>
        <v>0</v>
      </c>
      <c r="U107" s="120" t="str">
        <f t="shared" si="80"/>
        <v>*:0</v>
      </c>
      <c r="V107" s="120" t="str">
        <f t="shared" si="87"/>
        <v>:</v>
      </c>
      <c r="W107" s="120" t="str">
        <f t="shared" si="90"/>
        <v>:0</v>
      </c>
      <c r="X107" s="250">
        <f t="array" aca="1" ref="X107:AI107" ca="1">VLOOKUP($D107&amp;":"&amp;$C107,tblPayRates,{3,4,5,6,7,8,9,10,11,12,13,14},0)</f>
        <v>0</v>
      </c>
      <c r="Y107" s="16" t="str">
        <f ca="1"/>
        <v>Nobody</v>
      </c>
      <c r="Z107" s="261" t="str">
        <f ca="1"/>
        <v>M</v>
      </c>
      <c r="AA107" s="77" t="str">
        <f ca="1"/>
        <v>Daily</v>
      </c>
      <c r="AB107" s="77">
        <f ca="1"/>
        <v>0</v>
      </c>
      <c r="AC107" s="77">
        <f ca="1"/>
        <v>0</v>
      </c>
      <c r="AD107" s="77">
        <f ca="1"/>
        <v>0</v>
      </c>
      <c r="AE107" s="77">
        <f ca="1"/>
        <v>0</v>
      </c>
      <c r="AF107" s="261" t="str">
        <f ca="1"/>
        <v>N</v>
      </c>
      <c r="AG107" s="261">
        <f ca="1"/>
        <v>1</v>
      </c>
      <c r="AH107" s="261">
        <f ca="1"/>
        <v>1</v>
      </c>
      <c r="AI107" s="262">
        <f ca="1"/>
        <v>0</v>
      </c>
    </row>
    <row r="108" spans="1:35" hidden="1" outlineLevel="1" x14ac:dyDescent="0.25">
      <c r="A108" s="120">
        <f t="shared" si="83"/>
        <v>0</v>
      </c>
      <c r="B108" s="231"/>
      <c r="C108" s="77"/>
      <c r="D108" s="238"/>
      <c r="E108" s="76">
        <f ca="1">SUMIF(payNonMonth,"="&amp;$W108,$E$371:OFFSET($E$371,ROWS(payNonMonth)-1,0))</f>
        <v>0</v>
      </c>
      <c r="F108" s="76"/>
      <c r="G108" s="77">
        <f t="shared" ca="1" si="84"/>
        <v>0</v>
      </c>
      <c r="H108" s="76">
        <f t="shared" ca="1" si="73"/>
        <v>0</v>
      </c>
      <c r="I108" s="76">
        <f t="shared" ca="1" si="74"/>
        <v>0</v>
      </c>
      <c r="J108" s="233">
        <f t="shared" ca="1" si="75"/>
        <v>0</v>
      </c>
      <c r="K108" s="76">
        <f t="shared" ca="1" si="81"/>
        <v>0</v>
      </c>
      <c r="L108" s="76">
        <f t="shared" ca="1" si="76"/>
        <v>0</v>
      </c>
      <c r="M108" s="76">
        <f t="shared" ca="1" si="82"/>
        <v>0</v>
      </c>
      <c r="N108" s="76">
        <f t="shared" ca="1" si="77"/>
        <v>0</v>
      </c>
      <c r="O108" s="76"/>
      <c r="P108" s="76">
        <f t="shared" ca="1" si="78"/>
        <v>0</v>
      </c>
      <c r="Q108" s="76">
        <f t="shared" ca="1" si="85"/>
        <v>0</v>
      </c>
      <c r="R108" s="76">
        <f t="shared" ca="1" si="86"/>
        <v>0</v>
      </c>
      <c r="S108" s="232">
        <f t="shared" ca="1" si="79"/>
        <v>0</v>
      </c>
      <c r="U108" s="120" t="str">
        <f t="shared" si="80"/>
        <v>*:0</v>
      </c>
      <c r="V108" s="120" t="str">
        <f t="shared" si="87"/>
        <v>:</v>
      </c>
      <c r="W108" s="120" t="str">
        <f t="shared" si="90"/>
        <v>:0</v>
      </c>
      <c r="X108" s="250">
        <f t="array" aca="1" ref="X108:AI108" ca="1">VLOOKUP($D108&amp;":"&amp;$C108,tblPayRates,{3,4,5,6,7,8,9,10,11,12,13,14},0)</f>
        <v>0</v>
      </c>
      <c r="Y108" s="16" t="str">
        <f ca="1"/>
        <v>Nobody</v>
      </c>
      <c r="Z108" s="261" t="str">
        <f ca="1"/>
        <v>M</v>
      </c>
      <c r="AA108" s="77" t="str">
        <f ca="1"/>
        <v>Daily</v>
      </c>
      <c r="AB108" s="77">
        <f ca="1"/>
        <v>0</v>
      </c>
      <c r="AC108" s="77">
        <f ca="1"/>
        <v>0</v>
      </c>
      <c r="AD108" s="77">
        <f ca="1"/>
        <v>0</v>
      </c>
      <c r="AE108" s="77">
        <f ca="1"/>
        <v>0</v>
      </c>
      <c r="AF108" s="261" t="str">
        <f ca="1"/>
        <v>N</v>
      </c>
      <c r="AG108" s="261">
        <f ca="1"/>
        <v>1</v>
      </c>
      <c r="AH108" s="261">
        <f ca="1"/>
        <v>1</v>
      </c>
      <c r="AI108" s="262">
        <f ca="1"/>
        <v>0</v>
      </c>
    </row>
    <row r="109" spans="1:35" hidden="1" outlineLevel="1" x14ac:dyDescent="0.25">
      <c r="A109" s="120">
        <f t="shared" si="83"/>
        <v>0</v>
      </c>
      <c r="B109" s="231"/>
      <c r="C109" s="77"/>
      <c r="D109" s="238"/>
      <c r="E109" s="76">
        <f ca="1">SUMIF(payNonMonth,"="&amp;$W109,$E$371:OFFSET($E$371,ROWS(payNonMonth)-1,0))</f>
        <v>0</v>
      </c>
      <c r="F109" s="76"/>
      <c r="G109" s="77">
        <f t="shared" ca="1" si="84"/>
        <v>0</v>
      </c>
      <c r="H109" s="76">
        <f t="shared" ca="1" si="73"/>
        <v>0</v>
      </c>
      <c r="I109" s="76">
        <f t="shared" ca="1" si="74"/>
        <v>0</v>
      </c>
      <c r="J109" s="233">
        <f t="shared" ca="1" si="75"/>
        <v>0</v>
      </c>
      <c r="K109" s="76">
        <f t="shared" ca="1" si="81"/>
        <v>0</v>
      </c>
      <c r="L109" s="76">
        <f t="shared" ca="1" si="76"/>
        <v>0</v>
      </c>
      <c r="M109" s="76">
        <f t="shared" ca="1" si="82"/>
        <v>0</v>
      </c>
      <c r="N109" s="76">
        <f t="shared" ca="1" si="77"/>
        <v>0</v>
      </c>
      <c r="O109" s="76"/>
      <c r="P109" s="76">
        <f t="shared" ca="1" si="78"/>
        <v>0</v>
      </c>
      <c r="Q109" s="76">
        <f t="shared" ca="1" si="85"/>
        <v>0</v>
      </c>
      <c r="R109" s="76">
        <f t="shared" ca="1" si="86"/>
        <v>0</v>
      </c>
      <c r="S109" s="232">
        <f t="shared" ca="1" si="79"/>
        <v>0</v>
      </c>
      <c r="U109" s="120" t="str">
        <f t="shared" si="80"/>
        <v>*:0</v>
      </c>
      <c r="V109" s="120" t="str">
        <f t="shared" si="87"/>
        <v>:</v>
      </c>
      <c r="W109" s="120" t="str">
        <f t="shared" si="90"/>
        <v>:0</v>
      </c>
      <c r="X109" s="250">
        <f t="array" aca="1" ref="X109:AI109" ca="1">VLOOKUP($D109&amp;":"&amp;$C109,tblPayRates,{3,4,5,6,7,8,9,10,11,12,13,14},0)</f>
        <v>0</v>
      </c>
      <c r="Y109" s="16" t="str">
        <f ca="1"/>
        <v>Nobody</v>
      </c>
      <c r="Z109" s="261" t="str">
        <f ca="1"/>
        <v>M</v>
      </c>
      <c r="AA109" s="77" t="str">
        <f ca="1"/>
        <v>Daily</v>
      </c>
      <c r="AB109" s="77">
        <f ca="1"/>
        <v>0</v>
      </c>
      <c r="AC109" s="77">
        <f ca="1"/>
        <v>0</v>
      </c>
      <c r="AD109" s="77">
        <f ca="1"/>
        <v>0</v>
      </c>
      <c r="AE109" s="77">
        <f ca="1"/>
        <v>0</v>
      </c>
      <c r="AF109" s="261" t="str">
        <f ca="1"/>
        <v>N</v>
      </c>
      <c r="AG109" s="261">
        <f ca="1"/>
        <v>1</v>
      </c>
      <c r="AH109" s="261">
        <f ca="1"/>
        <v>1</v>
      </c>
      <c r="AI109" s="262">
        <f ca="1"/>
        <v>0</v>
      </c>
    </row>
    <row r="110" spans="1:35" hidden="1" outlineLevel="1" x14ac:dyDescent="0.25">
      <c r="A110" s="120">
        <f t="shared" si="83"/>
        <v>0</v>
      </c>
      <c r="B110" s="231"/>
      <c r="C110" s="77"/>
      <c r="D110" s="238"/>
      <c r="E110" s="76">
        <f ca="1">SUMIF(payNonMonth,"="&amp;$W110,$E$371:OFFSET($E$371,ROWS(payNonMonth)-1,0))</f>
        <v>0</v>
      </c>
      <c r="F110" s="76"/>
      <c r="G110" s="77">
        <f t="shared" ca="1" si="84"/>
        <v>0</v>
      </c>
      <c r="H110" s="76">
        <f t="shared" ca="1" si="73"/>
        <v>0</v>
      </c>
      <c r="I110" s="76">
        <f t="shared" ca="1" si="74"/>
        <v>0</v>
      </c>
      <c r="J110" s="233">
        <f t="shared" ca="1" si="75"/>
        <v>0</v>
      </c>
      <c r="K110" s="76">
        <f t="shared" ca="1" si="81"/>
        <v>0</v>
      </c>
      <c r="L110" s="76">
        <f t="shared" ca="1" si="76"/>
        <v>0</v>
      </c>
      <c r="M110" s="76">
        <f t="shared" ca="1" si="82"/>
        <v>0</v>
      </c>
      <c r="N110" s="76">
        <f t="shared" ca="1" si="77"/>
        <v>0</v>
      </c>
      <c r="O110" s="76"/>
      <c r="P110" s="76">
        <f t="shared" ca="1" si="78"/>
        <v>0</v>
      </c>
      <c r="Q110" s="76">
        <f t="shared" ca="1" si="85"/>
        <v>0</v>
      </c>
      <c r="R110" s="76">
        <f t="shared" ca="1" si="86"/>
        <v>0</v>
      </c>
      <c r="S110" s="232">
        <f t="shared" ca="1" si="79"/>
        <v>0</v>
      </c>
      <c r="U110" s="120" t="str">
        <f t="shared" si="80"/>
        <v>*:0</v>
      </c>
      <c r="V110" s="120" t="str">
        <f t="shared" si="87"/>
        <v>:</v>
      </c>
      <c r="W110" s="120" t="str">
        <f t="shared" si="90"/>
        <v>:0</v>
      </c>
      <c r="X110" s="250">
        <f t="array" aca="1" ref="X110:AI110" ca="1">VLOOKUP($D110&amp;":"&amp;$C110,tblPayRates,{3,4,5,6,7,8,9,10,11,12,13,14},0)</f>
        <v>0</v>
      </c>
      <c r="Y110" s="16" t="str">
        <f ca="1"/>
        <v>Nobody</v>
      </c>
      <c r="Z110" s="261" t="str">
        <f ca="1"/>
        <v>M</v>
      </c>
      <c r="AA110" s="77" t="str">
        <f ca="1"/>
        <v>Daily</v>
      </c>
      <c r="AB110" s="77">
        <f ca="1"/>
        <v>0</v>
      </c>
      <c r="AC110" s="77">
        <f ca="1"/>
        <v>0</v>
      </c>
      <c r="AD110" s="77">
        <f ca="1"/>
        <v>0</v>
      </c>
      <c r="AE110" s="77">
        <f ca="1"/>
        <v>0</v>
      </c>
      <c r="AF110" s="261" t="str">
        <f ca="1"/>
        <v>N</v>
      </c>
      <c r="AG110" s="261">
        <f ca="1"/>
        <v>1</v>
      </c>
      <c r="AH110" s="261">
        <f ca="1"/>
        <v>1</v>
      </c>
      <c r="AI110" s="262">
        <f ca="1"/>
        <v>0</v>
      </c>
    </row>
    <row r="111" spans="1:35" hidden="1" outlineLevel="1" x14ac:dyDescent="0.25">
      <c r="A111" s="120">
        <f t="shared" si="83"/>
        <v>0</v>
      </c>
      <c r="B111" s="231"/>
      <c r="C111" s="77"/>
      <c r="D111" s="238"/>
      <c r="E111" s="76">
        <f ca="1">SUMIF(payNonMonth,"="&amp;$W111,$E$371:OFFSET($E$371,ROWS(payNonMonth)-1,0))</f>
        <v>0</v>
      </c>
      <c r="F111" s="76"/>
      <c r="G111" s="77">
        <f t="shared" ca="1" si="84"/>
        <v>0</v>
      </c>
      <c r="H111" s="76">
        <f t="shared" ca="1" si="73"/>
        <v>0</v>
      </c>
      <c r="I111" s="76">
        <f t="shared" ca="1" si="74"/>
        <v>0</v>
      </c>
      <c r="J111" s="233">
        <f t="shared" ca="1" si="75"/>
        <v>0</v>
      </c>
      <c r="K111" s="76">
        <f t="shared" ca="1" si="81"/>
        <v>0</v>
      </c>
      <c r="L111" s="76">
        <f t="shared" ca="1" si="76"/>
        <v>0</v>
      </c>
      <c r="M111" s="76">
        <f t="shared" ca="1" si="82"/>
        <v>0</v>
      </c>
      <c r="N111" s="76">
        <f t="shared" ca="1" si="77"/>
        <v>0</v>
      </c>
      <c r="O111" s="76"/>
      <c r="P111" s="76">
        <f t="shared" ca="1" si="78"/>
        <v>0</v>
      </c>
      <c r="Q111" s="76">
        <f t="shared" ca="1" si="85"/>
        <v>0</v>
      </c>
      <c r="R111" s="76">
        <f t="shared" ca="1" si="86"/>
        <v>0</v>
      </c>
      <c r="S111" s="232">
        <f t="shared" ca="1" si="79"/>
        <v>0</v>
      </c>
      <c r="U111" s="120" t="str">
        <f t="shared" si="80"/>
        <v>*:0</v>
      </c>
      <c r="V111" s="120" t="str">
        <f t="shared" si="87"/>
        <v>:</v>
      </c>
      <c r="W111" s="120" t="str">
        <f>C111 &amp;":"&amp; B111</f>
        <v>:</v>
      </c>
      <c r="X111" s="250">
        <f t="array" aca="1" ref="X111:AI111" ca="1">VLOOKUP($D111&amp;":"&amp;$C111,tblPayRates,{3,4,5,6,7,8,9,10,11,12,13,14},0)</f>
        <v>0</v>
      </c>
      <c r="Y111" s="16" t="str">
        <f ca="1"/>
        <v>Nobody</v>
      </c>
      <c r="Z111" s="261" t="str">
        <f ca="1"/>
        <v>M</v>
      </c>
      <c r="AA111" s="77" t="str">
        <f ca="1"/>
        <v>Daily</v>
      </c>
      <c r="AB111" s="77">
        <f ca="1"/>
        <v>0</v>
      </c>
      <c r="AC111" s="77">
        <f ca="1"/>
        <v>0</v>
      </c>
      <c r="AD111" s="77">
        <f ca="1"/>
        <v>0</v>
      </c>
      <c r="AE111" s="77">
        <f ca="1"/>
        <v>0</v>
      </c>
      <c r="AF111" s="261" t="str">
        <f ca="1"/>
        <v>N</v>
      </c>
      <c r="AG111" s="261">
        <f ca="1"/>
        <v>1</v>
      </c>
      <c r="AH111" s="261">
        <f ca="1"/>
        <v>1</v>
      </c>
      <c r="AI111" s="262">
        <f ca="1"/>
        <v>0</v>
      </c>
    </row>
    <row r="112" spans="1:35" hidden="1" outlineLevel="1" x14ac:dyDescent="0.25">
      <c r="A112" s="120">
        <f t="shared" si="83"/>
        <v>0</v>
      </c>
      <c r="B112" s="231"/>
      <c r="C112" s="77"/>
      <c r="D112" s="238"/>
      <c r="E112" s="76">
        <f ca="1">SUMIF(payNonMonth,"="&amp;$W112,$E$371:OFFSET($E$371,ROWS(payNonMonth)-1,0))</f>
        <v>0</v>
      </c>
      <c r="F112" s="76"/>
      <c r="G112" s="77">
        <f t="shared" ca="1" si="84"/>
        <v>0</v>
      </c>
      <c r="H112" s="76">
        <f t="shared" ca="1" si="73"/>
        <v>0</v>
      </c>
      <c r="I112" s="76">
        <f t="shared" ca="1" si="74"/>
        <v>0</v>
      </c>
      <c r="J112" s="233">
        <f t="shared" ca="1" si="75"/>
        <v>0</v>
      </c>
      <c r="K112" s="76">
        <f t="shared" ca="1" si="81"/>
        <v>0</v>
      </c>
      <c r="L112" s="76">
        <f t="shared" ca="1" si="76"/>
        <v>0</v>
      </c>
      <c r="M112" s="76">
        <f t="shared" ca="1" si="82"/>
        <v>0</v>
      </c>
      <c r="N112" s="76">
        <f t="shared" ca="1" si="77"/>
        <v>0</v>
      </c>
      <c r="O112" s="76"/>
      <c r="P112" s="76">
        <f t="shared" ca="1" si="78"/>
        <v>0</v>
      </c>
      <c r="Q112" s="76">
        <f t="shared" ca="1" si="85"/>
        <v>0</v>
      </c>
      <c r="R112" s="76">
        <f t="shared" ca="1" si="86"/>
        <v>0</v>
      </c>
      <c r="S112" s="232">
        <f t="shared" ca="1" si="79"/>
        <v>0</v>
      </c>
      <c r="U112" s="120" t="str">
        <f t="shared" si="80"/>
        <v>*:0</v>
      </c>
      <c r="V112" s="120" t="str">
        <f t="shared" si="87"/>
        <v>:</v>
      </c>
      <c r="W112" s="120" t="str">
        <f>C112 &amp;":"&amp; B112</f>
        <v>:</v>
      </c>
      <c r="X112" s="250">
        <f t="array" aca="1" ref="X112:AI112" ca="1">VLOOKUP($D112&amp;":"&amp;$C112,tblPayRates,{3,4,5,6,7,8,9,10,11,12,13,14},0)</f>
        <v>0</v>
      </c>
      <c r="Y112" s="16" t="str">
        <f ca="1"/>
        <v>Nobody</v>
      </c>
      <c r="Z112" s="261" t="str">
        <f ca="1"/>
        <v>M</v>
      </c>
      <c r="AA112" s="77" t="str">
        <f ca="1"/>
        <v>Daily</v>
      </c>
      <c r="AB112" s="77">
        <f ca="1"/>
        <v>0</v>
      </c>
      <c r="AC112" s="77">
        <f ca="1"/>
        <v>0</v>
      </c>
      <c r="AD112" s="77">
        <f ca="1"/>
        <v>0</v>
      </c>
      <c r="AE112" s="77">
        <f ca="1"/>
        <v>0</v>
      </c>
      <c r="AF112" s="261" t="str">
        <f ca="1"/>
        <v>N</v>
      </c>
      <c r="AG112" s="261">
        <f ca="1"/>
        <v>1</v>
      </c>
      <c r="AH112" s="261">
        <f ca="1"/>
        <v>1</v>
      </c>
      <c r="AI112" s="262">
        <f ca="1"/>
        <v>0</v>
      </c>
    </row>
    <row r="113" spans="1:35" hidden="1" outlineLevel="1" x14ac:dyDescent="0.25">
      <c r="A113" s="120">
        <f t="shared" si="83"/>
        <v>0</v>
      </c>
      <c r="B113" s="231"/>
      <c r="C113" s="77"/>
      <c r="D113" s="238"/>
      <c r="E113" s="76">
        <f ca="1">SUMIF(payNonMonth,"="&amp;$W113,$E$371:OFFSET($E$371,ROWS(payNonMonth)-1,0))</f>
        <v>0</v>
      </c>
      <c r="F113" s="76"/>
      <c r="G113" s="77">
        <f t="shared" ca="1" si="84"/>
        <v>0</v>
      </c>
      <c r="H113" s="76">
        <f t="shared" ca="1" si="73"/>
        <v>0</v>
      </c>
      <c r="I113" s="76">
        <f t="shared" ca="1" si="74"/>
        <v>0</v>
      </c>
      <c r="J113" s="233">
        <f t="shared" ca="1" si="75"/>
        <v>0</v>
      </c>
      <c r="K113" s="76">
        <f t="shared" ca="1" si="81"/>
        <v>0</v>
      </c>
      <c r="L113" s="76">
        <f t="shared" ca="1" si="76"/>
        <v>0</v>
      </c>
      <c r="M113" s="76">
        <f t="shared" ca="1" si="82"/>
        <v>0</v>
      </c>
      <c r="N113" s="76">
        <f t="shared" ca="1" si="77"/>
        <v>0</v>
      </c>
      <c r="O113" s="76"/>
      <c r="P113" s="76">
        <f t="shared" ca="1" si="78"/>
        <v>0</v>
      </c>
      <c r="Q113" s="76">
        <f t="shared" ca="1" si="85"/>
        <v>0</v>
      </c>
      <c r="R113" s="76">
        <f t="shared" ca="1" si="86"/>
        <v>0</v>
      </c>
      <c r="S113" s="232">
        <f t="shared" ca="1" si="79"/>
        <v>0</v>
      </c>
      <c r="U113" s="120" t="str">
        <f t="shared" si="80"/>
        <v>*:0</v>
      </c>
      <c r="V113" s="120" t="str">
        <f t="shared" si="87"/>
        <v>:</v>
      </c>
      <c r="W113" s="120" t="str">
        <f>C113 &amp;":"&amp; B113</f>
        <v>:</v>
      </c>
      <c r="X113" s="250">
        <f t="array" aca="1" ref="X113:AI113" ca="1">VLOOKUP($D113&amp;":"&amp;$C113,tblPayRates,{3,4,5,6,7,8,9,10,11,12,13,14},0)</f>
        <v>0</v>
      </c>
      <c r="Y113" s="16" t="str">
        <f ca="1"/>
        <v>Nobody</v>
      </c>
      <c r="Z113" s="261" t="str">
        <f ca="1"/>
        <v>M</v>
      </c>
      <c r="AA113" s="77" t="str">
        <f ca="1"/>
        <v>Daily</v>
      </c>
      <c r="AB113" s="77">
        <f ca="1"/>
        <v>0</v>
      </c>
      <c r="AC113" s="77">
        <f ca="1"/>
        <v>0</v>
      </c>
      <c r="AD113" s="77">
        <f ca="1"/>
        <v>0</v>
      </c>
      <c r="AE113" s="77">
        <f ca="1"/>
        <v>0</v>
      </c>
      <c r="AF113" s="261" t="str">
        <f ca="1"/>
        <v>N</v>
      </c>
      <c r="AG113" s="261">
        <f ca="1"/>
        <v>1</v>
      </c>
      <c r="AH113" s="261">
        <f ca="1"/>
        <v>1</v>
      </c>
      <c r="AI113" s="262">
        <f ca="1"/>
        <v>0</v>
      </c>
    </row>
    <row r="114" spans="1:35" hidden="1" outlineLevel="1" x14ac:dyDescent="0.25">
      <c r="A114" s="120">
        <f t="shared" si="83"/>
        <v>0</v>
      </c>
      <c r="B114" s="231"/>
      <c r="C114" s="77"/>
      <c r="D114" s="238"/>
      <c r="E114" s="76">
        <f ca="1">SUMIF(payNonMonth,"="&amp;$W114,$E$371:OFFSET($E$371,ROWS(payNonMonth)-1,0))</f>
        <v>0</v>
      </c>
      <c r="F114" s="76"/>
      <c r="G114" s="77">
        <f t="shared" ca="1" si="84"/>
        <v>0</v>
      </c>
      <c r="H114" s="76">
        <f t="shared" ca="1" si="73"/>
        <v>0</v>
      </c>
      <c r="I114" s="76">
        <f t="shared" ca="1" si="74"/>
        <v>0</v>
      </c>
      <c r="J114" s="233">
        <f t="shared" ca="1" si="75"/>
        <v>0</v>
      </c>
      <c r="K114" s="76">
        <f t="shared" ca="1" si="81"/>
        <v>0</v>
      </c>
      <c r="L114" s="76">
        <f t="shared" ca="1" si="76"/>
        <v>0</v>
      </c>
      <c r="M114" s="76">
        <f t="shared" ca="1" si="82"/>
        <v>0</v>
      </c>
      <c r="N114" s="76">
        <f t="shared" ca="1" si="77"/>
        <v>0</v>
      </c>
      <c r="O114" s="76"/>
      <c r="P114" s="76">
        <f t="shared" ca="1" si="78"/>
        <v>0</v>
      </c>
      <c r="Q114" s="76">
        <f t="shared" ca="1" si="85"/>
        <v>0</v>
      </c>
      <c r="R114" s="76">
        <f t="shared" ca="1" si="86"/>
        <v>0</v>
      </c>
      <c r="S114" s="232">
        <f t="shared" ca="1" si="79"/>
        <v>0</v>
      </c>
      <c r="U114" s="120" t="str">
        <f t="shared" si="80"/>
        <v>*:0</v>
      </c>
      <c r="V114" s="120" t="str">
        <f t="shared" si="87"/>
        <v>:</v>
      </c>
      <c r="W114" s="120" t="str">
        <f>C114 &amp;":"&amp; B114</f>
        <v>:</v>
      </c>
      <c r="X114" s="250">
        <f t="array" aca="1" ref="X114:AI114" ca="1">VLOOKUP($D114&amp;":"&amp;$C114,tblPayRates,{3,4,5,6,7,8,9,10,11,12,13,14},0)</f>
        <v>0</v>
      </c>
      <c r="Y114" s="16" t="str">
        <f ca="1"/>
        <v>Nobody</v>
      </c>
      <c r="Z114" s="261" t="str">
        <f ca="1"/>
        <v>M</v>
      </c>
      <c r="AA114" s="77" t="str">
        <f ca="1"/>
        <v>Daily</v>
      </c>
      <c r="AB114" s="77">
        <f ca="1"/>
        <v>0</v>
      </c>
      <c r="AC114" s="77">
        <f ca="1"/>
        <v>0</v>
      </c>
      <c r="AD114" s="77">
        <f ca="1"/>
        <v>0</v>
      </c>
      <c r="AE114" s="77">
        <f ca="1"/>
        <v>0</v>
      </c>
      <c r="AF114" s="261" t="str">
        <f ca="1"/>
        <v>N</v>
      </c>
      <c r="AG114" s="261">
        <f ca="1"/>
        <v>1</v>
      </c>
      <c r="AH114" s="261">
        <f ca="1"/>
        <v>1</v>
      </c>
      <c r="AI114" s="262">
        <f ca="1"/>
        <v>0</v>
      </c>
    </row>
    <row r="115" spans="1:35" hidden="1" outlineLevel="1" x14ac:dyDescent="0.25">
      <c r="A115" s="120">
        <f t="shared" si="83"/>
        <v>0</v>
      </c>
      <c r="B115" s="231"/>
      <c r="C115" s="77"/>
      <c r="D115" s="238"/>
      <c r="E115" s="76">
        <f ca="1">SUMIF(payNonMonth,"="&amp;$W115,$E$371:OFFSET($E$371,ROWS(payNonMonth)-1,0))</f>
        <v>0</v>
      </c>
      <c r="F115" s="76"/>
      <c r="G115" s="77">
        <f t="shared" ca="1" si="84"/>
        <v>0</v>
      </c>
      <c r="H115" s="76">
        <f t="shared" ca="1" si="73"/>
        <v>0</v>
      </c>
      <c r="I115" s="76">
        <f t="shared" ca="1" si="74"/>
        <v>0</v>
      </c>
      <c r="J115" s="233">
        <f t="shared" ca="1" si="75"/>
        <v>0</v>
      </c>
      <c r="K115" s="76">
        <f t="shared" ca="1" si="81"/>
        <v>0</v>
      </c>
      <c r="L115" s="76">
        <f t="shared" ca="1" si="76"/>
        <v>0</v>
      </c>
      <c r="M115" s="76">
        <f t="shared" ca="1" si="82"/>
        <v>0</v>
      </c>
      <c r="N115" s="76">
        <f t="shared" ca="1" si="77"/>
        <v>0</v>
      </c>
      <c r="O115" s="76"/>
      <c r="P115" s="76">
        <f t="shared" ca="1" si="78"/>
        <v>0</v>
      </c>
      <c r="Q115" s="76">
        <f t="shared" ca="1" si="85"/>
        <v>0</v>
      </c>
      <c r="R115" s="76">
        <f t="shared" ca="1" si="86"/>
        <v>0</v>
      </c>
      <c r="S115" s="232">
        <f t="shared" ca="1" si="79"/>
        <v>0</v>
      </c>
      <c r="U115" s="120" t="str">
        <f t="shared" si="80"/>
        <v>*:0</v>
      </c>
      <c r="V115" s="120" t="str">
        <f t="shared" si="87"/>
        <v>:</v>
      </c>
      <c r="W115" s="120" t="str">
        <f t="shared" ref="W115:W147" si="91">C115 &amp;":"&amp; A115</f>
        <v>:0</v>
      </c>
      <c r="X115" s="250">
        <f t="array" aca="1" ref="X115:AI115" ca="1">VLOOKUP($D115&amp;":"&amp;$C115,tblPayRates,{3,4,5,6,7,8,9,10,11,12,13,14},0)</f>
        <v>0</v>
      </c>
      <c r="Y115" s="16" t="str">
        <f ca="1"/>
        <v>Nobody</v>
      </c>
      <c r="Z115" s="261" t="str">
        <f ca="1"/>
        <v>M</v>
      </c>
      <c r="AA115" s="77" t="str">
        <f ca="1"/>
        <v>Daily</v>
      </c>
      <c r="AB115" s="77">
        <f ca="1"/>
        <v>0</v>
      </c>
      <c r="AC115" s="77">
        <f ca="1"/>
        <v>0</v>
      </c>
      <c r="AD115" s="77">
        <f ca="1"/>
        <v>0</v>
      </c>
      <c r="AE115" s="77">
        <f ca="1"/>
        <v>0</v>
      </c>
      <c r="AF115" s="261" t="str">
        <f ca="1"/>
        <v>N</v>
      </c>
      <c r="AG115" s="261">
        <f ca="1"/>
        <v>1</v>
      </c>
      <c r="AH115" s="261">
        <f ca="1"/>
        <v>1</v>
      </c>
      <c r="AI115" s="262">
        <f ca="1"/>
        <v>0</v>
      </c>
    </row>
    <row r="116" spans="1:35" hidden="1" outlineLevel="1" x14ac:dyDescent="0.25">
      <c r="A116" s="120">
        <f t="shared" si="83"/>
        <v>0</v>
      </c>
      <c r="B116" s="231"/>
      <c r="C116" s="77"/>
      <c r="D116" s="238"/>
      <c r="E116" s="76">
        <f ca="1">SUMIF(payNonMonth,"="&amp;$W116,$E$371:OFFSET($E$371,ROWS(payNonMonth)-1,0))</f>
        <v>0</v>
      </c>
      <c r="F116" s="76"/>
      <c r="G116" s="77">
        <f t="shared" ca="1" si="84"/>
        <v>0</v>
      </c>
      <c r="H116" s="76">
        <f t="shared" ca="1" si="73"/>
        <v>0</v>
      </c>
      <c r="I116" s="76">
        <f t="shared" ca="1" si="74"/>
        <v>0</v>
      </c>
      <c r="J116" s="233">
        <f t="shared" ca="1" si="75"/>
        <v>0</v>
      </c>
      <c r="K116" s="76">
        <f t="shared" ca="1" si="81"/>
        <v>0</v>
      </c>
      <c r="L116" s="76">
        <f t="shared" ca="1" si="76"/>
        <v>0</v>
      </c>
      <c r="M116" s="76">
        <f t="shared" ca="1" si="82"/>
        <v>0</v>
      </c>
      <c r="N116" s="76">
        <f t="shared" ca="1" si="77"/>
        <v>0</v>
      </c>
      <c r="O116" s="76"/>
      <c r="P116" s="76">
        <f t="shared" ca="1" si="78"/>
        <v>0</v>
      </c>
      <c r="Q116" s="76">
        <f t="shared" ca="1" si="85"/>
        <v>0</v>
      </c>
      <c r="R116" s="76">
        <f t="shared" ca="1" si="86"/>
        <v>0</v>
      </c>
      <c r="S116" s="232">
        <f t="shared" ca="1" si="79"/>
        <v>0</v>
      </c>
      <c r="U116" s="120" t="str">
        <f t="shared" si="80"/>
        <v>*:0</v>
      </c>
      <c r="V116" s="120" t="str">
        <f t="shared" si="87"/>
        <v>:</v>
      </c>
      <c r="W116" s="120" t="str">
        <f t="shared" si="91"/>
        <v>:0</v>
      </c>
      <c r="X116" s="250">
        <f t="array" aca="1" ref="X116:AI116" ca="1">VLOOKUP($D116&amp;":"&amp;$C116,tblPayRates,{3,4,5,6,7,8,9,10,11,12,13,14},0)</f>
        <v>0</v>
      </c>
      <c r="Y116" s="16" t="str">
        <f ca="1"/>
        <v>Nobody</v>
      </c>
      <c r="Z116" s="261" t="str">
        <f ca="1"/>
        <v>M</v>
      </c>
      <c r="AA116" s="77" t="str">
        <f ca="1"/>
        <v>Daily</v>
      </c>
      <c r="AB116" s="77">
        <f ca="1"/>
        <v>0</v>
      </c>
      <c r="AC116" s="77">
        <f ca="1"/>
        <v>0</v>
      </c>
      <c r="AD116" s="77">
        <f ca="1"/>
        <v>0</v>
      </c>
      <c r="AE116" s="77">
        <f ca="1"/>
        <v>0</v>
      </c>
      <c r="AF116" s="261" t="str">
        <f ca="1"/>
        <v>N</v>
      </c>
      <c r="AG116" s="261">
        <f ca="1"/>
        <v>1</v>
      </c>
      <c r="AH116" s="261">
        <f ca="1"/>
        <v>1</v>
      </c>
      <c r="AI116" s="262">
        <f ca="1"/>
        <v>0</v>
      </c>
    </row>
    <row r="117" spans="1:35" hidden="1" outlineLevel="1" x14ac:dyDescent="0.25">
      <c r="A117" s="120">
        <f t="shared" si="83"/>
        <v>0</v>
      </c>
      <c r="B117" s="231"/>
      <c r="C117" s="77"/>
      <c r="D117" s="238"/>
      <c r="E117" s="76">
        <f ca="1">SUMIF(payNonMonth,"="&amp;$W117,$E$371:OFFSET($E$371,ROWS(payNonMonth)-1,0))</f>
        <v>0</v>
      </c>
      <c r="F117" s="76"/>
      <c r="G117" s="77">
        <f t="shared" ca="1" si="84"/>
        <v>0</v>
      </c>
      <c r="H117" s="76">
        <f t="shared" ref="H117:H147" ca="1" si="92">ROUND(SUM(E117:F117)*AB117,2)</f>
        <v>0</v>
      </c>
      <c r="I117" s="76">
        <f t="shared" ref="I117:I147" ca="1" si="93">H117*OFFSET(payMgmtRate,0,$AG117)</f>
        <v>0</v>
      </c>
      <c r="J117" s="233">
        <f t="shared" ref="J117:J147" ca="1" si="94">ROUND(IF(AH117,$E117,1)*AD117+$F117*AE117+SUMIF(payAllow,$V117,$J$266:$J$368),2)</f>
        <v>0</v>
      </c>
      <c r="K117" s="76">
        <f t="shared" ca="1" si="81"/>
        <v>0</v>
      </c>
      <c r="L117" s="76">
        <f t="shared" ref="L117:L147" ca="1" si="95">SUMIF(payAllow,$V117,L$266:L$368)*$G117</f>
        <v>0</v>
      </c>
      <c r="M117" s="76">
        <f t="shared" ca="1" si="82"/>
        <v>0</v>
      </c>
      <c r="N117" s="76">
        <f t="shared" ref="N117:N147" ca="1" si="96">SUMIF(payAllow,$V117,N$266:N$368)*G117</f>
        <v>0</v>
      </c>
      <c r="O117" s="76"/>
      <c r="P117" s="76">
        <f t="shared" ref="P117:P147" ca="1" si="97">J117-SUM(K117:O117)</f>
        <v>0</v>
      </c>
      <c r="Q117" s="76">
        <f t="shared" ca="1" si="85"/>
        <v>0</v>
      </c>
      <c r="R117" s="76">
        <f t="shared" ca="1" si="86"/>
        <v>0</v>
      </c>
      <c r="S117" s="232">
        <f t="shared" ref="S117:S147" ca="1" si="98">SUMIF(payAllow,V117,S$266:S$368)*G117</f>
        <v>0</v>
      </c>
      <c r="U117" s="120" t="str">
        <f t="shared" ref="U117:U147" si="99">IF(EmpID="*","*",C117) &amp;":"&amp; $A117</f>
        <v>*:0</v>
      </c>
      <c r="V117" s="120" t="str">
        <f t="shared" si="87"/>
        <v>:</v>
      </c>
      <c r="W117" s="120" t="str">
        <f t="shared" si="91"/>
        <v>:0</v>
      </c>
      <c r="X117" s="250">
        <f t="array" aca="1" ref="X117:AI117" ca="1">VLOOKUP($D117&amp;":"&amp;$C117,tblPayRates,{3,4,5,6,7,8,9,10,11,12,13,14},0)</f>
        <v>0</v>
      </c>
      <c r="Y117" s="16" t="str">
        <f ca="1"/>
        <v>Nobody</v>
      </c>
      <c r="Z117" s="261" t="str">
        <f ca="1"/>
        <v>M</v>
      </c>
      <c r="AA117" s="77" t="str">
        <f ca="1"/>
        <v>Daily</v>
      </c>
      <c r="AB117" s="77">
        <f ca="1"/>
        <v>0</v>
      </c>
      <c r="AC117" s="77">
        <f ca="1"/>
        <v>0</v>
      </c>
      <c r="AD117" s="77">
        <f ca="1"/>
        <v>0</v>
      </c>
      <c r="AE117" s="77">
        <f ca="1"/>
        <v>0</v>
      </c>
      <c r="AF117" s="261" t="str">
        <f ca="1"/>
        <v>N</v>
      </c>
      <c r="AG117" s="261">
        <f ca="1"/>
        <v>1</v>
      </c>
      <c r="AH117" s="261">
        <f ca="1"/>
        <v>1</v>
      </c>
      <c r="AI117" s="262">
        <f ca="1"/>
        <v>0</v>
      </c>
    </row>
    <row r="118" spans="1:35" hidden="1" outlineLevel="1" x14ac:dyDescent="0.25">
      <c r="A118" s="120">
        <f t="shared" si="83"/>
        <v>0</v>
      </c>
      <c r="B118" s="231"/>
      <c r="C118" s="77"/>
      <c r="D118" s="238"/>
      <c r="E118" s="76">
        <f ca="1">SUMIF(payNonMonth,"="&amp;$W118,$E$371:OFFSET($E$371,ROWS(payNonMonth)-1,0))</f>
        <v>0</v>
      </c>
      <c r="F118" s="76"/>
      <c r="G118" s="77">
        <f t="shared" ca="1" si="84"/>
        <v>0</v>
      </c>
      <c r="H118" s="76">
        <f t="shared" ca="1" si="92"/>
        <v>0</v>
      </c>
      <c r="I118" s="76">
        <f t="shared" ca="1" si="93"/>
        <v>0</v>
      </c>
      <c r="J118" s="233">
        <f t="shared" ca="1" si="94"/>
        <v>0</v>
      </c>
      <c r="K118" s="76">
        <f t="shared" ref="K118:K147" ca="1" si="100">ROUND(J118*InsureRate2,2)</f>
        <v>0</v>
      </c>
      <c r="L118" s="76">
        <f t="shared" ca="1" si="95"/>
        <v>0</v>
      </c>
      <c r="M118" s="76">
        <f t="shared" ca="1" si="82"/>
        <v>0</v>
      </c>
      <c r="N118" s="76">
        <f t="shared" ca="1" si="96"/>
        <v>0</v>
      </c>
      <c r="O118" s="76"/>
      <c r="P118" s="76">
        <f t="shared" ca="1" si="97"/>
        <v>0</v>
      </c>
      <c r="Q118" s="76">
        <f t="shared" ca="1" si="85"/>
        <v>0</v>
      </c>
      <c r="R118" s="76">
        <f t="shared" ca="1" si="86"/>
        <v>0</v>
      </c>
      <c r="S118" s="232">
        <f t="shared" ca="1" si="98"/>
        <v>0</v>
      </c>
      <c r="U118" s="120" t="str">
        <f t="shared" si="99"/>
        <v>*:0</v>
      </c>
      <c r="V118" s="120" t="str">
        <f t="shared" si="87"/>
        <v>:</v>
      </c>
      <c r="W118" s="120" t="str">
        <f t="shared" si="91"/>
        <v>:0</v>
      </c>
      <c r="X118" s="250">
        <f t="array" aca="1" ref="X118:AI118" ca="1">VLOOKUP($D118&amp;":"&amp;$C118,tblPayRates,{3,4,5,6,7,8,9,10,11,12,13,14},0)</f>
        <v>0</v>
      </c>
      <c r="Y118" s="16" t="str">
        <f ca="1"/>
        <v>Nobody</v>
      </c>
      <c r="Z118" s="261" t="str">
        <f ca="1"/>
        <v>M</v>
      </c>
      <c r="AA118" s="77" t="str">
        <f ca="1"/>
        <v>Daily</v>
      </c>
      <c r="AB118" s="77">
        <f ca="1"/>
        <v>0</v>
      </c>
      <c r="AC118" s="77">
        <f ca="1"/>
        <v>0</v>
      </c>
      <c r="AD118" s="77">
        <f ca="1"/>
        <v>0</v>
      </c>
      <c r="AE118" s="77">
        <f ca="1"/>
        <v>0</v>
      </c>
      <c r="AF118" s="261" t="str">
        <f ca="1"/>
        <v>N</v>
      </c>
      <c r="AG118" s="261">
        <f ca="1"/>
        <v>1</v>
      </c>
      <c r="AH118" s="261">
        <f ca="1"/>
        <v>1</v>
      </c>
      <c r="AI118" s="262">
        <f ca="1"/>
        <v>0</v>
      </c>
    </row>
    <row r="119" spans="1:35" hidden="1" outlineLevel="1" x14ac:dyDescent="0.25">
      <c r="A119" s="120">
        <f t="shared" si="83"/>
        <v>0</v>
      </c>
      <c r="B119" s="231"/>
      <c r="C119" s="77"/>
      <c r="D119" s="238"/>
      <c r="E119" s="76">
        <f ca="1">SUMIF(payNonMonth,"="&amp;$W119,$E$371:OFFSET($E$371,ROWS(payNonMonth)-1,0))</f>
        <v>0</v>
      </c>
      <c r="F119" s="76"/>
      <c r="G119" s="77">
        <f t="shared" ca="1" si="84"/>
        <v>0</v>
      </c>
      <c r="H119" s="76">
        <f t="shared" ca="1" si="92"/>
        <v>0</v>
      </c>
      <c r="I119" s="76">
        <f t="shared" ca="1" si="93"/>
        <v>0</v>
      </c>
      <c r="J119" s="233">
        <f t="shared" ca="1" si="94"/>
        <v>0</v>
      </c>
      <c r="K119" s="76">
        <f t="shared" ca="1" si="100"/>
        <v>0</v>
      </c>
      <c r="L119" s="76">
        <f t="shared" ca="1" si="95"/>
        <v>0</v>
      </c>
      <c r="M119" s="76">
        <f t="shared" ca="1" si="82"/>
        <v>0</v>
      </c>
      <c r="N119" s="76">
        <f t="shared" ca="1" si="96"/>
        <v>0</v>
      </c>
      <c r="O119" s="76"/>
      <c r="P119" s="76">
        <f t="shared" ca="1" si="97"/>
        <v>0</v>
      </c>
      <c r="Q119" s="76">
        <f t="shared" ca="1" si="85"/>
        <v>0</v>
      </c>
      <c r="R119" s="76">
        <f t="shared" ca="1" si="86"/>
        <v>0</v>
      </c>
      <c r="S119" s="232">
        <f t="shared" ca="1" si="98"/>
        <v>0</v>
      </c>
      <c r="U119" s="120" t="str">
        <f t="shared" si="99"/>
        <v>*:0</v>
      </c>
      <c r="V119" s="120" t="str">
        <f t="shared" si="87"/>
        <v>:</v>
      </c>
      <c r="W119" s="120" t="str">
        <f t="shared" si="91"/>
        <v>:0</v>
      </c>
      <c r="X119" s="250">
        <f t="array" aca="1" ref="X119:AI119" ca="1">VLOOKUP($D119&amp;":"&amp;$C119,tblPayRates,{3,4,5,6,7,8,9,10,11,12,13,14},0)</f>
        <v>0</v>
      </c>
      <c r="Y119" s="16" t="str">
        <f ca="1"/>
        <v>Nobody</v>
      </c>
      <c r="Z119" s="261" t="str">
        <f ca="1"/>
        <v>M</v>
      </c>
      <c r="AA119" s="77" t="str">
        <f ca="1"/>
        <v>Daily</v>
      </c>
      <c r="AB119" s="77">
        <f ca="1"/>
        <v>0</v>
      </c>
      <c r="AC119" s="77">
        <f ca="1"/>
        <v>0</v>
      </c>
      <c r="AD119" s="77">
        <f ca="1"/>
        <v>0</v>
      </c>
      <c r="AE119" s="77">
        <f ca="1"/>
        <v>0</v>
      </c>
      <c r="AF119" s="261" t="str">
        <f ca="1"/>
        <v>N</v>
      </c>
      <c r="AG119" s="261">
        <f ca="1"/>
        <v>1</v>
      </c>
      <c r="AH119" s="261">
        <f ca="1"/>
        <v>1</v>
      </c>
      <c r="AI119" s="262">
        <f ca="1"/>
        <v>0</v>
      </c>
    </row>
    <row r="120" spans="1:35" hidden="1" outlineLevel="1" x14ac:dyDescent="0.25">
      <c r="A120" s="120">
        <f t="shared" si="83"/>
        <v>0</v>
      </c>
      <c r="B120" s="231"/>
      <c r="C120" s="77"/>
      <c r="D120" s="238"/>
      <c r="E120" s="76">
        <f ca="1">SUMIF(payNonMonth,"="&amp;$W120,$E$371:OFFSET($E$371,ROWS(payNonMonth)-1,0))</f>
        <v>0</v>
      </c>
      <c r="F120" s="76"/>
      <c r="G120" s="77">
        <f t="shared" ca="1" si="84"/>
        <v>0</v>
      </c>
      <c r="H120" s="76">
        <f t="shared" ca="1" si="92"/>
        <v>0</v>
      </c>
      <c r="I120" s="76">
        <f t="shared" ca="1" si="93"/>
        <v>0</v>
      </c>
      <c r="J120" s="233">
        <f t="shared" ca="1" si="94"/>
        <v>0</v>
      </c>
      <c r="K120" s="76">
        <f t="shared" ca="1" si="100"/>
        <v>0</v>
      </c>
      <c r="L120" s="76">
        <f t="shared" ca="1" si="95"/>
        <v>0</v>
      </c>
      <c r="M120" s="76">
        <f t="shared" ca="1" si="82"/>
        <v>0</v>
      </c>
      <c r="N120" s="76">
        <f t="shared" ca="1" si="96"/>
        <v>0</v>
      </c>
      <c r="O120" s="76"/>
      <c r="P120" s="76">
        <f t="shared" ca="1" si="97"/>
        <v>0</v>
      </c>
      <c r="Q120" s="76">
        <f t="shared" ca="1" si="85"/>
        <v>0</v>
      </c>
      <c r="R120" s="76">
        <f t="shared" ca="1" si="86"/>
        <v>0</v>
      </c>
      <c r="S120" s="232">
        <f t="shared" ca="1" si="98"/>
        <v>0</v>
      </c>
      <c r="U120" s="120" t="str">
        <f t="shared" si="99"/>
        <v>*:0</v>
      </c>
      <c r="V120" s="120" t="str">
        <f t="shared" si="87"/>
        <v>:</v>
      </c>
      <c r="W120" s="120" t="str">
        <f t="shared" si="91"/>
        <v>:0</v>
      </c>
      <c r="X120" s="250">
        <f t="array" aca="1" ref="X120:AI120" ca="1">VLOOKUP($D120&amp;":"&amp;$C120,tblPayRates,{3,4,5,6,7,8,9,10,11,12,13,14},0)</f>
        <v>0</v>
      </c>
      <c r="Y120" s="16" t="str">
        <f ca="1"/>
        <v>Nobody</v>
      </c>
      <c r="Z120" s="261" t="str">
        <f ca="1"/>
        <v>M</v>
      </c>
      <c r="AA120" s="77" t="str">
        <f ca="1"/>
        <v>Daily</v>
      </c>
      <c r="AB120" s="77">
        <f ca="1"/>
        <v>0</v>
      </c>
      <c r="AC120" s="77">
        <f ca="1"/>
        <v>0</v>
      </c>
      <c r="AD120" s="77">
        <f ca="1"/>
        <v>0</v>
      </c>
      <c r="AE120" s="77">
        <f ca="1"/>
        <v>0</v>
      </c>
      <c r="AF120" s="261" t="str">
        <f ca="1"/>
        <v>N</v>
      </c>
      <c r="AG120" s="261">
        <f ca="1"/>
        <v>1</v>
      </c>
      <c r="AH120" s="261">
        <f ca="1"/>
        <v>1</v>
      </c>
      <c r="AI120" s="262">
        <f ca="1"/>
        <v>0</v>
      </c>
    </row>
    <row r="121" spans="1:35" hidden="1" outlineLevel="1" x14ac:dyDescent="0.25">
      <c r="A121" s="120">
        <f t="shared" si="83"/>
        <v>0</v>
      </c>
      <c r="B121" s="231"/>
      <c r="C121" s="77"/>
      <c r="D121" s="238"/>
      <c r="E121" s="76">
        <f ca="1">SUMIF(payNonMonth,"="&amp;$W121,$E$371:OFFSET($E$371,ROWS(payNonMonth)-1,0))</f>
        <v>0</v>
      </c>
      <c r="F121" s="76"/>
      <c r="G121" s="77">
        <f t="shared" ca="1" si="84"/>
        <v>0</v>
      </c>
      <c r="H121" s="76">
        <f t="shared" ca="1" si="92"/>
        <v>0</v>
      </c>
      <c r="I121" s="76">
        <f t="shared" ca="1" si="93"/>
        <v>0</v>
      </c>
      <c r="J121" s="233">
        <f t="shared" ca="1" si="94"/>
        <v>0</v>
      </c>
      <c r="K121" s="76">
        <f t="shared" ca="1" si="100"/>
        <v>0</v>
      </c>
      <c r="L121" s="76">
        <f t="shared" ca="1" si="95"/>
        <v>0</v>
      </c>
      <c r="M121" s="76">
        <f t="shared" ca="1" si="82"/>
        <v>0</v>
      </c>
      <c r="N121" s="76">
        <f t="shared" ca="1" si="96"/>
        <v>0</v>
      </c>
      <c r="O121" s="76"/>
      <c r="P121" s="76">
        <f t="shared" ca="1" si="97"/>
        <v>0</v>
      </c>
      <c r="Q121" s="76">
        <f t="shared" ca="1" si="85"/>
        <v>0</v>
      </c>
      <c r="R121" s="76">
        <f t="shared" ca="1" si="86"/>
        <v>0</v>
      </c>
      <c r="S121" s="232">
        <f t="shared" ca="1" si="98"/>
        <v>0</v>
      </c>
      <c r="U121" s="120" t="str">
        <f t="shared" si="99"/>
        <v>*:0</v>
      </c>
      <c r="V121" s="120" t="str">
        <f t="shared" si="87"/>
        <v>:</v>
      </c>
      <c r="W121" s="120" t="str">
        <f t="shared" si="91"/>
        <v>:0</v>
      </c>
      <c r="X121" s="250">
        <f t="array" aca="1" ref="X121:AI121" ca="1">VLOOKUP($D121&amp;":"&amp;$C121,tblPayRates,{3,4,5,6,7,8,9,10,11,12,13,14},0)</f>
        <v>0</v>
      </c>
      <c r="Y121" s="16" t="str">
        <f ca="1"/>
        <v>Nobody</v>
      </c>
      <c r="Z121" s="261" t="str">
        <f ca="1"/>
        <v>M</v>
      </c>
      <c r="AA121" s="77" t="str">
        <f ca="1"/>
        <v>Daily</v>
      </c>
      <c r="AB121" s="77">
        <f ca="1"/>
        <v>0</v>
      </c>
      <c r="AC121" s="77">
        <f ca="1"/>
        <v>0</v>
      </c>
      <c r="AD121" s="77">
        <f ca="1"/>
        <v>0</v>
      </c>
      <c r="AE121" s="77">
        <f ca="1"/>
        <v>0</v>
      </c>
      <c r="AF121" s="261" t="str">
        <f ca="1"/>
        <v>N</v>
      </c>
      <c r="AG121" s="261">
        <f ca="1"/>
        <v>1</v>
      </c>
      <c r="AH121" s="261">
        <f ca="1"/>
        <v>1</v>
      </c>
      <c r="AI121" s="262">
        <f ca="1"/>
        <v>0</v>
      </c>
    </row>
    <row r="122" spans="1:35" hidden="1" outlineLevel="1" x14ac:dyDescent="0.25">
      <c r="A122" s="120">
        <f t="shared" si="83"/>
        <v>0</v>
      </c>
      <c r="B122" s="231"/>
      <c r="C122" s="77"/>
      <c r="D122" s="238"/>
      <c r="E122" s="76">
        <f ca="1">SUMIF(payNonMonth,"="&amp;$W122,$E$371:OFFSET($E$371,ROWS(payNonMonth)-1,0))</f>
        <v>0</v>
      </c>
      <c r="F122" s="76"/>
      <c r="G122" s="77">
        <f t="shared" ca="1" si="84"/>
        <v>0</v>
      </c>
      <c r="H122" s="76">
        <f t="shared" ca="1" si="92"/>
        <v>0</v>
      </c>
      <c r="I122" s="76">
        <f t="shared" ca="1" si="93"/>
        <v>0</v>
      </c>
      <c r="J122" s="233">
        <f t="shared" ca="1" si="94"/>
        <v>0</v>
      </c>
      <c r="K122" s="76">
        <f t="shared" ca="1" si="100"/>
        <v>0</v>
      </c>
      <c r="L122" s="76">
        <f t="shared" ca="1" si="95"/>
        <v>0</v>
      </c>
      <c r="M122" s="76">
        <f t="shared" ca="1" si="82"/>
        <v>0</v>
      </c>
      <c r="N122" s="76">
        <f t="shared" ca="1" si="96"/>
        <v>0</v>
      </c>
      <c r="O122" s="76"/>
      <c r="P122" s="76">
        <f t="shared" ca="1" si="97"/>
        <v>0</v>
      </c>
      <c r="Q122" s="76">
        <f t="shared" ca="1" si="85"/>
        <v>0</v>
      </c>
      <c r="R122" s="76">
        <f t="shared" ca="1" si="86"/>
        <v>0</v>
      </c>
      <c r="S122" s="232">
        <f t="shared" ca="1" si="98"/>
        <v>0</v>
      </c>
      <c r="U122" s="120" t="str">
        <f t="shared" si="99"/>
        <v>*:0</v>
      </c>
      <c r="V122" s="120" t="str">
        <f t="shared" si="87"/>
        <v>:</v>
      </c>
      <c r="W122" s="120" t="str">
        <f t="shared" si="91"/>
        <v>:0</v>
      </c>
      <c r="X122" s="250">
        <f t="array" aca="1" ref="X122:AI122" ca="1">VLOOKUP($D122&amp;":"&amp;$C122,tblPayRates,{3,4,5,6,7,8,9,10,11,12,13,14},0)</f>
        <v>0</v>
      </c>
      <c r="Y122" s="16" t="str">
        <f ca="1"/>
        <v>Nobody</v>
      </c>
      <c r="Z122" s="261" t="str">
        <f ca="1"/>
        <v>M</v>
      </c>
      <c r="AA122" s="77" t="str">
        <f ca="1"/>
        <v>Daily</v>
      </c>
      <c r="AB122" s="77">
        <f ca="1"/>
        <v>0</v>
      </c>
      <c r="AC122" s="77">
        <f ca="1"/>
        <v>0</v>
      </c>
      <c r="AD122" s="77">
        <f ca="1"/>
        <v>0</v>
      </c>
      <c r="AE122" s="77">
        <f ca="1"/>
        <v>0</v>
      </c>
      <c r="AF122" s="261" t="str">
        <f ca="1"/>
        <v>N</v>
      </c>
      <c r="AG122" s="261">
        <f ca="1"/>
        <v>1</v>
      </c>
      <c r="AH122" s="261">
        <f ca="1"/>
        <v>1</v>
      </c>
      <c r="AI122" s="262">
        <f ca="1"/>
        <v>0</v>
      </c>
    </row>
    <row r="123" spans="1:35" hidden="1" outlineLevel="1" x14ac:dyDescent="0.25">
      <c r="A123" s="120">
        <f t="shared" si="83"/>
        <v>0</v>
      </c>
      <c r="B123" s="231"/>
      <c r="C123" s="77"/>
      <c r="D123" s="238"/>
      <c r="E123" s="76">
        <f ca="1">SUMIF(payNonMonth,"="&amp;$W123,$E$371:OFFSET($E$371,ROWS(payNonMonth)-1,0))</f>
        <v>0</v>
      </c>
      <c r="F123" s="76"/>
      <c r="G123" s="77">
        <f t="shared" ca="1" si="84"/>
        <v>0</v>
      </c>
      <c r="H123" s="76">
        <f t="shared" ca="1" si="92"/>
        <v>0</v>
      </c>
      <c r="I123" s="76">
        <f t="shared" ca="1" si="93"/>
        <v>0</v>
      </c>
      <c r="J123" s="233">
        <f t="shared" ca="1" si="94"/>
        <v>0</v>
      </c>
      <c r="K123" s="76">
        <f t="shared" ca="1" si="100"/>
        <v>0</v>
      </c>
      <c r="L123" s="76">
        <f t="shared" ca="1" si="95"/>
        <v>0</v>
      </c>
      <c r="M123" s="76">
        <f t="shared" ca="1" si="82"/>
        <v>0</v>
      </c>
      <c r="N123" s="76">
        <f t="shared" ca="1" si="96"/>
        <v>0</v>
      </c>
      <c r="O123" s="76"/>
      <c r="P123" s="76">
        <f t="shared" ca="1" si="97"/>
        <v>0</v>
      </c>
      <c r="Q123" s="76">
        <f t="shared" ca="1" si="85"/>
        <v>0</v>
      </c>
      <c r="R123" s="76">
        <f t="shared" ca="1" si="86"/>
        <v>0</v>
      </c>
      <c r="S123" s="232">
        <f t="shared" ca="1" si="98"/>
        <v>0</v>
      </c>
      <c r="U123" s="120" t="str">
        <f t="shared" si="99"/>
        <v>*:0</v>
      </c>
      <c r="V123" s="120" t="str">
        <f t="shared" si="87"/>
        <v>:</v>
      </c>
      <c r="W123" s="120" t="str">
        <f t="shared" si="91"/>
        <v>:0</v>
      </c>
      <c r="X123" s="250">
        <f t="array" aca="1" ref="X123:AI123" ca="1">VLOOKUP($D123&amp;":"&amp;$C123,tblPayRates,{3,4,5,6,7,8,9,10,11,12,13,14},0)</f>
        <v>0</v>
      </c>
      <c r="Y123" s="16" t="str">
        <f ca="1"/>
        <v>Nobody</v>
      </c>
      <c r="Z123" s="261" t="str">
        <f ca="1"/>
        <v>M</v>
      </c>
      <c r="AA123" s="77" t="str">
        <f ca="1"/>
        <v>Daily</v>
      </c>
      <c r="AB123" s="77">
        <f ca="1"/>
        <v>0</v>
      </c>
      <c r="AC123" s="77">
        <f ca="1"/>
        <v>0</v>
      </c>
      <c r="AD123" s="77">
        <f ca="1"/>
        <v>0</v>
      </c>
      <c r="AE123" s="77">
        <f ca="1"/>
        <v>0</v>
      </c>
      <c r="AF123" s="261" t="str">
        <f ca="1"/>
        <v>N</v>
      </c>
      <c r="AG123" s="261">
        <f ca="1"/>
        <v>1</v>
      </c>
      <c r="AH123" s="261">
        <f ca="1"/>
        <v>1</v>
      </c>
      <c r="AI123" s="262">
        <f ca="1"/>
        <v>0</v>
      </c>
    </row>
    <row r="124" spans="1:35" hidden="1" outlineLevel="1" x14ac:dyDescent="0.25">
      <c r="A124" s="120">
        <f t="shared" si="83"/>
        <v>0</v>
      </c>
      <c r="B124" s="231"/>
      <c r="C124" s="77"/>
      <c r="D124" s="238"/>
      <c r="E124" s="76">
        <f ca="1">SUMIF(payNonMonth,"="&amp;$W124,$E$371:OFFSET($E$371,ROWS(payNonMonth)-1,0))</f>
        <v>0</v>
      </c>
      <c r="F124" s="76"/>
      <c r="G124" s="77">
        <f t="shared" ca="1" si="84"/>
        <v>0</v>
      </c>
      <c r="H124" s="76">
        <f t="shared" ca="1" si="92"/>
        <v>0</v>
      </c>
      <c r="I124" s="76">
        <f t="shared" ca="1" si="93"/>
        <v>0</v>
      </c>
      <c r="J124" s="233">
        <f t="shared" ca="1" si="94"/>
        <v>0</v>
      </c>
      <c r="K124" s="76">
        <f t="shared" ca="1" si="100"/>
        <v>0</v>
      </c>
      <c r="L124" s="76">
        <f t="shared" ca="1" si="95"/>
        <v>0</v>
      </c>
      <c r="M124" s="76">
        <f t="shared" ca="1" si="82"/>
        <v>0</v>
      </c>
      <c r="N124" s="76">
        <f t="shared" ca="1" si="96"/>
        <v>0</v>
      </c>
      <c r="O124" s="76"/>
      <c r="P124" s="76">
        <f t="shared" ca="1" si="97"/>
        <v>0</v>
      </c>
      <c r="Q124" s="76">
        <f t="shared" ca="1" si="85"/>
        <v>0</v>
      </c>
      <c r="R124" s="76">
        <f t="shared" ca="1" si="86"/>
        <v>0</v>
      </c>
      <c r="S124" s="232">
        <f t="shared" ca="1" si="98"/>
        <v>0</v>
      </c>
      <c r="U124" s="120" t="str">
        <f t="shared" si="99"/>
        <v>*:0</v>
      </c>
      <c r="V124" s="120" t="str">
        <f t="shared" si="87"/>
        <v>:</v>
      </c>
      <c r="W124" s="120" t="str">
        <f t="shared" si="91"/>
        <v>:0</v>
      </c>
      <c r="X124" s="250">
        <f t="array" aca="1" ref="X124:AI124" ca="1">VLOOKUP($D124&amp;":"&amp;$C124,tblPayRates,{3,4,5,6,7,8,9,10,11,12,13,14},0)</f>
        <v>0</v>
      </c>
      <c r="Y124" s="16" t="str">
        <f ca="1"/>
        <v>Nobody</v>
      </c>
      <c r="Z124" s="261" t="str">
        <f ca="1"/>
        <v>M</v>
      </c>
      <c r="AA124" s="77" t="str">
        <f ca="1"/>
        <v>Daily</v>
      </c>
      <c r="AB124" s="77">
        <f ca="1"/>
        <v>0</v>
      </c>
      <c r="AC124" s="77">
        <f ca="1"/>
        <v>0</v>
      </c>
      <c r="AD124" s="77">
        <f ca="1"/>
        <v>0</v>
      </c>
      <c r="AE124" s="77">
        <f ca="1"/>
        <v>0</v>
      </c>
      <c r="AF124" s="261" t="str">
        <f ca="1"/>
        <v>N</v>
      </c>
      <c r="AG124" s="261">
        <f ca="1"/>
        <v>1</v>
      </c>
      <c r="AH124" s="261">
        <f ca="1"/>
        <v>1</v>
      </c>
      <c r="AI124" s="262">
        <f ca="1"/>
        <v>0</v>
      </c>
    </row>
    <row r="125" spans="1:35" hidden="1" outlineLevel="1" x14ac:dyDescent="0.25">
      <c r="A125" s="120">
        <f t="shared" si="83"/>
        <v>0</v>
      </c>
      <c r="B125" s="231"/>
      <c r="C125" s="77"/>
      <c r="D125" s="238"/>
      <c r="E125" s="76">
        <f ca="1">SUMIF(payNonMonth,"="&amp;$W125,$E$371:OFFSET($E$371,ROWS(payNonMonth)-1,0))</f>
        <v>0</v>
      </c>
      <c r="F125" s="76"/>
      <c r="G125" s="77">
        <f t="shared" ca="1" si="84"/>
        <v>0</v>
      </c>
      <c r="H125" s="76">
        <f t="shared" ca="1" si="92"/>
        <v>0</v>
      </c>
      <c r="I125" s="76">
        <f t="shared" ca="1" si="93"/>
        <v>0</v>
      </c>
      <c r="J125" s="233">
        <f t="shared" ca="1" si="94"/>
        <v>0</v>
      </c>
      <c r="K125" s="76">
        <f t="shared" ca="1" si="100"/>
        <v>0</v>
      </c>
      <c r="L125" s="76">
        <f t="shared" ca="1" si="95"/>
        <v>0</v>
      </c>
      <c r="M125" s="76">
        <f t="shared" ca="1" si="82"/>
        <v>0</v>
      </c>
      <c r="N125" s="76">
        <f t="shared" ca="1" si="96"/>
        <v>0</v>
      </c>
      <c r="O125" s="76"/>
      <c r="P125" s="76">
        <f t="shared" ca="1" si="97"/>
        <v>0</v>
      </c>
      <c r="Q125" s="76">
        <f t="shared" ca="1" si="85"/>
        <v>0</v>
      </c>
      <c r="R125" s="76">
        <f t="shared" ca="1" si="86"/>
        <v>0</v>
      </c>
      <c r="S125" s="232">
        <f t="shared" ca="1" si="98"/>
        <v>0</v>
      </c>
      <c r="U125" s="120" t="str">
        <f t="shared" si="99"/>
        <v>*:0</v>
      </c>
      <c r="V125" s="120" t="str">
        <f t="shared" si="87"/>
        <v>:</v>
      </c>
      <c r="W125" s="120" t="str">
        <f t="shared" si="91"/>
        <v>:0</v>
      </c>
      <c r="X125" s="250">
        <f t="array" aca="1" ref="X125:AI125" ca="1">VLOOKUP($D125&amp;":"&amp;$C125,tblPayRates,{3,4,5,6,7,8,9,10,11,12,13,14},0)</f>
        <v>0</v>
      </c>
      <c r="Y125" s="16" t="str">
        <f ca="1"/>
        <v>Nobody</v>
      </c>
      <c r="Z125" s="261" t="str">
        <f ca="1"/>
        <v>M</v>
      </c>
      <c r="AA125" s="77" t="str">
        <f ca="1"/>
        <v>Daily</v>
      </c>
      <c r="AB125" s="77">
        <f ca="1"/>
        <v>0</v>
      </c>
      <c r="AC125" s="77">
        <f ca="1"/>
        <v>0</v>
      </c>
      <c r="AD125" s="77">
        <f ca="1"/>
        <v>0</v>
      </c>
      <c r="AE125" s="77">
        <f ca="1"/>
        <v>0</v>
      </c>
      <c r="AF125" s="261" t="str">
        <f ca="1"/>
        <v>N</v>
      </c>
      <c r="AG125" s="261">
        <f ca="1"/>
        <v>1</v>
      </c>
      <c r="AH125" s="261">
        <f ca="1"/>
        <v>1</v>
      </c>
      <c r="AI125" s="262">
        <f ca="1"/>
        <v>0</v>
      </c>
    </row>
    <row r="126" spans="1:35" hidden="1" outlineLevel="1" x14ac:dyDescent="0.25">
      <c r="A126" s="120">
        <f t="shared" si="83"/>
        <v>0</v>
      </c>
      <c r="B126" s="231"/>
      <c r="C126" s="77"/>
      <c r="D126" s="238"/>
      <c r="E126" s="76">
        <f ca="1">SUMIF(payNonMonth,"="&amp;$W126,$E$371:OFFSET($E$371,ROWS(payNonMonth)-1,0))</f>
        <v>0</v>
      </c>
      <c r="F126" s="76"/>
      <c r="G126" s="77">
        <f t="shared" ca="1" si="84"/>
        <v>0</v>
      </c>
      <c r="H126" s="76">
        <f t="shared" ca="1" si="92"/>
        <v>0</v>
      </c>
      <c r="I126" s="76">
        <f t="shared" ca="1" si="93"/>
        <v>0</v>
      </c>
      <c r="J126" s="233">
        <f t="shared" ca="1" si="94"/>
        <v>0</v>
      </c>
      <c r="K126" s="76">
        <f t="shared" ca="1" si="100"/>
        <v>0</v>
      </c>
      <c r="L126" s="76">
        <f t="shared" ca="1" si="95"/>
        <v>0</v>
      </c>
      <c r="M126" s="76">
        <f t="shared" ca="1" si="82"/>
        <v>0</v>
      </c>
      <c r="N126" s="76">
        <f t="shared" ca="1" si="96"/>
        <v>0</v>
      </c>
      <c r="O126" s="76"/>
      <c r="P126" s="76">
        <f t="shared" ca="1" si="97"/>
        <v>0</v>
      </c>
      <c r="Q126" s="76">
        <f t="shared" ca="1" si="85"/>
        <v>0</v>
      </c>
      <c r="R126" s="76">
        <f t="shared" ca="1" si="86"/>
        <v>0</v>
      </c>
      <c r="S126" s="232">
        <f t="shared" ca="1" si="98"/>
        <v>0</v>
      </c>
      <c r="U126" s="120" t="str">
        <f t="shared" si="99"/>
        <v>*:0</v>
      </c>
      <c r="V126" s="120" t="str">
        <f t="shared" si="87"/>
        <v>:</v>
      </c>
      <c r="W126" s="120" t="str">
        <f t="shared" si="91"/>
        <v>:0</v>
      </c>
      <c r="X126" s="250">
        <f t="array" aca="1" ref="X126:AI126" ca="1">VLOOKUP($D126&amp;":"&amp;$C126,tblPayRates,{3,4,5,6,7,8,9,10,11,12,13,14},0)</f>
        <v>0</v>
      </c>
      <c r="Y126" s="16" t="str">
        <f ca="1"/>
        <v>Nobody</v>
      </c>
      <c r="Z126" s="261" t="str">
        <f ca="1"/>
        <v>M</v>
      </c>
      <c r="AA126" s="77" t="str">
        <f ca="1"/>
        <v>Daily</v>
      </c>
      <c r="AB126" s="77">
        <f ca="1"/>
        <v>0</v>
      </c>
      <c r="AC126" s="77">
        <f ca="1"/>
        <v>0</v>
      </c>
      <c r="AD126" s="77">
        <f ca="1"/>
        <v>0</v>
      </c>
      <c r="AE126" s="77">
        <f ca="1"/>
        <v>0</v>
      </c>
      <c r="AF126" s="261" t="str">
        <f ca="1"/>
        <v>N</v>
      </c>
      <c r="AG126" s="261">
        <f ca="1"/>
        <v>1</v>
      </c>
      <c r="AH126" s="261">
        <f ca="1"/>
        <v>1</v>
      </c>
      <c r="AI126" s="262">
        <f ca="1"/>
        <v>0</v>
      </c>
    </row>
    <row r="127" spans="1:35" hidden="1" outlineLevel="1" x14ac:dyDescent="0.25">
      <c r="A127" s="120">
        <f t="shared" si="83"/>
        <v>0</v>
      </c>
      <c r="B127" s="231"/>
      <c r="C127" s="77"/>
      <c r="D127" s="238"/>
      <c r="E127" s="76">
        <f ca="1">SUMIF(payNonMonth,"="&amp;$W127,$E$371:OFFSET($E$371,ROWS(payNonMonth)-1,0))</f>
        <v>0</v>
      </c>
      <c r="F127" s="76"/>
      <c r="G127" s="77">
        <f t="shared" ca="1" si="84"/>
        <v>0</v>
      </c>
      <c r="H127" s="76">
        <f t="shared" ca="1" si="92"/>
        <v>0</v>
      </c>
      <c r="I127" s="76">
        <f t="shared" ca="1" si="93"/>
        <v>0</v>
      </c>
      <c r="J127" s="233">
        <f t="shared" ca="1" si="94"/>
        <v>0</v>
      </c>
      <c r="K127" s="76">
        <f t="shared" ca="1" si="100"/>
        <v>0</v>
      </c>
      <c r="L127" s="76">
        <f t="shared" ca="1" si="95"/>
        <v>0</v>
      </c>
      <c r="M127" s="76">
        <f t="shared" ca="1" si="82"/>
        <v>0</v>
      </c>
      <c r="N127" s="76">
        <f t="shared" ca="1" si="96"/>
        <v>0</v>
      </c>
      <c r="O127" s="76"/>
      <c r="P127" s="76">
        <f t="shared" ca="1" si="97"/>
        <v>0</v>
      </c>
      <c r="Q127" s="76">
        <f t="shared" ca="1" si="85"/>
        <v>0</v>
      </c>
      <c r="R127" s="76">
        <f t="shared" ca="1" si="86"/>
        <v>0</v>
      </c>
      <c r="S127" s="232">
        <f t="shared" ca="1" si="98"/>
        <v>0</v>
      </c>
      <c r="U127" s="120" t="str">
        <f t="shared" si="99"/>
        <v>*:0</v>
      </c>
      <c r="V127" s="120" t="str">
        <f t="shared" si="87"/>
        <v>:</v>
      </c>
      <c r="W127" s="120" t="str">
        <f t="shared" si="91"/>
        <v>:0</v>
      </c>
      <c r="X127" s="250">
        <f t="array" aca="1" ref="X127:AI127" ca="1">VLOOKUP($D127&amp;":"&amp;$C127,tblPayRates,{3,4,5,6,7,8,9,10,11,12,13,14},0)</f>
        <v>0</v>
      </c>
      <c r="Y127" s="16" t="str">
        <f ca="1"/>
        <v>Nobody</v>
      </c>
      <c r="Z127" s="261" t="str">
        <f ca="1"/>
        <v>M</v>
      </c>
      <c r="AA127" s="77" t="str">
        <f ca="1"/>
        <v>Daily</v>
      </c>
      <c r="AB127" s="77">
        <f ca="1"/>
        <v>0</v>
      </c>
      <c r="AC127" s="77">
        <f ca="1"/>
        <v>0</v>
      </c>
      <c r="AD127" s="77">
        <f ca="1"/>
        <v>0</v>
      </c>
      <c r="AE127" s="77">
        <f ca="1"/>
        <v>0</v>
      </c>
      <c r="AF127" s="261" t="str">
        <f ca="1"/>
        <v>N</v>
      </c>
      <c r="AG127" s="261">
        <f ca="1"/>
        <v>1</v>
      </c>
      <c r="AH127" s="261">
        <f ca="1"/>
        <v>1</v>
      </c>
      <c r="AI127" s="262">
        <f ca="1"/>
        <v>0</v>
      </c>
    </row>
    <row r="128" spans="1:35" hidden="1" outlineLevel="1" x14ac:dyDescent="0.25">
      <c r="A128" s="120">
        <f t="shared" si="83"/>
        <v>0</v>
      </c>
      <c r="B128" s="231"/>
      <c r="C128" s="77"/>
      <c r="D128" s="238"/>
      <c r="E128" s="76">
        <f ca="1">SUMIF(payNonMonth,"="&amp;$W128,$E$371:OFFSET($E$371,ROWS(payNonMonth)-1,0))</f>
        <v>0</v>
      </c>
      <c r="F128" s="76"/>
      <c r="G128" s="77">
        <f t="shared" ca="1" si="84"/>
        <v>0</v>
      </c>
      <c r="H128" s="76">
        <f t="shared" ca="1" si="92"/>
        <v>0</v>
      </c>
      <c r="I128" s="76">
        <f t="shared" ca="1" si="93"/>
        <v>0</v>
      </c>
      <c r="J128" s="233">
        <f t="shared" ca="1" si="94"/>
        <v>0</v>
      </c>
      <c r="K128" s="76">
        <f t="shared" ca="1" si="100"/>
        <v>0</v>
      </c>
      <c r="L128" s="76">
        <f t="shared" ca="1" si="95"/>
        <v>0</v>
      </c>
      <c r="M128" s="76">
        <f t="shared" ca="1" si="82"/>
        <v>0</v>
      </c>
      <c r="N128" s="76">
        <f t="shared" ca="1" si="96"/>
        <v>0</v>
      </c>
      <c r="O128" s="76"/>
      <c r="P128" s="76">
        <f t="shared" ca="1" si="97"/>
        <v>0</v>
      </c>
      <c r="Q128" s="76">
        <f t="shared" ca="1" si="85"/>
        <v>0</v>
      </c>
      <c r="R128" s="76">
        <f t="shared" ca="1" si="86"/>
        <v>0</v>
      </c>
      <c r="S128" s="232">
        <f t="shared" ca="1" si="98"/>
        <v>0</v>
      </c>
      <c r="U128" s="120" t="str">
        <f t="shared" si="99"/>
        <v>*:0</v>
      </c>
      <c r="V128" s="120" t="str">
        <f t="shared" si="87"/>
        <v>:</v>
      </c>
      <c r="W128" s="120" t="str">
        <f t="shared" si="91"/>
        <v>:0</v>
      </c>
      <c r="X128" s="250">
        <f t="array" aca="1" ref="X128:AI128" ca="1">VLOOKUP($D128&amp;":"&amp;$C128,tblPayRates,{3,4,5,6,7,8,9,10,11,12,13,14},0)</f>
        <v>0</v>
      </c>
      <c r="Y128" s="16" t="str">
        <f ca="1"/>
        <v>Nobody</v>
      </c>
      <c r="Z128" s="261" t="str">
        <f ca="1"/>
        <v>M</v>
      </c>
      <c r="AA128" s="77" t="str">
        <f ca="1"/>
        <v>Daily</v>
      </c>
      <c r="AB128" s="77">
        <f ca="1"/>
        <v>0</v>
      </c>
      <c r="AC128" s="77">
        <f ca="1"/>
        <v>0</v>
      </c>
      <c r="AD128" s="77">
        <f ca="1"/>
        <v>0</v>
      </c>
      <c r="AE128" s="77">
        <f ca="1"/>
        <v>0</v>
      </c>
      <c r="AF128" s="261" t="str">
        <f ca="1"/>
        <v>N</v>
      </c>
      <c r="AG128" s="261">
        <f ca="1"/>
        <v>1</v>
      </c>
      <c r="AH128" s="261">
        <f ca="1"/>
        <v>1</v>
      </c>
      <c r="AI128" s="262">
        <f ca="1"/>
        <v>0</v>
      </c>
    </row>
    <row r="129" spans="1:35" hidden="1" outlineLevel="1" x14ac:dyDescent="0.25">
      <c r="A129" s="120">
        <f t="shared" si="83"/>
        <v>0</v>
      </c>
      <c r="B129" s="231"/>
      <c r="C129" s="77"/>
      <c r="D129" s="238"/>
      <c r="E129" s="76">
        <f ca="1">SUMIF(payNonMonth,"="&amp;$W129,$E$371:OFFSET($E$371,ROWS(payNonMonth)-1,0))</f>
        <v>0</v>
      </c>
      <c r="F129" s="76"/>
      <c r="G129" s="77">
        <f t="shared" ca="1" si="84"/>
        <v>0</v>
      </c>
      <c r="H129" s="76">
        <f t="shared" ca="1" si="92"/>
        <v>0</v>
      </c>
      <c r="I129" s="76">
        <f t="shared" ca="1" si="93"/>
        <v>0</v>
      </c>
      <c r="J129" s="233">
        <f t="shared" ca="1" si="94"/>
        <v>0</v>
      </c>
      <c r="K129" s="76">
        <f t="shared" ca="1" si="100"/>
        <v>0</v>
      </c>
      <c r="L129" s="76">
        <f t="shared" ca="1" si="95"/>
        <v>0</v>
      </c>
      <c r="M129" s="76">
        <f t="shared" ca="1" si="82"/>
        <v>0</v>
      </c>
      <c r="N129" s="76">
        <f t="shared" ca="1" si="96"/>
        <v>0</v>
      </c>
      <c r="O129" s="76"/>
      <c r="P129" s="76">
        <f t="shared" ca="1" si="97"/>
        <v>0</v>
      </c>
      <c r="Q129" s="76">
        <f t="shared" ca="1" si="85"/>
        <v>0</v>
      </c>
      <c r="R129" s="76">
        <f t="shared" ca="1" si="86"/>
        <v>0</v>
      </c>
      <c r="S129" s="232">
        <f t="shared" ca="1" si="98"/>
        <v>0</v>
      </c>
      <c r="U129" s="120" t="str">
        <f t="shared" si="99"/>
        <v>*:0</v>
      </c>
      <c r="V129" s="120" t="str">
        <f t="shared" si="87"/>
        <v>:</v>
      </c>
      <c r="W129" s="120" t="str">
        <f t="shared" si="91"/>
        <v>:0</v>
      </c>
      <c r="X129" s="250">
        <f t="array" aca="1" ref="X129:AI129" ca="1">VLOOKUP($D129&amp;":"&amp;$C129,tblPayRates,{3,4,5,6,7,8,9,10,11,12,13,14},0)</f>
        <v>0</v>
      </c>
      <c r="Y129" s="16" t="str">
        <f ca="1"/>
        <v>Nobody</v>
      </c>
      <c r="Z129" s="261" t="str">
        <f ca="1"/>
        <v>M</v>
      </c>
      <c r="AA129" s="77" t="str">
        <f ca="1"/>
        <v>Daily</v>
      </c>
      <c r="AB129" s="77">
        <f ca="1"/>
        <v>0</v>
      </c>
      <c r="AC129" s="77">
        <f ca="1"/>
        <v>0</v>
      </c>
      <c r="AD129" s="77">
        <f ca="1"/>
        <v>0</v>
      </c>
      <c r="AE129" s="77">
        <f ca="1"/>
        <v>0</v>
      </c>
      <c r="AF129" s="261" t="str">
        <f ca="1"/>
        <v>N</v>
      </c>
      <c r="AG129" s="261">
        <f ca="1"/>
        <v>1</v>
      </c>
      <c r="AH129" s="261">
        <f ca="1"/>
        <v>1</v>
      </c>
      <c r="AI129" s="262">
        <f ca="1"/>
        <v>0</v>
      </c>
    </row>
    <row r="130" spans="1:35" hidden="1" outlineLevel="1" x14ac:dyDescent="0.25">
      <c r="A130" s="120">
        <f t="shared" si="83"/>
        <v>0</v>
      </c>
      <c r="B130" s="231"/>
      <c r="C130" s="77"/>
      <c r="D130" s="238"/>
      <c r="E130" s="76">
        <f ca="1">SUMIF(payNonMonth,"="&amp;$W130,$E$371:OFFSET($E$371,ROWS(payNonMonth)-1,0))</f>
        <v>0</v>
      </c>
      <c r="F130" s="76"/>
      <c r="G130" s="77">
        <f t="shared" ca="1" si="84"/>
        <v>0</v>
      </c>
      <c r="H130" s="76">
        <f t="shared" ca="1" si="92"/>
        <v>0</v>
      </c>
      <c r="I130" s="76">
        <f t="shared" ca="1" si="93"/>
        <v>0</v>
      </c>
      <c r="J130" s="233">
        <f t="shared" ca="1" si="94"/>
        <v>0</v>
      </c>
      <c r="K130" s="76">
        <f t="shared" ca="1" si="100"/>
        <v>0</v>
      </c>
      <c r="L130" s="76">
        <f t="shared" ca="1" si="95"/>
        <v>0</v>
      </c>
      <c r="M130" s="76">
        <f t="shared" ca="1" si="82"/>
        <v>0</v>
      </c>
      <c r="N130" s="76">
        <f t="shared" ca="1" si="96"/>
        <v>0</v>
      </c>
      <c r="O130" s="76"/>
      <c r="P130" s="76">
        <f t="shared" ca="1" si="97"/>
        <v>0</v>
      </c>
      <c r="Q130" s="76">
        <f t="shared" ca="1" si="85"/>
        <v>0</v>
      </c>
      <c r="R130" s="76">
        <f t="shared" ca="1" si="86"/>
        <v>0</v>
      </c>
      <c r="S130" s="232">
        <f t="shared" ca="1" si="98"/>
        <v>0</v>
      </c>
      <c r="U130" s="120" t="str">
        <f t="shared" si="99"/>
        <v>*:0</v>
      </c>
      <c r="V130" s="120" t="str">
        <f t="shared" si="87"/>
        <v>:</v>
      </c>
      <c r="W130" s="120" t="str">
        <f t="shared" si="91"/>
        <v>:0</v>
      </c>
      <c r="X130" s="250">
        <f t="array" aca="1" ref="X130:AI130" ca="1">VLOOKUP($D130&amp;":"&amp;$C130,tblPayRates,{3,4,5,6,7,8,9,10,11,12,13,14},0)</f>
        <v>0</v>
      </c>
      <c r="Y130" s="16" t="str">
        <f ca="1"/>
        <v>Nobody</v>
      </c>
      <c r="Z130" s="261" t="str">
        <f ca="1"/>
        <v>M</v>
      </c>
      <c r="AA130" s="77" t="str">
        <f ca="1"/>
        <v>Daily</v>
      </c>
      <c r="AB130" s="77">
        <f ca="1"/>
        <v>0</v>
      </c>
      <c r="AC130" s="77">
        <f ca="1"/>
        <v>0</v>
      </c>
      <c r="AD130" s="77">
        <f ca="1"/>
        <v>0</v>
      </c>
      <c r="AE130" s="77">
        <f ca="1"/>
        <v>0</v>
      </c>
      <c r="AF130" s="261" t="str">
        <f ca="1"/>
        <v>N</v>
      </c>
      <c r="AG130" s="261">
        <f ca="1"/>
        <v>1</v>
      </c>
      <c r="AH130" s="261">
        <f ca="1"/>
        <v>1</v>
      </c>
      <c r="AI130" s="262">
        <f ca="1"/>
        <v>0</v>
      </c>
    </row>
    <row r="131" spans="1:35" hidden="1" outlineLevel="1" x14ac:dyDescent="0.25">
      <c r="A131" s="120">
        <f t="shared" si="83"/>
        <v>0</v>
      </c>
      <c r="B131" s="231"/>
      <c r="C131" s="77"/>
      <c r="D131" s="238"/>
      <c r="E131" s="76">
        <f ca="1">SUMIF(payNonMonth,"="&amp;$W131,$E$371:OFFSET($E$371,ROWS(payNonMonth)-1,0))</f>
        <v>0</v>
      </c>
      <c r="F131" s="76"/>
      <c r="G131" s="77">
        <f t="shared" ca="1" si="84"/>
        <v>0</v>
      </c>
      <c r="H131" s="76">
        <f t="shared" ca="1" si="92"/>
        <v>0</v>
      </c>
      <c r="I131" s="76">
        <f t="shared" ca="1" si="93"/>
        <v>0</v>
      </c>
      <c r="J131" s="233">
        <f t="shared" ca="1" si="94"/>
        <v>0</v>
      </c>
      <c r="K131" s="76">
        <f t="shared" ca="1" si="100"/>
        <v>0</v>
      </c>
      <c r="L131" s="76">
        <f t="shared" ca="1" si="95"/>
        <v>0</v>
      </c>
      <c r="M131" s="76">
        <f t="shared" ca="1" si="82"/>
        <v>0</v>
      </c>
      <c r="N131" s="76">
        <f t="shared" ca="1" si="96"/>
        <v>0</v>
      </c>
      <c r="O131" s="76"/>
      <c r="P131" s="76">
        <f t="shared" ca="1" si="97"/>
        <v>0</v>
      </c>
      <c r="Q131" s="76">
        <f t="shared" ca="1" si="85"/>
        <v>0</v>
      </c>
      <c r="R131" s="76">
        <f t="shared" ca="1" si="86"/>
        <v>0</v>
      </c>
      <c r="S131" s="232">
        <f t="shared" ca="1" si="98"/>
        <v>0</v>
      </c>
      <c r="U131" s="120" t="str">
        <f t="shared" si="99"/>
        <v>*:0</v>
      </c>
      <c r="V131" s="120" t="str">
        <f t="shared" si="87"/>
        <v>:</v>
      </c>
      <c r="W131" s="120" t="str">
        <f t="shared" si="91"/>
        <v>:0</v>
      </c>
      <c r="X131" s="250">
        <f t="array" aca="1" ref="X131:AI131" ca="1">VLOOKUP($D131&amp;":"&amp;$C131,tblPayRates,{3,4,5,6,7,8,9,10,11,12,13,14},0)</f>
        <v>0</v>
      </c>
      <c r="Y131" s="16" t="str">
        <f ca="1"/>
        <v>Nobody</v>
      </c>
      <c r="Z131" s="261" t="str">
        <f ca="1"/>
        <v>M</v>
      </c>
      <c r="AA131" s="77" t="str">
        <f ca="1"/>
        <v>Daily</v>
      </c>
      <c r="AB131" s="77">
        <f ca="1"/>
        <v>0</v>
      </c>
      <c r="AC131" s="77">
        <f ca="1"/>
        <v>0</v>
      </c>
      <c r="AD131" s="77">
        <f ca="1"/>
        <v>0</v>
      </c>
      <c r="AE131" s="77">
        <f ca="1"/>
        <v>0</v>
      </c>
      <c r="AF131" s="261" t="str">
        <f ca="1"/>
        <v>N</v>
      </c>
      <c r="AG131" s="261">
        <f ca="1"/>
        <v>1</v>
      </c>
      <c r="AH131" s="261">
        <f ca="1"/>
        <v>1</v>
      </c>
      <c r="AI131" s="262">
        <f ca="1"/>
        <v>0</v>
      </c>
    </row>
    <row r="132" spans="1:35" hidden="1" outlineLevel="1" x14ac:dyDescent="0.25">
      <c r="A132" s="120">
        <f t="shared" si="83"/>
        <v>0</v>
      </c>
      <c r="B132" s="231"/>
      <c r="C132" s="77"/>
      <c r="D132" s="238"/>
      <c r="E132" s="76">
        <f ca="1">SUMIF(payNonMonth,"="&amp;$W132,$E$371:OFFSET($E$371,ROWS(payNonMonth)-1,0))</f>
        <v>0</v>
      </c>
      <c r="F132" s="76"/>
      <c r="G132" s="77">
        <f t="shared" ca="1" si="84"/>
        <v>0</v>
      </c>
      <c r="H132" s="76">
        <f t="shared" ca="1" si="92"/>
        <v>0</v>
      </c>
      <c r="I132" s="76">
        <f t="shared" ca="1" si="93"/>
        <v>0</v>
      </c>
      <c r="J132" s="233">
        <f t="shared" ca="1" si="94"/>
        <v>0</v>
      </c>
      <c r="K132" s="76">
        <f t="shared" ca="1" si="100"/>
        <v>0</v>
      </c>
      <c r="L132" s="76">
        <f t="shared" ca="1" si="95"/>
        <v>0</v>
      </c>
      <c r="M132" s="76">
        <f t="shared" ca="1" si="82"/>
        <v>0</v>
      </c>
      <c r="N132" s="76">
        <f t="shared" ca="1" si="96"/>
        <v>0</v>
      </c>
      <c r="O132" s="76"/>
      <c r="P132" s="76">
        <f t="shared" ca="1" si="97"/>
        <v>0</v>
      </c>
      <c r="Q132" s="76">
        <f t="shared" ca="1" si="85"/>
        <v>0</v>
      </c>
      <c r="R132" s="76">
        <f t="shared" ca="1" si="86"/>
        <v>0</v>
      </c>
      <c r="S132" s="232">
        <f t="shared" ca="1" si="98"/>
        <v>0</v>
      </c>
      <c r="U132" s="120" t="str">
        <f t="shared" si="99"/>
        <v>*:0</v>
      </c>
      <c r="V132" s="120" t="str">
        <f t="shared" si="87"/>
        <v>:</v>
      </c>
      <c r="W132" s="120" t="str">
        <f t="shared" si="91"/>
        <v>:0</v>
      </c>
      <c r="X132" s="250">
        <f t="array" aca="1" ref="X132:AI132" ca="1">VLOOKUP($D132&amp;":"&amp;$C132,tblPayRates,{3,4,5,6,7,8,9,10,11,12,13,14},0)</f>
        <v>0</v>
      </c>
      <c r="Y132" s="16" t="str">
        <f ca="1"/>
        <v>Nobody</v>
      </c>
      <c r="Z132" s="261" t="str">
        <f ca="1"/>
        <v>M</v>
      </c>
      <c r="AA132" s="77" t="str">
        <f ca="1"/>
        <v>Daily</v>
      </c>
      <c r="AB132" s="77">
        <f ca="1"/>
        <v>0</v>
      </c>
      <c r="AC132" s="77">
        <f ca="1"/>
        <v>0</v>
      </c>
      <c r="AD132" s="77">
        <f ca="1"/>
        <v>0</v>
      </c>
      <c r="AE132" s="77">
        <f ca="1"/>
        <v>0</v>
      </c>
      <c r="AF132" s="261" t="str">
        <f ca="1"/>
        <v>N</v>
      </c>
      <c r="AG132" s="261">
        <f ca="1"/>
        <v>1</v>
      </c>
      <c r="AH132" s="261">
        <f ca="1"/>
        <v>1</v>
      </c>
      <c r="AI132" s="262">
        <f ca="1"/>
        <v>0</v>
      </c>
    </row>
    <row r="133" spans="1:35" hidden="1" outlineLevel="1" x14ac:dyDescent="0.25">
      <c r="A133" s="120">
        <f t="shared" si="83"/>
        <v>0</v>
      </c>
      <c r="B133" s="231"/>
      <c r="C133" s="77"/>
      <c r="D133" s="238"/>
      <c r="E133" s="76">
        <f ca="1">SUMIF(payNonMonth,"="&amp;$W133,$E$371:OFFSET($E$371,ROWS(payNonMonth)-1,0))</f>
        <v>0</v>
      </c>
      <c r="F133" s="76"/>
      <c r="G133" s="77">
        <f t="shared" ca="1" si="84"/>
        <v>0</v>
      </c>
      <c r="H133" s="76">
        <f t="shared" ca="1" si="92"/>
        <v>0</v>
      </c>
      <c r="I133" s="76">
        <f t="shared" ca="1" si="93"/>
        <v>0</v>
      </c>
      <c r="J133" s="233">
        <f t="shared" ca="1" si="94"/>
        <v>0</v>
      </c>
      <c r="K133" s="76">
        <f t="shared" ca="1" si="100"/>
        <v>0</v>
      </c>
      <c r="L133" s="76">
        <f t="shared" ca="1" si="95"/>
        <v>0</v>
      </c>
      <c r="M133" s="76">
        <f t="shared" ca="1" si="82"/>
        <v>0</v>
      </c>
      <c r="N133" s="76">
        <f t="shared" ca="1" si="96"/>
        <v>0</v>
      </c>
      <c r="O133" s="76"/>
      <c r="P133" s="76">
        <f t="shared" ca="1" si="97"/>
        <v>0</v>
      </c>
      <c r="Q133" s="76">
        <f t="shared" ca="1" si="85"/>
        <v>0</v>
      </c>
      <c r="R133" s="76">
        <f t="shared" ca="1" si="86"/>
        <v>0</v>
      </c>
      <c r="S133" s="232">
        <f t="shared" ca="1" si="98"/>
        <v>0</v>
      </c>
      <c r="U133" s="120" t="str">
        <f t="shared" si="99"/>
        <v>*:0</v>
      </c>
      <c r="V133" s="120" t="str">
        <f t="shared" si="87"/>
        <v>:</v>
      </c>
      <c r="W133" s="120" t="str">
        <f t="shared" si="91"/>
        <v>:0</v>
      </c>
      <c r="X133" s="250">
        <f t="array" aca="1" ref="X133:AI133" ca="1">VLOOKUP($D133&amp;":"&amp;$C133,tblPayRates,{3,4,5,6,7,8,9,10,11,12,13,14},0)</f>
        <v>0</v>
      </c>
      <c r="Y133" s="16" t="str">
        <f ca="1"/>
        <v>Nobody</v>
      </c>
      <c r="Z133" s="261" t="str">
        <f ca="1"/>
        <v>M</v>
      </c>
      <c r="AA133" s="77" t="str">
        <f ca="1"/>
        <v>Daily</v>
      </c>
      <c r="AB133" s="77">
        <f ca="1"/>
        <v>0</v>
      </c>
      <c r="AC133" s="77">
        <f ca="1"/>
        <v>0</v>
      </c>
      <c r="AD133" s="77">
        <f ca="1"/>
        <v>0</v>
      </c>
      <c r="AE133" s="77">
        <f ca="1"/>
        <v>0</v>
      </c>
      <c r="AF133" s="261" t="str">
        <f ca="1"/>
        <v>N</v>
      </c>
      <c r="AG133" s="261">
        <f ca="1"/>
        <v>1</v>
      </c>
      <c r="AH133" s="261">
        <f ca="1"/>
        <v>1</v>
      </c>
      <c r="AI133" s="262">
        <f ca="1"/>
        <v>0</v>
      </c>
    </row>
    <row r="134" spans="1:35" hidden="1" outlineLevel="1" x14ac:dyDescent="0.25">
      <c r="A134" s="120">
        <f t="shared" si="83"/>
        <v>0</v>
      </c>
      <c r="B134" s="231"/>
      <c r="C134" s="77"/>
      <c r="D134" s="238"/>
      <c r="E134" s="76">
        <f ca="1">SUMIF(payNonMonth,"="&amp;$W134,$E$371:OFFSET($E$371,ROWS(payNonMonth)-1,0))</f>
        <v>0</v>
      </c>
      <c r="F134" s="76"/>
      <c r="G134" s="77">
        <f t="shared" ca="1" si="84"/>
        <v>0</v>
      </c>
      <c r="H134" s="76">
        <f t="shared" ca="1" si="92"/>
        <v>0</v>
      </c>
      <c r="I134" s="76">
        <f t="shared" ca="1" si="93"/>
        <v>0</v>
      </c>
      <c r="J134" s="233">
        <f t="shared" ca="1" si="94"/>
        <v>0</v>
      </c>
      <c r="K134" s="76">
        <f t="shared" ca="1" si="100"/>
        <v>0</v>
      </c>
      <c r="L134" s="76">
        <f t="shared" ca="1" si="95"/>
        <v>0</v>
      </c>
      <c r="M134" s="76">
        <f t="shared" ca="1" si="82"/>
        <v>0</v>
      </c>
      <c r="N134" s="76">
        <f t="shared" ca="1" si="96"/>
        <v>0</v>
      </c>
      <c r="O134" s="76"/>
      <c r="P134" s="76">
        <f t="shared" ca="1" si="97"/>
        <v>0</v>
      </c>
      <c r="Q134" s="76">
        <f t="shared" ca="1" si="85"/>
        <v>0</v>
      </c>
      <c r="R134" s="76">
        <f t="shared" ca="1" si="86"/>
        <v>0</v>
      </c>
      <c r="S134" s="232">
        <f t="shared" ca="1" si="98"/>
        <v>0</v>
      </c>
      <c r="U134" s="120" t="str">
        <f t="shared" si="99"/>
        <v>*:0</v>
      </c>
      <c r="V134" s="120" t="str">
        <f t="shared" si="87"/>
        <v>:</v>
      </c>
      <c r="W134" s="120" t="str">
        <f t="shared" si="91"/>
        <v>:0</v>
      </c>
      <c r="X134" s="250">
        <f t="array" aca="1" ref="X134:AI134" ca="1">VLOOKUP($D134&amp;":"&amp;$C134,tblPayRates,{3,4,5,6,7,8,9,10,11,12,13,14},0)</f>
        <v>0</v>
      </c>
      <c r="Y134" s="16" t="str">
        <f ca="1"/>
        <v>Nobody</v>
      </c>
      <c r="Z134" s="261" t="str">
        <f ca="1"/>
        <v>M</v>
      </c>
      <c r="AA134" s="77" t="str">
        <f ca="1"/>
        <v>Daily</v>
      </c>
      <c r="AB134" s="77">
        <f ca="1"/>
        <v>0</v>
      </c>
      <c r="AC134" s="77">
        <f ca="1"/>
        <v>0</v>
      </c>
      <c r="AD134" s="77">
        <f ca="1"/>
        <v>0</v>
      </c>
      <c r="AE134" s="77">
        <f ca="1"/>
        <v>0</v>
      </c>
      <c r="AF134" s="261" t="str">
        <f ca="1"/>
        <v>N</v>
      </c>
      <c r="AG134" s="261">
        <f ca="1"/>
        <v>1</v>
      </c>
      <c r="AH134" s="261">
        <f ca="1"/>
        <v>1</v>
      </c>
      <c r="AI134" s="262">
        <f ca="1"/>
        <v>0</v>
      </c>
    </row>
    <row r="135" spans="1:35" hidden="1" outlineLevel="1" x14ac:dyDescent="0.25">
      <c r="A135" s="120">
        <f t="shared" si="83"/>
        <v>0</v>
      </c>
      <c r="B135" s="231"/>
      <c r="C135" s="77"/>
      <c r="D135" s="238"/>
      <c r="E135" s="76">
        <f ca="1">SUMIF(payNonMonth,"="&amp;$W135,$E$371:OFFSET($E$371,ROWS(payNonMonth)-1,0))</f>
        <v>0</v>
      </c>
      <c r="F135" s="76"/>
      <c r="G135" s="77">
        <f t="shared" ca="1" si="84"/>
        <v>0</v>
      </c>
      <c r="H135" s="76">
        <f t="shared" ca="1" si="92"/>
        <v>0</v>
      </c>
      <c r="I135" s="76">
        <f t="shared" ca="1" si="93"/>
        <v>0</v>
      </c>
      <c r="J135" s="233">
        <f t="shared" ca="1" si="94"/>
        <v>0</v>
      </c>
      <c r="K135" s="76">
        <f t="shared" ca="1" si="100"/>
        <v>0</v>
      </c>
      <c r="L135" s="76">
        <f t="shared" ca="1" si="95"/>
        <v>0</v>
      </c>
      <c r="M135" s="76">
        <f t="shared" ca="1" si="82"/>
        <v>0</v>
      </c>
      <c r="N135" s="76">
        <f t="shared" ca="1" si="96"/>
        <v>0</v>
      </c>
      <c r="O135" s="76"/>
      <c r="P135" s="76">
        <f t="shared" ca="1" si="97"/>
        <v>0</v>
      </c>
      <c r="Q135" s="76">
        <f t="shared" ca="1" si="85"/>
        <v>0</v>
      </c>
      <c r="R135" s="76">
        <f t="shared" ca="1" si="86"/>
        <v>0</v>
      </c>
      <c r="S135" s="232">
        <f t="shared" ca="1" si="98"/>
        <v>0</v>
      </c>
      <c r="U135" s="120" t="str">
        <f t="shared" si="99"/>
        <v>*:0</v>
      </c>
      <c r="V135" s="120" t="str">
        <f t="shared" si="87"/>
        <v>:</v>
      </c>
      <c r="W135" s="120" t="str">
        <f t="shared" si="91"/>
        <v>:0</v>
      </c>
      <c r="X135" s="250">
        <f t="array" aca="1" ref="X135:AI135" ca="1">VLOOKUP($D135&amp;":"&amp;$C135,tblPayRates,{3,4,5,6,7,8,9,10,11,12,13,14},0)</f>
        <v>0</v>
      </c>
      <c r="Y135" s="16" t="str">
        <f ca="1"/>
        <v>Nobody</v>
      </c>
      <c r="Z135" s="261" t="str">
        <f ca="1"/>
        <v>M</v>
      </c>
      <c r="AA135" s="77" t="str">
        <f ca="1"/>
        <v>Daily</v>
      </c>
      <c r="AB135" s="77">
        <f ca="1"/>
        <v>0</v>
      </c>
      <c r="AC135" s="77">
        <f ca="1"/>
        <v>0</v>
      </c>
      <c r="AD135" s="77">
        <f ca="1"/>
        <v>0</v>
      </c>
      <c r="AE135" s="77">
        <f ca="1"/>
        <v>0</v>
      </c>
      <c r="AF135" s="261" t="str">
        <f ca="1"/>
        <v>N</v>
      </c>
      <c r="AG135" s="261">
        <f ca="1"/>
        <v>1</v>
      </c>
      <c r="AH135" s="261">
        <f ca="1"/>
        <v>1</v>
      </c>
      <c r="AI135" s="262">
        <f ca="1"/>
        <v>0</v>
      </c>
    </row>
    <row r="136" spans="1:35" hidden="1" outlineLevel="1" x14ac:dyDescent="0.25">
      <c r="A136" s="120">
        <f t="shared" si="83"/>
        <v>0</v>
      </c>
      <c r="B136" s="231"/>
      <c r="C136" s="77"/>
      <c r="D136" s="238"/>
      <c r="E136" s="76">
        <f ca="1">SUMIF(payNonMonth,"="&amp;$W136,$E$371:OFFSET($E$371,ROWS(payNonMonth)-1,0))</f>
        <v>0</v>
      </c>
      <c r="F136" s="76"/>
      <c r="G136" s="77">
        <f t="shared" ca="1" si="84"/>
        <v>0</v>
      </c>
      <c r="H136" s="76">
        <f t="shared" ca="1" si="92"/>
        <v>0</v>
      </c>
      <c r="I136" s="76">
        <f t="shared" ca="1" si="93"/>
        <v>0</v>
      </c>
      <c r="J136" s="233">
        <f t="shared" ca="1" si="94"/>
        <v>0</v>
      </c>
      <c r="K136" s="76">
        <f t="shared" ca="1" si="100"/>
        <v>0</v>
      </c>
      <c r="L136" s="76">
        <f t="shared" ca="1" si="95"/>
        <v>0</v>
      </c>
      <c r="M136" s="76">
        <f t="shared" ca="1" si="82"/>
        <v>0</v>
      </c>
      <c r="N136" s="76">
        <f t="shared" ca="1" si="96"/>
        <v>0</v>
      </c>
      <c r="O136" s="76"/>
      <c r="P136" s="76">
        <f t="shared" ca="1" si="97"/>
        <v>0</v>
      </c>
      <c r="Q136" s="76">
        <f t="shared" ca="1" si="85"/>
        <v>0</v>
      </c>
      <c r="R136" s="76">
        <f t="shared" ca="1" si="86"/>
        <v>0</v>
      </c>
      <c r="S136" s="232">
        <f t="shared" ca="1" si="98"/>
        <v>0</v>
      </c>
      <c r="U136" s="120" t="str">
        <f t="shared" si="99"/>
        <v>*:0</v>
      </c>
      <c r="V136" s="120" t="str">
        <f t="shared" si="87"/>
        <v>:</v>
      </c>
      <c r="W136" s="120" t="str">
        <f t="shared" si="91"/>
        <v>:0</v>
      </c>
      <c r="X136" s="250">
        <f t="array" aca="1" ref="X136:AI136" ca="1">VLOOKUP($D136&amp;":"&amp;$C136,tblPayRates,{3,4,5,6,7,8,9,10,11,12,13,14},0)</f>
        <v>0</v>
      </c>
      <c r="Y136" s="16" t="str">
        <f ca="1"/>
        <v>Nobody</v>
      </c>
      <c r="Z136" s="261" t="str">
        <f ca="1"/>
        <v>M</v>
      </c>
      <c r="AA136" s="77" t="str">
        <f ca="1"/>
        <v>Daily</v>
      </c>
      <c r="AB136" s="77">
        <f ca="1"/>
        <v>0</v>
      </c>
      <c r="AC136" s="77">
        <f ca="1"/>
        <v>0</v>
      </c>
      <c r="AD136" s="77">
        <f ca="1"/>
        <v>0</v>
      </c>
      <c r="AE136" s="77">
        <f ca="1"/>
        <v>0</v>
      </c>
      <c r="AF136" s="261" t="str">
        <f ca="1"/>
        <v>N</v>
      </c>
      <c r="AG136" s="261">
        <f ca="1"/>
        <v>1</v>
      </c>
      <c r="AH136" s="261">
        <f ca="1"/>
        <v>1</v>
      </c>
      <c r="AI136" s="262">
        <f ca="1"/>
        <v>0</v>
      </c>
    </row>
    <row r="137" spans="1:35" hidden="1" outlineLevel="1" x14ac:dyDescent="0.25">
      <c r="A137" s="120">
        <f t="shared" si="83"/>
        <v>0</v>
      </c>
      <c r="B137" s="231"/>
      <c r="C137" s="77"/>
      <c r="D137" s="238"/>
      <c r="E137" s="76">
        <f ca="1">SUMIF(payNonMonth,"="&amp;$W137,$E$371:OFFSET($E$371,ROWS(payNonMonth)-1,0))</f>
        <v>0</v>
      </c>
      <c r="F137" s="76"/>
      <c r="G137" s="77">
        <f t="shared" ca="1" si="84"/>
        <v>0</v>
      </c>
      <c r="H137" s="76">
        <f t="shared" ca="1" si="92"/>
        <v>0</v>
      </c>
      <c r="I137" s="76">
        <f t="shared" ca="1" si="93"/>
        <v>0</v>
      </c>
      <c r="J137" s="233">
        <f t="shared" ca="1" si="94"/>
        <v>0</v>
      </c>
      <c r="K137" s="76">
        <f t="shared" ca="1" si="100"/>
        <v>0</v>
      </c>
      <c r="L137" s="76">
        <f t="shared" ca="1" si="95"/>
        <v>0</v>
      </c>
      <c r="M137" s="76">
        <f t="shared" ca="1" si="82"/>
        <v>0</v>
      </c>
      <c r="N137" s="76">
        <f t="shared" ca="1" si="96"/>
        <v>0</v>
      </c>
      <c r="O137" s="76"/>
      <c r="P137" s="76">
        <f t="shared" ca="1" si="97"/>
        <v>0</v>
      </c>
      <c r="Q137" s="76">
        <f t="shared" ca="1" si="85"/>
        <v>0</v>
      </c>
      <c r="R137" s="76">
        <f t="shared" ca="1" si="86"/>
        <v>0</v>
      </c>
      <c r="S137" s="232">
        <f t="shared" ca="1" si="98"/>
        <v>0</v>
      </c>
      <c r="U137" s="120" t="str">
        <f t="shared" si="99"/>
        <v>*:0</v>
      </c>
      <c r="V137" s="120" t="str">
        <f t="shared" si="87"/>
        <v>:</v>
      </c>
      <c r="W137" s="120" t="str">
        <f t="shared" si="91"/>
        <v>:0</v>
      </c>
      <c r="X137" s="250">
        <f t="array" aca="1" ref="X137:AI137" ca="1">VLOOKUP($D137&amp;":"&amp;$C137,tblPayRates,{3,4,5,6,7,8,9,10,11,12,13,14},0)</f>
        <v>0</v>
      </c>
      <c r="Y137" s="16" t="str">
        <f ca="1"/>
        <v>Nobody</v>
      </c>
      <c r="Z137" s="261" t="str">
        <f ca="1"/>
        <v>M</v>
      </c>
      <c r="AA137" s="77" t="str">
        <f ca="1"/>
        <v>Daily</v>
      </c>
      <c r="AB137" s="77">
        <f ca="1"/>
        <v>0</v>
      </c>
      <c r="AC137" s="77">
        <f ca="1"/>
        <v>0</v>
      </c>
      <c r="AD137" s="77">
        <f ca="1"/>
        <v>0</v>
      </c>
      <c r="AE137" s="77">
        <f ca="1"/>
        <v>0</v>
      </c>
      <c r="AF137" s="261" t="str">
        <f ca="1"/>
        <v>N</v>
      </c>
      <c r="AG137" s="261">
        <f ca="1"/>
        <v>1</v>
      </c>
      <c r="AH137" s="261">
        <f ca="1"/>
        <v>1</v>
      </c>
      <c r="AI137" s="262">
        <f ca="1"/>
        <v>0</v>
      </c>
    </row>
    <row r="138" spans="1:35" hidden="1" outlineLevel="1" x14ac:dyDescent="0.25">
      <c r="A138" s="120">
        <f t="shared" si="83"/>
        <v>0</v>
      </c>
      <c r="B138" s="231"/>
      <c r="C138" s="77"/>
      <c r="D138" s="238"/>
      <c r="E138" s="76">
        <f ca="1">SUMIF(payNonMonth,"="&amp;$W138,$E$371:OFFSET($E$371,ROWS(payNonMonth)-1,0))</f>
        <v>0</v>
      </c>
      <c r="F138" s="76"/>
      <c r="G138" s="77">
        <f t="shared" ca="1" si="84"/>
        <v>0</v>
      </c>
      <c r="H138" s="76">
        <f t="shared" ca="1" si="92"/>
        <v>0</v>
      </c>
      <c r="I138" s="76">
        <f t="shared" ca="1" si="93"/>
        <v>0</v>
      </c>
      <c r="J138" s="233">
        <f t="shared" ca="1" si="94"/>
        <v>0</v>
      </c>
      <c r="K138" s="76">
        <f t="shared" ca="1" si="100"/>
        <v>0</v>
      </c>
      <c r="L138" s="76">
        <f t="shared" ca="1" si="95"/>
        <v>0</v>
      </c>
      <c r="M138" s="76">
        <f t="shared" ca="1" si="82"/>
        <v>0</v>
      </c>
      <c r="N138" s="76">
        <f t="shared" ca="1" si="96"/>
        <v>0</v>
      </c>
      <c r="O138" s="76"/>
      <c r="P138" s="76">
        <f t="shared" ca="1" si="97"/>
        <v>0</v>
      </c>
      <c r="Q138" s="76">
        <f t="shared" ca="1" si="85"/>
        <v>0</v>
      </c>
      <c r="R138" s="76">
        <f t="shared" ca="1" si="86"/>
        <v>0</v>
      </c>
      <c r="S138" s="232">
        <f t="shared" ca="1" si="98"/>
        <v>0</v>
      </c>
      <c r="U138" s="120" t="str">
        <f t="shared" si="99"/>
        <v>*:0</v>
      </c>
      <c r="V138" s="120" t="str">
        <f t="shared" si="87"/>
        <v>:</v>
      </c>
      <c r="W138" s="120" t="str">
        <f t="shared" si="91"/>
        <v>:0</v>
      </c>
      <c r="X138" s="250">
        <f t="array" aca="1" ref="X138:AI138" ca="1">VLOOKUP($D138&amp;":"&amp;$C138,tblPayRates,{3,4,5,6,7,8,9,10,11,12,13,14},0)</f>
        <v>0</v>
      </c>
      <c r="Y138" s="16" t="str">
        <f ca="1"/>
        <v>Nobody</v>
      </c>
      <c r="Z138" s="261" t="str">
        <f ca="1"/>
        <v>M</v>
      </c>
      <c r="AA138" s="77" t="str">
        <f ca="1"/>
        <v>Daily</v>
      </c>
      <c r="AB138" s="77">
        <f ca="1"/>
        <v>0</v>
      </c>
      <c r="AC138" s="77">
        <f ca="1"/>
        <v>0</v>
      </c>
      <c r="AD138" s="77">
        <f ca="1"/>
        <v>0</v>
      </c>
      <c r="AE138" s="77">
        <f ca="1"/>
        <v>0</v>
      </c>
      <c r="AF138" s="261" t="str">
        <f ca="1"/>
        <v>N</v>
      </c>
      <c r="AG138" s="261">
        <f ca="1"/>
        <v>1</v>
      </c>
      <c r="AH138" s="261">
        <f ca="1"/>
        <v>1</v>
      </c>
      <c r="AI138" s="262">
        <f ca="1"/>
        <v>0</v>
      </c>
    </row>
    <row r="139" spans="1:35" hidden="1" outlineLevel="1" x14ac:dyDescent="0.25">
      <c r="A139" s="120">
        <f t="shared" si="83"/>
        <v>0</v>
      </c>
      <c r="B139" s="231"/>
      <c r="C139" s="77"/>
      <c r="D139" s="238"/>
      <c r="E139" s="76">
        <f ca="1">SUMIF(payNonMonth,"="&amp;$W139,$E$371:OFFSET($E$371,ROWS(payNonMonth)-1,0))</f>
        <v>0</v>
      </c>
      <c r="F139" s="76"/>
      <c r="G139" s="77">
        <f t="shared" ca="1" si="84"/>
        <v>0</v>
      </c>
      <c r="H139" s="76">
        <f t="shared" ca="1" si="92"/>
        <v>0</v>
      </c>
      <c r="I139" s="76">
        <f t="shared" ca="1" si="93"/>
        <v>0</v>
      </c>
      <c r="J139" s="233">
        <f t="shared" ca="1" si="94"/>
        <v>0</v>
      </c>
      <c r="K139" s="76">
        <f t="shared" ca="1" si="100"/>
        <v>0</v>
      </c>
      <c r="L139" s="76">
        <f t="shared" ca="1" si="95"/>
        <v>0</v>
      </c>
      <c r="M139" s="76">
        <f t="shared" ca="1" si="82"/>
        <v>0</v>
      </c>
      <c r="N139" s="76">
        <f t="shared" ca="1" si="96"/>
        <v>0</v>
      </c>
      <c r="O139" s="76"/>
      <c r="P139" s="76">
        <f t="shared" ca="1" si="97"/>
        <v>0</v>
      </c>
      <c r="Q139" s="76">
        <f t="shared" ca="1" si="85"/>
        <v>0</v>
      </c>
      <c r="R139" s="76">
        <f t="shared" ca="1" si="86"/>
        <v>0</v>
      </c>
      <c r="S139" s="232">
        <f t="shared" ca="1" si="98"/>
        <v>0</v>
      </c>
      <c r="U139" s="120" t="str">
        <f t="shared" si="99"/>
        <v>*:0</v>
      </c>
      <c r="V139" s="120" t="str">
        <f t="shared" si="87"/>
        <v>:</v>
      </c>
      <c r="W139" s="120" t="str">
        <f t="shared" si="91"/>
        <v>:0</v>
      </c>
      <c r="X139" s="250">
        <f t="array" aca="1" ref="X139:AI139" ca="1">VLOOKUP($D139&amp;":"&amp;$C139,tblPayRates,{3,4,5,6,7,8,9,10,11,12,13,14},0)</f>
        <v>0</v>
      </c>
      <c r="Y139" s="16" t="str">
        <f ca="1"/>
        <v>Nobody</v>
      </c>
      <c r="Z139" s="261" t="str">
        <f ca="1"/>
        <v>M</v>
      </c>
      <c r="AA139" s="77" t="str">
        <f ca="1"/>
        <v>Daily</v>
      </c>
      <c r="AB139" s="77">
        <f ca="1"/>
        <v>0</v>
      </c>
      <c r="AC139" s="77">
        <f ca="1"/>
        <v>0</v>
      </c>
      <c r="AD139" s="77">
        <f ca="1"/>
        <v>0</v>
      </c>
      <c r="AE139" s="77">
        <f ca="1"/>
        <v>0</v>
      </c>
      <c r="AF139" s="261" t="str">
        <f ca="1"/>
        <v>N</v>
      </c>
      <c r="AG139" s="261">
        <f ca="1"/>
        <v>1</v>
      </c>
      <c r="AH139" s="261">
        <f ca="1"/>
        <v>1</v>
      </c>
      <c r="AI139" s="262">
        <f ca="1"/>
        <v>0</v>
      </c>
    </row>
    <row r="140" spans="1:35" hidden="1" outlineLevel="1" x14ac:dyDescent="0.25">
      <c r="A140" s="120">
        <f t="shared" si="83"/>
        <v>0</v>
      </c>
      <c r="B140" s="231"/>
      <c r="C140" s="77"/>
      <c r="D140" s="238"/>
      <c r="E140" s="76">
        <f ca="1">SUMIF(payNonMonth,"="&amp;$W140,$E$371:OFFSET($E$371,ROWS(payNonMonth)-1,0))</f>
        <v>0</v>
      </c>
      <c r="F140" s="76"/>
      <c r="G140" s="77">
        <f t="shared" ca="1" si="84"/>
        <v>0</v>
      </c>
      <c r="H140" s="76">
        <f t="shared" ca="1" si="92"/>
        <v>0</v>
      </c>
      <c r="I140" s="76">
        <f t="shared" ca="1" si="93"/>
        <v>0</v>
      </c>
      <c r="J140" s="233">
        <f t="shared" ca="1" si="94"/>
        <v>0</v>
      </c>
      <c r="K140" s="76">
        <f t="shared" ca="1" si="100"/>
        <v>0</v>
      </c>
      <c r="L140" s="76">
        <f t="shared" ca="1" si="95"/>
        <v>0</v>
      </c>
      <c r="M140" s="76">
        <f t="shared" ca="1" si="82"/>
        <v>0</v>
      </c>
      <c r="N140" s="76">
        <f t="shared" ca="1" si="96"/>
        <v>0</v>
      </c>
      <c r="O140" s="76"/>
      <c r="P140" s="76">
        <f t="shared" ca="1" si="97"/>
        <v>0</v>
      </c>
      <c r="Q140" s="76">
        <f t="shared" ca="1" si="85"/>
        <v>0</v>
      </c>
      <c r="R140" s="76">
        <f t="shared" ca="1" si="86"/>
        <v>0</v>
      </c>
      <c r="S140" s="232">
        <f t="shared" ca="1" si="98"/>
        <v>0</v>
      </c>
      <c r="U140" s="120" t="str">
        <f t="shared" si="99"/>
        <v>*:0</v>
      </c>
      <c r="V140" s="120" t="str">
        <f t="shared" si="87"/>
        <v>:</v>
      </c>
      <c r="W140" s="120" t="str">
        <f t="shared" si="91"/>
        <v>:0</v>
      </c>
      <c r="X140" s="250">
        <f t="array" aca="1" ref="X140:AI140" ca="1">VLOOKUP($D140&amp;":"&amp;$C140,tblPayRates,{3,4,5,6,7,8,9,10,11,12,13,14},0)</f>
        <v>0</v>
      </c>
      <c r="Y140" s="16" t="str">
        <f ca="1"/>
        <v>Nobody</v>
      </c>
      <c r="Z140" s="261" t="str">
        <f ca="1"/>
        <v>M</v>
      </c>
      <c r="AA140" s="77" t="str">
        <f ca="1"/>
        <v>Daily</v>
      </c>
      <c r="AB140" s="77">
        <f ca="1"/>
        <v>0</v>
      </c>
      <c r="AC140" s="77">
        <f ca="1"/>
        <v>0</v>
      </c>
      <c r="AD140" s="77">
        <f ca="1"/>
        <v>0</v>
      </c>
      <c r="AE140" s="77">
        <f ca="1"/>
        <v>0</v>
      </c>
      <c r="AF140" s="261" t="str">
        <f ca="1"/>
        <v>N</v>
      </c>
      <c r="AG140" s="261">
        <f ca="1"/>
        <v>1</v>
      </c>
      <c r="AH140" s="261">
        <f ca="1"/>
        <v>1</v>
      </c>
      <c r="AI140" s="262">
        <f ca="1"/>
        <v>0</v>
      </c>
    </row>
    <row r="141" spans="1:35" hidden="1" outlineLevel="1" x14ac:dyDescent="0.25">
      <c r="A141" s="120">
        <f t="shared" si="83"/>
        <v>0</v>
      </c>
      <c r="B141" s="231"/>
      <c r="C141" s="77"/>
      <c r="D141" s="238"/>
      <c r="E141" s="76">
        <f ca="1">SUMIF(payNonMonth,"="&amp;$W141,$E$371:OFFSET($E$371,ROWS(payNonMonth)-1,0))</f>
        <v>0</v>
      </c>
      <c r="F141" s="76"/>
      <c r="G141" s="77">
        <f t="shared" ca="1" si="84"/>
        <v>0</v>
      </c>
      <c r="H141" s="76">
        <f t="shared" ca="1" si="92"/>
        <v>0</v>
      </c>
      <c r="I141" s="76">
        <f t="shared" ca="1" si="93"/>
        <v>0</v>
      </c>
      <c r="J141" s="233">
        <f t="shared" ca="1" si="94"/>
        <v>0</v>
      </c>
      <c r="K141" s="76">
        <f t="shared" ca="1" si="100"/>
        <v>0</v>
      </c>
      <c r="L141" s="76">
        <f t="shared" ca="1" si="95"/>
        <v>0</v>
      </c>
      <c r="M141" s="76">
        <f t="shared" ca="1" si="82"/>
        <v>0</v>
      </c>
      <c r="N141" s="76">
        <f t="shared" ca="1" si="96"/>
        <v>0</v>
      </c>
      <c r="O141" s="76"/>
      <c r="P141" s="76">
        <f t="shared" ca="1" si="97"/>
        <v>0</v>
      </c>
      <c r="Q141" s="76">
        <f t="shared" ca="1" si="85"/>
        <v>0</v>
      </c>
      <c r="R141" s="76">
        <f t="shared" ca="1" si="86"/>
        <v>0</v>
      </c>
      <c r="S141" s="232">
        <f t="shared" ca="1" si="98"/>
        <v>0</v>
      </c>
      <c r="U141" s="120" t="str">
        <f t="shared" si="99"/>
        <v>*:0</v>
      </c>
      <c r="V141" s="120" t="str">
        <f t="shared" si="87"/>
        <v>:</v>
      </c>
      <c r="W141" s="120" t="str">
        <f t="shared" si="91"/>
        <v>:0</v>
      </c>
      <c r="X141" s="250">
        <f t="array" aca="1" ref="X141:AI141" ca="1">VLOOKUP($D141&amp;":"&amp;$C141,tblPayRates,{3,4,5,6,7,8,9,10,11,12,13,14},0)</f>
        <v>0</v>
      </c>
      <c r="Y141" s="16" t="str">
        <f ca="1"/>
        <v>Nobody</v>
      </c>
      <c r="Z141" s="261" t="str">
        <f ca="1"/>
        <v>M</v>
      </c>
      <c r="AA141" s="77" t="str">
        <f ca="1"/>
        <v>Daily</v>
      </c>
      <c r="AB141" s="77">
        <f ca="1"/>
        <v>0</v>
      </c>
      <c r="AC141" s="77">
        <f ca="1"/>
        <v>0</v>
      </c>
      <c r="AD141" s="77">
        <f ca="1"/>
        <v>0</v>
      </c>
      <c r="AE141" s="77">
        <f ca="1"/>
        <v>0</v>
      </c>
      <c r="AF141" s="261" t="str">
        <f ca="1"/>
        <v>N</v>
      </c>
      <c r="AG141" s="261">
        <f ca="1"/>
        <v>1</v>
      </c>
      <c r="AH141" s="261">
        <f ca="1"/>
        <v>1</v>
      </c>
      <c r="AI141" s="262">
        <f ca="1"/>
        <v>0</v>
      </c>
    </row>
    <row r="142" spans="1:35" hidden="1" outlineLevel="1" x14ac:dyDescent="0.25">
      <c r="A142" s="120">
        <f t="shared" si="83"/>
        <v>0</v>
      </c>
      <c r="B142" s="231"/>
      <c r="C142" s="77"/>
      <c r="D142" s="238"/>
      <c r="E142" s="76">
        <f ca="1">SUMIF(payNonMonth,"="&amp;$W142,$E$371:OFFSET($E$371,ROWS(payNonMonth)-1,0))</f>
        <v>0</v>
      </c>
      <c r="F142" s="76"/>
      <c r="G142" s="77">
        <f t="shared" ca="1" si="84"/>
        <v>0</v>
      </c>
      <c r="H142" s="76">
        <f t="shared" ca="1" si="92"/>
        <v>0</v>
      </c>
      <c r="I142" s="76">
        <f t="shared" ca="1" si="93"/>
        <v>0</v>
      </c>
      <c r="J142" s="233">
        <f t="shared" ca="1" si="94"/>
        <v>0</v>
      </c>
      <c r="K142" s="76">
        <f t="shared" ca="1" si="100"/>
        <v>0</v>
      </c>
      <c r="L142" s="76">
        <f t="shared" ca="1" si="95"/>
        <v>0</v>
      </c>
      <c r="M142" s="76">
        <f t="shared" ca="1" si="82"/>
        <v>0</v>
      </c>
      <c r="N142" s="76">
        <f t="shared" ca="1" si="96"/>
        <v>0</v>
      </c>
      <c r="O142" s="76"/>
      <c r="P142" s="76">
        <f t="shared" ca="1" si="97"/>
        <v>0</v>
      </c>
      <c r="Q142" s="76">
        <f t="shared" ca="1" si="85"/>
        <v>0</v>
      </c>
      <c r="R142" s="76">
        <f t="shared" ca="1" si="86"/>
        <v>0</v>
      </c>
      <c r="S142" s="232">
        <f t="shared" ca="1" si="98"/>
        <v>0</v>
      </c>
      <c r="U142" s="120" t="str">
        <f t="shared" si="99"/>
        <v>*:0</v>
      </c>
      <c r="V142" s="120" t="str">
        <f t="shared" si="87"/>
        <v>:</v>
      </c>
      <c r="W142" s="120" t="str">
        <f t="shared" si="91"/>
        <v>:0</v>
      </c>
      <c r="X142" s="250">
        <f t="array" aca="1" ref="X142:AI142" ca="1">VLOOKUP($D142&amp;":"&amp;$C142,tblPayRates,{3,4,5,6,7,8,9,10,11,12,13,14},0)</f>
        <v>0</v>
      </c>
      <c r="Y142" s="16" t="str">
        <f ca="1"/>
        <v>Nobody</v>
      </c>
      <c r="Z142" s="261" t="str">
        <f ca="1"/>
        <v>M</v>
      </c>
      <c r="AA142" s="77" t="str">
        <f ca="1"/>
        <v>Daily</v>
      </c>
      <c r="AB142" s="77">
        <f ca="1"/>
        <v>0</v>
      </c>
      <c r="AC142" s="77">
        <f ca="1"/>
        <v>0</v>
      </c>
      <c r="AD142" s="77">
        <f ca="1"/>
        <v>0</v>
      </c>
      <c r="AE142" s="77">
        <f ca="1"/>
        <v>0</v>
      </c>
      <c r="AF142" s="261" t="str">
        <f ca="1"/>
        <v>N</v>
      </c>
      <c r="AG142" s="261">
        <f ca="1"/>
        <v>1</v>
      </c>
      <c r="AH142" s="261">
        <f ca="1"/>
        <v>1</v>
      </c>
      <c r="AI142" s="262">
        <f ca="1"/>
        <v>0</v>
      </c>
    </row>
    <row r="143" spans="1:35" hidden="1" outlineLevel="1" x14ac:dyDescent="0.25">
      <c r="A143" s="120">
        <f t="shared" si="83"/>
        <v>0</v>
      </c>
      <c r="B143" s="231"/>
      <c r="C143" s="77"/>
      <c r="D143" s="238"/>
      <c r="E143" s="76">
        <f ca="1">SUMIF(payNonMonth,"="&amp;$W143,$E$371:OFFSET($E$371,ROWS(payNonMonth)-1,0))</f>
        <v>0</v>
      </c>
      <c r="F143" s="76"/>
      <c r="G143" s="77">
        <f t="shared" ca="1" si="84"/>
        <v>0</v>
      </c>
      <c r="H143" s="76">
        <f t="shared" ca="1" si="92"/>
        <v>0</v>
      </c>
      <c r="I143" s="76">
        <f t="shared" ca="1" si="93"/>
        <v>0</v>
      </c>
      <c r="J143" s="233">
        <f t="shared" ca="1" si="94"/>
        <v>0</v>
      </c>
      <c r="K143" s="76">
        <f t="shared" ca="1" si="100"/>
        <v>0</v>
      </c>
      <c r="L143" s="76">
        <f t="shared" ca="1" si="95"/>
        <v>0</v>
      </c>
      <c r="M143" s="76">
        <f t="shared" ca="1" si="82"/>
        <v>0</v>
      </c>
      <c r="N143" s="76">
        <f t="shared" ca="1" si="96"/>
        <v>0</v>
      </c>
      <c r="O143" s="76"/>
      <c r="P143" s="76">
        <f t="shared" ca="1" si="97"/>
        <v>0</v>
      </c>
      <c r="Q143" s="76">
        <f t="shared" ca="1" si="85"/>
        <v>0</v>
      </c>
      <c r="R143" s="76">
        <f t="shared" ca="1" si="86"/>
        <v>0</v>
      </c>
      <c r="S143" s="232">
        <f t="shared" ca="1" si="98"/>
        <v>0</v>
      </c>
      <c r="U143" s="120" t="str">
        <f t="shared" si="99"/>
        <v>*:0</v>
      </c>
      <c r="V143" s="120" t="str">
        <f t="shared" si="87"/>
        <v>:</v>
      </c>
      <c r="W143" s="120" t="str">
        <f t="shared" si="91"/>
        <v>:0</v>
      </c>
      <c r="X143" s="250">
        <f t="array" aca="1" ref="X143:AI143" ca="1">VLOOKUP($D143&amp;":"&amp;$C143,tblPayRates,{3,4,5,6,7,8,9,10,11,12,13,14},0)</f>
        <v>0</v>
      </c>
      <c r="Y143" s="16" t="str">
        <f ca="1"/>
        <v>Nobody</v>
      </c>
      <c r="Z143" s="261" t="str">
        <f ca="1"/>
        <v>M</v>
      </c>
      <c r="AA143" s="77" t="str">
        <f ca="1"/>
        <v>Daily</v>
      </c>
      <c r="AB143" s="77">
        <f ca="1"/>
        <v>0</v>
      </c>
      <c r="AC143" s="77">
        <f ca="1"/>
        <v>0</v>
      </c>
      <c r="AD143" s="77">
        <f ca="1"/>
        <v>0</v>
      </c>
      <c r="AE143" s="77">
        <f ca="1"/>
        <v>0</v>
      </c>
      <c r="AF143" s="261" t="str">
        <f ca="1"/>
        <v>N</v>
      </c>
      <c r="AG143" s="261">
        <f ca="1"/>
        <v>1</v>
      </c>
      <c r="AH143" s="261">
        <f ca="1"/>
        <v>1</v>
      </c>
      <c r="AI143" s="262">
        <f ca="1"/>
        <v>0</v>
      </c>
    </row>
    <row r="144" spans="1:35" hidden="1" outlineLevel="1" x14ac:dyDescent="0.25">
      <c r="A144" s="120">
        <f t="shared" si="83"/>
        <v>0</v>
      </c>
      <c r="B144" s="231"/>
      <c r="C144" s="77"/>
      <c r="D144" s="238"/>
      <c r="E144" s="76">
        <f ca="1">SUMIF(payNonMonth,"="&amp;$W144,$E$371:OFFSET($E$371,ROWS(payNonMonth)-1,0))</f>
        <v>0</v>
      </c>
      <c r="F144" s="76"/>
      <c r="G144" s="77">
        <f t="shared" ca="1" si="84"/>
        <v>0</v>
      </c>
      <c r="H144" s="76">
        <f t="shared" ca="1" si="92"/>
        <v>0</v>
      </c>
      <c r="I144" s="76">
        <f t="shared" ca="1" si="93"/>
        <v>0</v>
      </c>
      <c r="J144" s="233">
        <f t="shared" ca="1" si="94"/>
        <v>0</v>
      </c>
      <c r="K144" s="76">
        <f t="shared" ca="1" si="100"/>
        <v>0</v>
      </c>
      <c r="L144" s="76">
        <f t="shared" ca="1" si="95"/>
        <v>0</v>
      </c>
      <c r="M144" s="76">
        <f t="shared" ca="1" si="82"/>
        <v>0</v>
      </c>
      <c r="N144" s="76">
        <f t="shared" ca="1" si="96"/>
        <v>0</v>
      </c>
      <c r="O144" s="76"/>
      <c r="P144" s="76">
        <f t="shared" ca="1" si="97"/>
        <v>0</v>
      </c>
      <c r="Q144" s="76">
        <f t="shared" ca="1" si="85"/>
        <v>0</v>
      </c>
      <c r="R144" s="76">
        <f t="shared" ca="1" si="86"/>
        <v>0</v>
      </c>
      <c r="S144" s="232">
        <f t="shared" ca="1" si="98"/>
        <v>0</v>
      </c>
      <c r="U144" s="120" t="str">
        <f t="shared" si="99"/>
        <v>*:0</v>
      </c>
      <c r="V144" s="120" t="str">
        <f t="shared" si="87"/>
        <v>:</v>
      </c>
      <c r="W144" s="120" t="str">
        <f t="shared" si="91"/>
        <v>:0</v>
      </c>
      <c r="X144" s="250">
        <f t="array" aca="1" ref="X144:AI144" ca="1">VLOOKUP($D144&amp;":"&amp;$C144,tblPayRates,{3,4,5,6,7,8,9,10,11,12,13,14},0)</f>
        <v>0</v>
      </c>
      <c r="Y144" s="16" t="str">
        <f ca="1"/>
        <v>Nobody</v>
      </c>
      <c r="Z144" s="261" t="str">
        <f ca="1"/>
        <v>M</v>
      </c>
      <c r="AA144" s="77" t="str">
        <f ca="1"/>
        <v>Daily</v>
      </c>
      <c r="AB144" s="77">
        <f ca="1"/>
        <v>0</v>
      </c>
      <c r="AC144" s="77">
        <f ca="1"/>
        <v>0</v>
      </c>
      <c r="AD144" s="77">
        <f ca="1"/>
        <v>0</v>
      </c>
      <c r="AE144" s="77">
        <f ca="1"/>
        <v>0</v>
      </c>
      <c r="AF144" s="261" t="str">
        <f ca="1"/>
        <v>N</v>
      </c>
      <c r="AG144" s="261">
        <f ca="1"/>
        <v>1</v>
      </c>
      <c r="AH144" s="261">
        <f ca="1"/>
        <v>1</v>
      </c>
      <c r="AI144" s="262">
        <f ca="1"/>
        <v>0</v>
      </c>
    </row>
    <row r="145" spans="1:35" hidden="1" outlineLevel="1" x14ac:dyDescent="0.25">
      <c r="A145" s="120">
        <f t="shared" si="83"/>
        <v>0</v>
      </c>
      <c r="B145" s="231"/>
      <c r="C145" s="77"/>
      <c r="D145" s="238"/>
      <c r="E145" s="76">
        <f ca="1">SUMIF(payNonMonth,"="&amp;$W145,$E$371:OFFSET($E$371,ROWS(payNonMonth)-1,0))</f>
        <v>0</v>
      </c>
      <c r="F145" s="76"/>
      <c r="G145" s="77">
        <f t="shared" ca="1" si="84"/>
        <v>0</v>
      </c>
      <c r="H145" s="76">
        <f t="shared" ca="1" si="92"/>
        <v>0</v>
      </c>
      <c r="I145" s="76">
        <f t="shared" ca="1" si="93"/>
        <v>0</v>
      </c>
      <c r="J145" s="233">
        <f t="shared" ca="1" si="94"/>
        <v>0</v>
      </c>
      <c r="K145" s="76">
        <f t="shared" ca="1" si="100"/>
        <v>0</v>
      </c>
      <c r="L145" s="76">
        <f t="shared" ca="1" si="95"/>
        <v>0</v>
      </c>
      <c r="M145" s="76">
        <f t="shared" ca="1" si="82"/>
        <v>0</v>
      </c>
      <c r="N145" s="76">
        <f t="shared" ca="1" si="96"/>
        <v>0</v>
      </c>
      <c r="O145" s="76"/>
      <c r="P145" s="76">
        <f t="shared" ca="1" si="97"/>
        <v>0</v>
      </c>
      <c r="Q145" s="76">
        <f t="shared" ca="1" si="85"/>
        <v>0</v>
      </c>
      <c r="R145" s="76">
        <f t="shared" ca="1" si="86"/>
        <v>0</v>
      </c>
      <c r="S145" s="232">
        <f t="shared" ca="1" si="98"/>
        <v>0</v>
      </c>
      <c r="U145" s="120" t="str">
        <f t="shared" si="99"/>
        <v>*:0</v>
      </c>
      <c r="V145" s="120" t="str">
        <f t="shared" si="87"/>
        <v>:</v>
      </c>
      <c r="W145" s="120" t="str">
        <f t="shared" si="91"/>
        <v>:0</v>
      </c>
      <c r="X145" s="250">
        <f t="array" aca="1" ref="X145:AI145" ca="1">VLOOKUP($D145&amp;":"&amp;$C145,tblPayRates,{3,4,5,6,7,8,9,10,11,12,13,14},0)</f>
        <v>0</v>
      </c>
      <c r="Y145" s="16" t="str">
        <f ca="1"/>
        <v>Nobody</v>
      </c>
      <c r="Z145" s="261" t="str">
        <f ca="1"/>
        <v>M</v>
      </c>
      <c r="AA145" s="77" t="str">
        <f ca="1"/>
        <v>Daily</v>
      </c>
      <c r="AB145" s="77">
        <f ca="1"/>
        <v>0</v>
      </c>
      <c r="AC145" s="77">
        <f ca="1"/>
        <v>0</v>
      </c>
      <c r="AD145" s="77">
        <f ca="1"/>
        <v>0</v>
      </c>
      <c r="AE145" s="77">
        <f ca="1"/>
        <v>0</v>
      </c>
      <c r="AF145" s="261" t="str">
        <f ca="1"/>
        <v>N</v>
      </c>
      <c r="AG145" s="261">
        <f ca="1"/>
        <v>1</v>
      </c>
      <c r="AH145" s="261">
        <f ca="1"/>
        <v>1</v>
      </c>
      <c r="AI145" s="262">
        <f ca="1"/>
        <v>0</v>
      </c>
    </row>
    <row r="146" spans="1:35" hidden="1" outlineLevel="1" x14ac:dyDescent="0.25">
      <c r="A146" s="120">
        <f t="shared" si="83"/>
        <v>0</v>
      </c>
      <c r="B146" s="231"/>
      <c r="C146" s="77"/>
      <c r="D146" s="238"/>
      <c r="E146" s="76">
        <f ca="1">SUMIF(payNonMonth,"="&amp;$W146,$E$371:OFFSET($E$371,ROWS(payNonMonth)-1,0))</f>
        <v>0</v>
      </c>
      <c r="F146" s="76"/>
      <c r="G146" s="77">
        <f t="shared" ca="1" si="84"/>
        <v>0</v>
      </c>
      <c r="H146" s="76">
        <f t="shared" ca="1" si="92"/>
        <v>0</v>
      </c>
      <c r="I146" s="76">
        <f t="shared" ca="1" si="93"/>
        <v>0</v>
      </c>
      <c r="J146" s="233">
        <f t="shared" ca="1" si="94"/>
        <v>0</v>
      </c>
      <c r="K146" s="76">
        <f t="shared" ca="1" si="100"/>
        <v>0</v>
      </c>
      <c r="L146" s="76">
        <f t="shared" ca="1" si="95"/>
        <v>0</v>
      </c>
      <c r="M146" s="76">
        <f t="shared" ca="1" si="82"/>
        <v>0</v>
      </c>
      <c r="N146" s="76">
        <f t="shared" ca="1" si="96"/>
        <v>0</v>
      </c>
      <c r="O146" s="76"/>
      <c r="P146" s="76">
        <f t="shared" ca="1" si="97"/>
        <v>0</v>
      </c>
      <c r="Q146" s="76">
        <f t="shared" ca="1" si="85"/>
        <v>0</v>
      </c>
      <c r="R146" s="76">
        <f t="shared" ca="1" si="86"/>
        <v>0</v>
      </c>
      <c r="S146" s="232">
        <f t="shared" ca="1" si="98"/>
        <v>0</v>
      </c>
      <c r="U146" s="120" t="str">
        <f t="shared" si="99"/>
        <v>*:0</v>
      </c>
      <c r="V146" s="120" t="str">
        <f t="shared" si="87"/>
        <v>:</v>
      </c>
      <c r="W146" s="120" t="str">
        <f t="shared" si="91"/>
        <v>:0</v>
      </c>
      <c r="X146" s="250">
        <f t="array" aca="1" ref="X146:AI146" ca="1">VLOOKUP($D146&amp;":"&amp;$C146,tblPayRates,{3,4,5,6,7,8,9,10,11,12,13,14},0)</f>
        <v>0</v>
      </c>
      <c r="Y146" s="16" t="str">
        <f ca="1"/>
        <v>Nobody</v>
      </c>
      <c r="Z146" s="261" t="str">
        <f ca="1"/>
        <v>M</v>
      </c>
      <c r="AA146" s="77" t="str">
        <f ca="1"/>
        <v>Daily</v>
      </c>
      <c r="AB146" s="77">
        <f ca="1"/>
        <v>0</v>
      </c>
      <c r="AC146" s="77">
        <f ca="1"/>
        <v>0</v>
      </c>
      <c r="AD146" s="77">
        <f ca="1"/>
        <v>0</v>
      </c>
      <c r="AE146" s="77">
        <f ca="1"/>
        <v>0</v>
      </c>
      <c r="AF146" s="261" t="str">
        <f ca="1"/>
        <v>N</v>
      </c>
      <c r="AG146" s="261">
        <f ca="1"/>
        <v>1</v>
      </c>
      <c r="AH146" s="261">
        <f ca="1"/>
        <v>1</v>
      </c>
      <c r="AI146" s="262">
        <f ca="1"/>
        <v>0</v>
      </c>
    </row>
    <row r="147" spans="1:35" hidden="1" outlineLevel="1" x14ac:dyDescent="0.25">
      <c r="A147" s="120">
        <f t="shared" si="83"/>
        <v>0</v>
      </c>
      <c r="B147" s="231"/>
      <c r="C147" s="77"/>
      <c r="D147" s="238"/>
      <c r="E147" s="76">
        <f ca="1">SUMIF(payNonMonth,"="&amp;$W147,$E$371:OFFSET($E$371,ROWS(payNonMonth)-1,0))</f>
        <v>0</v>
      </c>
      <c r="F147" s="76"/>
      <c r="G147" s="77">
        <f t="shared" ca="1" si="84"/>
        <v>0</v>
      </c>
      <c r="H147" s="76">
        <f t="shared" ca="1" si="92"/>
        <v>0</v>
      </c>
      <c r="I147" s="76">
        <f t="shared" ca="1" si="93"/>
        <v>0</v>
      </c>
      <c r="J147" s="233">
        <f t="shared" ca="1" si="94"/>
        <v>0</v>
      </c>
      <c r="K147" s="76">
        <f t="shared" ca="1" si="100"/>
        <v>0</v>
      </c>
      <c r="L147" s="76">
        <f t="shared" ca="1" si="95"/>
        <v>0</v>
      </c>
      <c r="M147" s="76">
        <f t="shared" ca="1" si="82"/>
        <v>0</v>
      </c>
      <c r="N147" s="76">
        <f t="shared" ca="1" si="96"/>
        <v>0</v>
      </c>
      <c r="O147" s="76"/>
      <c r="P147" s="76">
        <f t="shared" ca="1" si="97"/>
        <v>0</v>
      </c>
      <c r="Q147" s="76">
        <f t="shared" ca="1" si="85"/>
        <v>0</v>
      </c>
      <c r="R147" s="76">
        <f t="shared" ca="1" si="86"/>
        <v>0</v>
      </c>
      <c r="S147" s="232">
        <f t="shared" ca="1" si="98"/>
        <v>0</v>
      </c>
      <c r="U147" s="120" t="str">
        <f t="shared" si="99"/>
        <v>*:0</v>
      </c>
      <c r="V147" s="120" t="str">
        <f t="shared" si="87"/>
        <v>:</v>
      </c>
      <c r="W147" s="120" t="str">
        <f t="shared" si="91"/>
        <v>:0</v>
      </c>
      <c r="X147" s="250">
        <f t="array" aca="1" ref="X147:AI147" ca="1">VLOOKUP($D147&amp;":"&amp;$C147,tblPayRates,{3,4,5,6,7,8,9,10,11,12,13,14},0)</f>
        <v>0</v>
      </c>
      <c r="Y147" s="16" t="str">
        <f ca="1"/>
        <v>Nobody</v>
      </c>
      <c r="Z147" s="261" t="str">
        <f ca="1"/>
        <v>M</v>
      </c>
      <c r="AA147" s="77" t="str">
        <f ca="1"/>
        <v>Daily</v>
      </c>
      <c r="AB147" s="77">
        <f ca="1"/>
        <v>0</v>
      </c>
      <c r="AC147" s="77">
        <f ca="1"/>
        <v>0</v>
      </c>
      <c r="AD147" s="77">
        <f ca="1"/>
        <v>0</v>
      </c>
      <c r="AE147" s="77">
        <f ca="1"/>
        <v>0</v>
      </c>
      <c r="AF147" s="261" t="str">
        <f ca="1"/>
        <v>N</v>
      </c>
      <c r="AG147" s="261">
        <f ca="1"/>
        <v>1</v>
      </c>
      <c r="AH147" s="261">
        <f ca="1"/>
        <v>1</v>
      </c>
      <c r="AI147" s="262">
        <f ca="1"/>
        <v>0</v>
      </c>
    </row>
    <row r="148" spans="1:35" hidden="1" outlineLevel="1" x14ac:dyDescent="0.25">
      <c r="A148" s="120">
        <f t="shared" si="83"/>
        <v>0</v>
      </c>
      <c r="B148" s="231"/>
      <c r="C148" s="77"/>
      <c r="D148" s="238"/>
      <c r="E148" s="76"/>
      <c r="F148" s="76"/>
      <c r="G148" s="77"/>
      <c r="H148" s="76"/>
      <c r="I148" s="76"/>
      <c r="J148" s="233"/>
      <c r="K148" s="76"/>
      <c r="L148" s="76"/>
      <c r="M148" s="76"/>
      <c r="N148" s="76"/>
      <c r="O148" s="76"/>
      <c r="P148" s="76"/>
      <c r="Q148" s="76"/>
      <c r="R148" s="76"/>
      <c r="S148" s="232"/>
      <c r="U148" s="120"/>
      <c r="V148" s="120"/>
      <c r="W148" s="120"/>
      <c r="X148" s="250"/>
      <c r="Y148" s="16"/>
      <c r="Z148" s="261"/>
      <c r="AA148" s="77"/>
      <c r="AB148" s="77"/>
      <c r="AC148" s="77"/>
      <c r="AD148" s="77"/>
      <c r="AE148" s="77"/>
      <c r="AF148" s="261"/>
      <c r="AG148" s="261"/>
      <c r="AH148" s="261"/>
      <c r="AI148" s="262"/>
    </row>
    <row r="149" spans="1:35" collapsed="1" x14ac:dyDescent="0.25">
      <c r="F149"/>
      <c r="J149" s="2"/>
    </row>
    <row r="150" spans="1:35" ht="22.8" x14ac:dyDescent="0.4">
      <c r="A150" s="254"/>
      <c r="B150" s="255"/>
      <c r="C150" s="256" t="str">
        <f>EmpID</f>
        <v>*</v>
      </c>
      <c r="D150" s="255"/>
      <c r="E150" s="219"/>
      <c r="F150" s="145"/>
      <c r="G150" s="255"/>
      <c r="H150" s="219"/>
      <c r="I150" s="66"/>
      <c r="J150" s="221" t="s">
        <v>507</v>
      </c>
      <c r="K150" s="66"/>
      <c r="L150" s="66"/>
      <c r="M150" s="66"/>
      <c r="N150" s="66"/>
      <c r="O150" s="66"/>
      <c r="P150" s="66"/>
      <c r="Q150" s="66"/>
      <c r="R150" s="66"/>
      <c r="S150" s="66"/>
      <c r="U150" s="66" t="s">
        <v>465</v>
      </c>
      <c r="X150" s="224"/>
      <c r="Y150" s="224"/>
      <c r="Z150" s="224"/>
    </row>
    <row r="151" spans="1:35" s="224" customFormat="1" ht="13.8" thickBot="1" x14ac:dyDescent="0.3">
      <c r="A151" s="222"/>
      <c r="B151" s="156"/>
      <c r="C151" s="263" t="str">
        <f>EmpID</f>
        <v>*</v>
      </c>
      <c r="D151" s="156"/>
      <c r="E151" s="156"/>
      <c r="F151" s="380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 t="s">
        <v>460</v>
      </c>
      <c r="U151" s="222" t="s">
        <v>508</v>
      </c>
      <c r="X151" s="22"/>
      <c r="Y151" s="22"/>
      <c r="Z151" s="22"/>
    </row>
    <row r="152" spans="1:35" s="22" customFormat="1" outlineLevel="1" x14ac:dyDescent="0.25">
      <c r="A152" s="120">
        <f t="shared" ref="A152:A215" si="101">GETPAYMONTH(B152)</f>
        <v>0</v>
      </c>
      <c r="B152" s="231"/>
      <c r="C152" s="231"/>
      <c r="D152" s="231"/>
      <c r="E152" s="231"/>
      <c r="F152" s="231"/>
      <c r="G152" s="231"/>
      <c r="H152" s="76"/>
      <c r="I152" s="232"/>
      <c r="J152" s="76">
        <f t="shared" ref="J152:J183" si="102">SUM(K152:S152)</f>
        <v>0</v>
      </c>
      <c r="K152" s="76"/>
      <c r="L152" s="76"/>
      <c r="M152" s="76"/>
      <c r="N152" s="76"/>
      <c r="O152" s="76"/>
      <c r="P152" s="76"/>
      <c r="Q152" s="76"/>
      <c r="R152" s="76"/>
      <c r="S152" s="76"/>
      <c r="U152" s="120">
        <f t="shared" ref="U152:U215" si="103">$C152</f>
        <v>0</v>
      </c>
      <c r="X152" s="35"/>
      <c r="Y152" s="35"/>
      <c r="Z152" s="35"/>
    </row>
    <row r="153" spans="1:35" s="22" customFormat="1" outlineLevel="1" x14ac:dyDescent="0.25">
      <c r="A153" s="120">
        <f t="shared" si="101"/>
        <v>1</v>
      </c>
      <c r="B153" s="231">
        <v>43658</v>
      </c>
      <c r="C153" s="231" t="s">
        <v>669</v>
      </c>
      <c r="D153" s="231"/>
      <c r="E153" s="231"/>
      <c r="F153" s="231"/>
      <c r="G153" s="231"/>
      <c r="H153" s="76"/>
      <c r="I153" s="232"/>
      <c r="J153" s="76">
        <f t="shared" si="102"/>
        <v>2348.06</v>
      </c>
      <c r="K153" s="76"/>
      <c r="L153" s="76"/>
      <c r="M153" s="76"/>
      <c r="N153" s="76"/>
      <c r="O153" s="76"/>
      <c r="P153" s="76"/>
      <c r="Q153" s="76"/>
      <c r="R153" s="76">
        <v>2348.06</v>
      </c>
      <c r="S153" s="76"/>
      <c r="U153" s="120" t="str">
        <f t="shared" si="103"/>
        <v>DP</v>
      </c>
      <c r="X153" s="35"/>
      <c r="Y153" s="35"/>
      <c r="Z153" s="35"/>
    </row>
    <row r="154" spans="1:35" s="22" customFormat="1" outlineLevel="1" x14ac:dyDescent="0.25">
      <c r="A154" s="120">
        <f t="shared" si="101"/>
        <v>1</v>
      </c>
      <c r="B154" s="231">
        <v>43658</v>
      </c>
      <c r="C154" s="231" t="s">
        <v>678</v>
      </c>
      <c r="D154" s="231"/>
      <c r="E154" s="231"/>
      <c r="F154" s="231"/>
      <c r="G154" s="231"/>
      <c r="H154" s="76"/>
      <c r="I154" s="232"/>
      <c r="J154" s="76">
        <f t="shared" si="102"/>
        <v>2348.06</v>
      </c>
      <c r="K154" s="76"/>
      <c r="L154" s="76"/>
      <c r="M154" s="76"/>
      <c r="N154" s="76"/>
      <c r="O154" s="76"/>
      <c r="P154" s="76"/>
      <c r="Q154" s="76"/>
      <c r="R154" s="76">
        <v>2348.06</v>
      </c>
      <c r="S154" s="76"/>
      <c r="U154" s="120" t="str">
        <f t="shared" si="103"/>
        <v>ANK</v>
      </c>
      <c r="X154" s="35"/>
      <c r="Y154" s="35"/>
      <c r="Z154" s="35"/>
    </row>
    <row r="155" spans="1:35" s="22" customFormat="1" outlineLevel="1" x14ac:dyDescent="0.25">
      <c r="A155" s="120">
        <f t="shared" si="101"/>
        <v>1</v>
      </c>
      <c r="B155" s="231">
        <v>43659</v>
      </c>
      <c r="C155" s="231" t="s">
        <v>57</v>
      </c>
      <c r="D155" s="231"/>
      <c r="E155" s="231"/>
      <c r="F155" s="231"/>
      <c r="G155" s="231"/>
      <c r="H155" s="76"/>
      <c r="I155" s="232"/>
      <c r="J155" s="76">
        <f t="shared" si="102"/>
        <v>8176.46</v>
      </c>
      <c r="K155" s="76"/>
      <c r="L155" s="76"/>
      <c r="M155" s="76"/>
      <c r="N155" s="76"/>
      <c r="O155" s="76"/>
      <c r="P155" s="76"/>
      <c r="Q155" s="76"/>
      <c r="R155" s="76">
        <v>5182.46</v>
      </c>
      <c r="S155" s="76">
        <v>2994</v>
      </c>
      <c r="U155" s="120" t="str">
        <f t="shared" si="103"/>
        <v>CRP</v>
      </c>
      <c r="X155" s="35"/>
      <c r="Y155" s="35"/>
      <c r="Z155" s="35"/>
    </row>
    <row r="156" spans="1:35" s="22" customFormat="1" outlineLevel="1" x14ac:dyDescent="0.25">
      <c r="A156" s="120">
        <f t="shared" si="101"/>
        <v>1</v>
      </c>
      <c r="B156" s="231">
        <v>43659</v>
      </c>
      <c r="C156" s="231" t="s">
        <v>58</v>
      </c>
      <c r="D156" s="231"/>
      <c r="E156" s="231"/>
      <c r="F156" s="231"/>
      <c r="G156" s="231"/>
      <c r="H156" s="76"/>
      <c r="I156" s="232"/>
      <c r="J156" s="76">
        <f t="shared" si="102"/>
        <v>7237.1</v>
      </c>
      <c r="K156" s="76"/>
      <c r="L156" s="76"/>
      <c r="M156" s="76"/>
      <c r="N156" s="76"/>
      <c r="O156" s="76"/>
      <c r="P156" s="76"/>
      <c r="Q156" s="76"/>
      <c r="R156" s="76">
        <v>6188.1</v>
      </c>
      <c r="S156" s="76">
        <v>1049</v>
      </c>
      <c r="U156" s="120" t="str">
        <f t="shared" si="103"/>
        <v>SM</v>
      </c>
      <c r="X156" s="35"/>
      <c r="Y156" s="35"/>
      <c r="Z156" s="35"/>
    </row>
    <row r="157" spans="1:35" s="22" customFormat="1" outlineLevel="1" x14ac:dyDescent="0.25">
      <c r="A157" s="120">
        <f t="shared" si="101"/>
        <v>1</v>
      </c>
      <c r="B157" s="231">
        <v>43659</v>
      </c>
      <c r="C157" s="231" t="s">
        <v>657</v>
      </c>
      <c r="D157" s="231"/>
      <c r="E157" s="231"/>
      <c r="F157" s="231"/>
      <c r="G157" s="231"/>
      <c r="H157" s="76"/>
      <c r="I157" s="232"/>
      <c r="J157" s="76">
        <f t="shared" si="102"/>
        <v>7141.1900000000005</v>
      </c>
      <c r="K157" s="76"/>
      <c r="L157" s="76"/>
      <c r="M157" s="76"/>
      <c r="N157" s="76"/>
      <c r="O157" s="76"/>
      <c r="P157" s="76"/>
      <c r="Q157" s="76"/>
      <c r="R157" s="76">
        <v>6904.39</v>
      </c>
      <c r="S157" s="76">
        <v>236.8</v>
      </c>
      <c r="U157" s="120" t="str">
        <f t="shared" si="103"/>
        <v>VAK</v>
      </c>
      <c r="X157" s="35"/>
      <c r="Y157" s="35"/>
      <c r="Z157" s="35"/>
    </row>
    <row r="158" spans="1:35" s="22" customFormat="1" outlineLevel="1" x14ac:dyDescent="0.25">
      <c r="A158" s="120">
        <f t="shared" si="101"/>
        <v>1</v>
      </c>
      <c r="B158" s="231">
        <v>43659</v>
      </c>
      <c r="C158" s="231" t="s">
        <v>658</v>
      </c>
      <c r="D158" s="231"/>
      <c r="E158" s="231"/>
      <c r="F158" s="231"/>
      <c r="G158" s="231"/>
      <c r="H158" s="76"/>
      <c r="I158" s="232"/>
      <c r="J158" s="76">
        <f t="shared" si="102"/>
        <v>4626.0200000000004</v>
      </c>
      <c r="K158" s="76"/>
      <c r="L158" s="76"/>
      <c r="M158" s="76"/>
      <c r="N158" s="76"/>
      <c r="O158" s="76"/>
      <c r="P158" s="76"/>
      <c r="Q158" s="76"/>
      <c r="R158" s="76">
        <v>4569.0200000000004</v>
      </c>
      <c r="S158" s="76">
        <v>57</v>
      </c>
      <c r="U158" s="120" t="str">
        <f t="shared" si="103"/>
        <v>ASW</v>
      </c>
      <c r="X158" s="35"/>
      <c r="Y158" s="35"/>
      <c r="Z158" s="35"/>
    </row>
    <row r="159" spans="1:35" s="22" customFormat="1" outlineLevel="1" x14ac:dyDescent="0.25">
      <c r="A159" s="120">
        <f t="shared" si="101"/>
        <v>1</v>
      </c>
      <c r="B159" s="231">
        <v>43659</v>
      </c>
      <c r="C159" s="231" t="s">
        <v>622</v>
      </c>
      <c r="D159" s="231"/>
      <c r="E159" s="231"/>
      <c r="F159" s="231"/>
      <c r="G159" s="231"/>
      <c r="H159" s="76"/>
      <c r="I159" s="232"/>
      <c r="J159" s="76">
        <f t="shared" si="102"/>
        <v>7179.2</v>
      </c>
      <c r="K159" s="76"/>
      <c r="L159" s="76"/>
      <c r="M159" s="76"/>
      <c r="N159" s="76"/>
      <c r="O159" s="76"/>
      <c r="P159" s="76"/>
      <c r="Q159" s="76"/>
      <c r="R159" s="76">
        <v>7000.3</v>
      </c>
      <c r="S159" s="76">
        <v>178.9</v>
      </c>
      <c r="U159" s="120" t="str">
        <f t="shared" si="103"/>
        <v>GEO</v>
      </c>
      <c r="X159" s="35"/>
      <c r="Y159" s="35"/>
      <c r="Z159" s="35"/>
    </row>
    <row r="160" spans="1:35" s="22" customFormat="1" outlineLevel="1" x14ac:dyDescent="0.25">
      <c r="A160" s="120">
        <f t="shared" si="101"/>
        <v>1</v>
      </c>
      <c r="B160" s="231">
        <v>43672</v>
      </c>
      <c r="C160" s="231" t="s">
        <v>669</v>
      </c>
      <c r="D160" s="231"/>
      <c r="E160" s="231"/>
      <c r="F160" s="231"/>
      <c r="G160" s="231"/>
      <c r="H160" s="76"/>
      <c r="I160" s="232"/>
      <c r="J160" s="76">
        <f t="shared" si="102"/>
        <v>3544.59</v>
      </c>
      <c r="K160" s="76"/>
      <c r="L160" s="76"/>
      <c r="M160" s="76"/>
      <c r="N160" s="76"/>
      <c r="O160" s="76"/>
      <c r="P160" s="76"/>
      <c r="Q160" s="76"/>
      <c r="R160" s="76">
        <v>3544.59</v>
      </c>
      <c r="S160" s="76"/>
      <c r="U160" s="120" t="str">
        <f t="shared" si="103"/>
        <v>DP</v>
      </c>
      <c r="X160" s="35"/>
      <c r="Y160" s="35"/>
      <c r="Z160" s="35"/>
    </row>
    <row r="161" spans="1:26" s="22" customFormat="1" outlineLevel="1" x14ac:dyDescent="0.25">
      <c r="A161" s="120">
        <f t="shared" si="101"/>
        <v>1</v>
      </c>
      <c r="B161" s="231">
        <v>43672</v>
      </c>
      <c r="C161" s="231" t="s">
        <v>678</v>
      </c>
      <c r="D161" s="231"/>
      <c r="E161" s="231"/>
      <c r="F161" s="231"/>
      <c r="G161" s="231"/>
      <c r="H161" s="76"/>
      <c r="I161" s="232"/>
      <c r="J161" s="76">
        <f t="shared" si="102"/>
        <v>3544.59</v>
      </c>
      <c r="K161" s="76"/>
      <c r="L161" s="76"/>
      <c r="M161" s="76"/>
      <c r="N161" s="76"/>
      <c r="O161" s="76"/>
      <c r="P161" s="76"/>
      <c r="Q161" s="76"/>
      <c r="R161" s="76">
        <v>3544.59</v>
      </c>
      <c r="S161" s="76"/>
      <c r="U161" s="120" t="str">
        <f t="shared" si="103"/>
        <v>ANK</v>
      </c>
      <c r="X161" s="35"/>
      <c r="Y161" s="35"/>
      <c r="Z161" s="35"/>
    </row>
    <row r="162" spans="1:26" s="22" customFormat="1" outlineLevel="1" x14ac:dyDescent="0.25">
      <c r="A162" s="120">
        <f>GETPAYMONTH(B162)</f>
        <v>2</v>
      </c>
      <c r="B162" s="231">
        <v>43686</v>
      </c>
      <c r="C162" s="231" t="s">
        <v>669</v>
      </c>
      <c r="D162" s="231"/>
      <c r="E162" s="231"/>
      <c r="F162" s="231"/>
      <c r="G162" s="231"/>
      <c r="H162" s="76"/>
      <c r="I162" s="232"/>
      <c r="J162" s="76">
        <f t="shared" si="102"/>
        <v>3785.72</v>
      </c>
      <c r="K162" s="76"/>
      <c r="L162" s="76"/>
      <c r="M162" s="76"/>
      <c r="N162" s="76"/>
      <c r="O162" s="76"/>
      <c r="P162" s="76"/>
      <c r="Q162" s="76"/>
      <c r="R162" s="76">
        <v>3116.72</v>
      </c>
      <c r="S162" s="76">
        <v>669</v>
      </c>
      <c r="U162" s="120" t="str">
        <f>$C162</f>
        <v>DP</v>
      </c>
      <c r="X162" s="35"/>
      <c r="Y162" s="35"/>
      <c r="Z162" s="35"/>
    </row>
    <row r="163" spans="1:26" s="22" customFormat="1" outlineLevel="1" x14ac:dyDescent="0.25">
      <c r="A163" s="120">
        <f t="shared" si="101"/>
        <v>2</v>
      </c>
      <c r="B163" s="231">
        <v>43686</v>
      </c>
      <c r="C163" s="231" t="s">
        <v>678</v>
      </c>
      <c r="D163" s="231"/>
      <c r="E163" s="231"/>
      <c r="F163" s="231"/>
      <c r="G163" s="231"/>
      <c r="H163" s="76"/>
      <c r="I163" s="232"/>
      <c r="J163" s="76">
        <f t="shared" si="102"/>
        <v>3791.59</v>
      </c>
      <c r="K163" s="76"/>
      <c r="L163" s="76"/>
      <c r="M163" s="76"/>
      <c r="N163" s="76"/>
      <c r="O163" s="76"/>
      <c r="P163" s="76"/>
      <c r="Q163" s="76"/>
      <c r="R163" s="76">
        <v>3111.59</v>
      </c>
      <c r="S163" s="76">
        <v>680</v>
      </c>
      <c r="U163" s="120" t="str">
        <f t="shared" si="103"/>
        <v>ANK</v>
      </c>
      <c r="X163" s="35"/>
      <c r="Y163" s="35"/>
      <c r="Z163" s="35"/>
    </row>
    <row r="164" spans="1:26" s="22" customFormat="1" outlineLevel="1" x14ac:dyDescent="0.25">
      <c r="A164" s="120">
        <f t="shared" si="101"/>
        <v>2</v>
      </c>
      <c r="B164" s="231">
        <v>43691</v>
      </c>
      <c r="C164" s="231" t="s">
        <v>57</v>
      </c>
      <c r="D164" s="231"/>
      <c r="E164" s="231"/>
      <c r="F164" s="231"/>
      <c r="G164" s="231"/>
      <c r="H164" s="76"/>
      <c r="I164" s="232"/>
      <c r="J164" s="76">
        <f t="shared" si="102"/>
        <v>9647.3799999999992</v>
      </c>
      <c r="K164" s="76"/>
      <c r="L164" s="76"/>
      <c r="M164" s="76"/>
      <c r="N164" s="76"/>
      <c r="O164" s="76"/>
      <c r="P164" s="76"/>
      <c r="Q164" s="76"/>
      <c r="R164" s="76">
        <v>8642.3799999999992</v>
      </c>
      <c r="S164" s="76">
        <v>1005</v>
      </c>
      <c r="U164" s="120" t="str">
        <f t="shared" si="103"/>
        <v>CRP</v>
      </c>
      <c r="X164" s="35"/>
      <c r="Y164" s="35"/>
      <c r="Z164" s="35"/>
    </row>
    <row r="165" spans="1:26" s="22" customFormat="1" outlineLevel="1" x14ac:dyDescent="0.25">
      <c r="A165" s="120">
        <f t="shared" si="101"/>
        <v>2</v>
      </c>
      <c r="B165" s="231">
        <v>43691</v>
      </c>
      <c r="C165" s="231" t="s">
        <v>58</v>
      </c>
      <c r="D165" s="231"/>
      <c r="E165" s="231"/>
      <c r="F165" s="231"/>
      <c r="G165" s="231"/>
      <c r="H165" s="76"/>
      <c r="I165" s="232"/>
      <c r="J165" s="76">
        <f t="shared" si="102"/>
        <v>7902.88</v>
      </c>
      <c r="K165" s="76"/>
      <c r="L165" s="76"/>
      <c r="M165" s="76"/>
      <c r="N165" s="76"/>
      <c r="O165" s="76"/>
      <c r="P165" s="76"/>
      <c r="Q165" s="76"/>
      <c r="R165" s="76">
        <v>6874.88</v>
      </c>
      <c r="S165" s="76">
        <v>1028</v>
      </c>
      <c r="U165" s="120" t="str">
        <f t="shared" si="103"/>
        <v>SM</v>
      </c>
      <c r="X165" s="35"/>
      <c r="Y165" s="35"/>
      <c r="Z165" s="35"/>
    </row>
    <row r="166" spans="1:26" s="22" customFormat="1" outlineLevel="1" x14ac:dyDescent="0.25">
      <c r="A166" s="120">
        <f t="shared" si="101"/>
        <v>2</v>
      </c>
      <c r="B166" s="231">
        <v>43691</v>
      </c>
      <c r="C166" s="231" t="s">
        <v>657</v>
      </c>
      <c r="D166" s="231"/>
      <c r="E166" s="231"/>
      <c r="F166" s="231"/>
      <c r="G166" s="231"/>
      <c r="H166" s="76"/>
      <c r="I166" s="232"/>
      <c r="J166" s="76">
        <f t="shared" si="102"/>
        <v>6940.02</v>
      </c>
      <c r="K166" s="76"/>
      <c r="L166" s="76"/>
      <c r="M166" s="76"/>
      <c r="N166" s="76"/>
      <c r="O166" s="76"/>
      <c r="P166" s="76"/>
      <c r="Q166" s="76"/>
      <c r="R166" s="76">
        <v>6813.92</v>
      </c>
      <c r="S166" s="76">
        <v>126.1</v>
      </c>
      <c r="U166" s="120" t="str">
        <f t="shared" si="103"/>
        <v>VAK</v>
      </c>
      <c r="X166" s="35"/>
      <c r="Y166" s="35"/>
      <c r="Z166" s="35"/>
    </row>
    <row r="167" spans="1:26" s="22" customFormat="1" outlineLevel="1" x14ac:dyDescent="0.25">
      <c r="A167" s="120">
        <f t="shared" si="101"/>
        <v>2</v>
      </c>
      <c r="B167" s="231">
        <v>43691</v>
      </c>
      <c r="C167" s="231" t="s">
        <v>658</v>
      </c>
      <c r="D167" s="231"/>
      <c r="E167" s="231"/>
      <c r="F167" s="231"/>
      <c r="G167" s="231"/>
      <c r="H167" s="76"/>
      <c r="I167" s="232"/>
      <c r="J167" s="76">
        <f t="shared" si="102"/>
        <v>4617.4500000000007</v>
      </c>
      <c r="K167" s="76"/>
      <c r="L167" s="76"/>
      <c r="M167" s="76"/>
      <c r="N167" s="76"/>
      <c r="O167" s="76"/>
      <c r="P167" s="76"/>
      <c r="Q167" s="76"/>
      <c r="R167" s="76">
        <v>4555.8500000000004</v>
      </c>
      <c r="S167" s="76">
        <v>61.6</v>
      </c>
      <c r="U167" s="120" t="str">
        <f t="shared" si="103"/>
        <v>ASW</v>
      </c>
      <c r="X167" s="35"/>
      <c r="Y167" s="35"/>
      <c r="Z167" s="35"/>
    </row>
    <row r="168" spans="1:26" s="22" customFormat="1" outlineLevel="1" x14ac:dyDescent="0.25">
      <c r="A168" s="120">
        <f t="shared" si="101"/>
        <v>2</v>
      </c>
      <c r="B168" s="231">
        <v>43691</v>
      </c>
      <c r="C168" s="231" t="s">
        <v>622</v>
      </c>
      <c r="D168" s="231"/>
      <c r="E168" s="231"/>
      <c r="F168" s="231"/>
      <c r="G168" s="231"/>
      <c r="H168" s="76"/>
      <c r="I168" s="232"/>
      <c r="J168" s="76">
        <f t="shared" si="102"/>
        <v>8280.9</v>
      </c>
      <c r="K168" s="76"/>
      <c r="L168" s="76"/>
      <c r="M168" s="76"/>
      <c r="N168" s="76"/>
      <c r="O168" s="76"/>
      <c r="P168" s="76"/>
      <c r="Q168" s="76"/>
      <c r="R168" s="76">
        <v>8102</v>
      </c>
      <c r="S168" s="76">
        <v>178.9</v>
      </c>
      <c r="U168" s="120" t="str">
        <f t="shared" si="103"/>
        <v>GEO</v>
      </c>
      <c r="X168" s="35"/>
      <c r="Y168" s="35"/>
      <c r="Z168" s="35"/>
    </row>
    <row r="169" spans="1:26" s="22" customFormat="1" outlineLevel="1" x14ac:dyDescent="0.25">
      <c r="A169" s="120">
        <f t="shared" si="101"/>
        <v>2</v>
      </c>
      <c r="B169" s="231">
        <v>43700</v>
      </c>
      <c r="C169" s="231" t="s">
        <v>669</v>
      </c>
      <c r="D169" s="231"/>
      <c r="E169" s="231"/>
      <c r="F169" s="231"/>
      <c r="G169" s="231"/>
      <c r="H169" s="76"/>
      <c r="I169" s="232"/>
      <c r="J169" s="76">
        <f t="shared" si="102"/>
        <v>3048.32</v>
      </c>
      <c r="K169" s="76"/>
      <c r="L169" s="76"/>
      <c r="M169" s="76"/>
      <c r="N169" s="76"/>
      <c r="O169" s="76"/>
      <c r="P169" s="76"/>
      <c r="Q169" s="76"/>
      <c r="R169" s="76">
        <v>3048.32</v>
      </c>
      <c r="S169" s="76"/>
      <c r="U169" s="120" t="str">
        <f t="shared" si="103"/>
        <v>DP</v>
      </c>
      <c r="X169" s="35"/>
      <c r="Y169" s="35"/>
      <c r="Z169" s="35"/>
    </row>
    <row r="170" spans="1:26" s="22" customFormat="1" outlineLevel="1" x14ac:dyDescent="0.25">
      <c r="A170" s="120">
        <f t="shared" si="101"/>
        <v>2</v>
      </c>
      <c r="B170" s="231">
        <v>43700</v>
      </c>
      <c r="C170" s="231" t="s">
        <v>678</v>
      </c>
      <c r="D170" s="231"/>
      <c r="E170" s="231"/>
      <c r="F170" s="231"/>
      <c r="G170" s="231"/>
      <c r="H170" s="76"/>
      <c r="I170" s="232"/>
      <c r="J170" s="76">
        <f t="shared" si="102"/>
        <v>3046.41</v>
      </c>
      <c r="K170" s="76"/>
      <c r="L170" s="76"/>
      <c r="M170" s="76"/>
      <c r="N170" s="76"/>
      <c r="O170" s="76"/>
      <c r="P170" s="76"/>
      <c r="Q170" s="76"/>
      <c r="R170" s="76">
        <v>3046.41</v>
      </c>
      <c r="S170" s="76"/>
      <c r="U170" s="120" t="str">
        <f t="shared" si="103"/>
        <v>ANK</v>
      </c>
      <c r="X170" s="35"/>
      <c r="Y170" s="35"/>
      <c r="Z170" s="35"/>
    </row>
    <row r="171" spans="1:26" s="22" customFormat="1" outlineLevel="1" x14ac:dyDescent="0.25">
      <c r="A171" s="120">
        <f t="shared" si="101"/>
        <v>3</v>
      </c>
      <c r="B171" s="231">
        <v>43713</v>
      </c>
      <c r="C171" s="231" t="s">
        <v>669</v>
      </c>
      <c r="D171" s="231"/>
      <c r="E171" s="231"/>
      <c r="F171" s="231"/>
      <c r="G171" s="231"/>
      <c r="H171" s="76"/>
      <c r="I171" s="232"/>
      <c r="J171" s="76">
        <f t="shared" si="102"/>
        <v>3948.24</v>
      </c>
      <c r="K171" s="76"/>
      <c r="L171" s="76"/>
      <c r="M171" s="76"/>
      <c r="N171" s="76"/>
      <c r="O171" s="76"/>
      <c r="P171" s="76"/>
      <c r="Q171" s="76"/>
      <c r="R171" s="76">
        <v>3373.24</v>
      </c>
      <c r="S171" s="76">
        <v>575</v>
      </c>
      <c r="U171" s="120" t="str">
        <f t="shared" si="103"/>
        <v>DP</v>
      </c>
      <c r="X171" s="35"/>
      <c r="Y171" s="35"/>
      <c r="Z171" s="35"/>
    </row>
    <row r="172" spans="1:26" s="22" customFormat="1" outlineLevel="1" x14ac:dyDescent="0.25">
      <c r="A172" s="120">
        <f t="shared" si="101"/>
        <v>3</v>
      </c>
      <c r="B172" s="231">
        <v>43713</v>
      </c>
      <c r="C172" s="231" t="s">
        <v>678</v>
      </c>
      <c r="D172" s="231"/>
      <c r="E172" s="231"/>
      <c r="F172" s="231"/>
      <c r="G172" s="231"/>
      <c r="H172" s="76"/>
      <c r="I172" s="232"/>
      <c r="J172" s="76">
        <f t="shared" si="102"/>
        <v>3935.9700000000003</v>
      </c>
      <c r="K172" s="76"/>
      <c r="L172" s="76"/>
      <c r="M172" s="76"/>
      <c r="N172" s="76"/>
      <c r="O172" s="76"/>
      <c r="P172" s="76"/>
      <c r="Q172" s="76"/>
      <c r="R172" s="76">
        <v>3384.9700000000003</v>
      </c>
      <c r="S172" s="76">
        <v>551</v>
      </c>
      <c r="U172" s="120" t="str">
        <f t="shared" si="103"/>
        <v>ANK</v>
      </c>
      <c r="X172" s="35"/>
      <c r="Y172" s="35"/>
      <c r="Z172" s="35"/>
    </row>
    <row r="173" spans="1:26" s="22" customFormat="1" outlineLevel="1" x14ac:dyDescent="0.25">
      <c r="A173" s="120">
        <f t="shared" si="101"/>
        <v>3</v>
      </c>
      <c r="B173" s="231">
        <v>43722</v>
      </c>
      <c r="C173" s="231" t="s">
        <v>57</v>
      </c>
      <c r="D173" s="231"/>
      <c r="E173" s="231"/>
      <c r="F173" s="231"/>
      <c r="G173" s="231"/>
      <c r="H173" s="76"/>
      <c r="I173" s="232"/>
      <c r="J173" s="76">
        <f t="shared" si="102"/>
        <v>10229.15</v>
      </c>
      <c r="K173" s="76"/>
      <c r="L173" s="76"/>
      <c r="M173" s="76"/>
      <c r="N173" s="76"/>
      <c r="O173" s="76"/>
      <c r="P173" s="76"/>
      <c r="Q173" s="76"/>
      <c r="R173" s="76">
        <v>4748.1499999999996</v>
      </c>
      <c r="S173" s="76">
        <v>5481</v>
      </c>
      <c r="U173" s="120" t="str">
        <f t="shared" si="103"/>
        <v>CRP</v>
      </c>
      <c r="X173" s="35"/>
      <c r="Y173" s="35"/>
      <c r="Z173" s="35"/>
    </row>
    <row r="174" spans="1:26" s="22" customFormat="1" outlineLevel="1" x14ac:dyDescent="0.25">
      <c r="A174" s="120">
        <f t="shared" si="101"/>
        <v>3</v>
      </c>
      <c r="B174" s="231">
        <v>43722</v>
      </c>
      <c r="C174" s="231" t="s">
        <v>58</v>
      </c>
      <c r="D174" s="231"/>
      <c r="E174" s="231"/>
      <c r="F174" s="231"/>
      <c r="G174" s="231"/>
      <c r="H174" s="76"/>
      <c r="I174" s="232"/>
      <c r="J174" s="76">
        <f t="shared" si="102"/>
        <v>10396.74</v>
      </c>
      <c r="K174" s="76"/>
      <c r="L174" s="76"/>
      <c r="M174" s="76"/>
      <c r="N174" s="76"/>
      <c r="O174" s="76"/>
      <c r="P174" s="76"/>
      <c r="Q174" s="76"/>
      <c r="R174" s="76">
        <v>8837.74</v>
      </c>
      <c r="S174" s="76">
        <v>1559</v>
      </c>
      <c r="U174" s="120" t="str">
        <f t="shared" si="103"/>
        <v>SM</v>
      </c>
      <c r="X174" s="35"/>
      <c r="Y174" s="35"/>
      <c r="Z174" s="35"/>
    </row>
    <row r="175" spans="1:26" s="22" customFormat="1" outlineLevel="1" x14ac:dyDescent="0.25">
      <c r="A175" s="120">
        <f t="shared" si="101"/>
        <v>3</v>
      </c>
      <c r="B175" s="231">
        <v>43722</v>
      </c>
      <c r="C175" s="231" t="s">
        <v>622</v>
      </c>
      <c r="D175" s="231"/>
      <c r="E175" s="231"/>
      <c r="F175" s="231"/>
      <c r="G175" s="231"/>
      <c r="H175" s="76"/>
      <c r="I175" s="232"/>
      <c r="J175" s="76">
        <f t="shared" si="102"/>
        <v>9158.01</v>
      </c>
      <c r="K175" s="76"/>
      <c r="L175" s="76"/>
      <c r="M175" s="76"/>
      <c r="N175" s="76"/>
      <c r="O175" s="76"/>
      <c r="P175" s="76"/>
      <c r="Q175" s="76"/>
      <c r="R175" s="76">
        <v>8979.11</v>
      </c>
      <c r="S175" s="76">
        <v>178.9</v>
      </c>
      <c r="U175" s="120" t="str">
        <f t="shared" si="103"/>
        <v>GEO</v>
      </c>
      <c r="X175" s="35"/>
      <c r="Y175" s="35"/>
      <c r="Z175" s="35"/>
    </row>
    <row r="176" spans="1:26" s="22" customFormat="1" outlineLevel="1" x14ac:dyDescent="0.25">
      <c r="A176" s="120">
        <f t="shared" si="101"/>
        <v>3</v>
      </c>
      <c r="B176" s="231">
        <v>43722</v>
      </c>
      <c r="C176" s="231" t="s">
        <v>657</v>
      </c>
      <c r="D176" s="231"/>
      <c r="E176" s="231"/>
      <c r="F176" s="231"/>
      <c r="G176" s="231"/>
      <c r="H176" s="76"/>
      <c r="I176" s="232"/>
      <c r="J176" s="76">
        <f t="shared" si="102"/>
        <v>8185.16</v>
      </c>
      <c r="K176" s="76"/>
      <c r="L176" s="76"/>
      <c r="M176" s="76"/>
      <c r="N176" s="76"/>
      <c r="O176" s="76"/>
      <c r="P176" s="76"/>
      <c r="Q176" s="76"/>
      <c r="R176" s="76">
        <v>8045.21</v>
      </c>
      <c r="S176" s="76">
        <v>139.94999999999999</v>
      </c>
      <c r="U176" s="120" t="str">
        <f t="shared" si="103"/>
        <v>VAK</v>
      </c>
      <c r="X176" s="35"/>
      <c r="Y176" s="35"/>
      <c r="Z176" s="35"/>
    </row>
    <row r="177" spans="1:26" s="22" customFormat="1" outlineLevel="1" x14ac:dyDescent="0.25">
      <c r="A177" s="120">
        <f t="shared" si="101"/>
        <v>3</v>
      </c>
      <c r="B177" s="231">
        <v>43722</v>
      </c>
      <c r="C177" s="231" t="s">
        <v>658</v>
      </c>
      <c r="D177" s="231"/>
      <c r="E177" s="231"/>
      <c r="F177" s="336"/>
      <c r="G177" s="231"/>
      <c r="H177" s="76"/>
      <c r="I177" s="232"/>
      <c r="J177" s="76">
        <f t="shared" si="102"/>
        <v>5388.7000000000007</v>
      </c>
      <c r="K177" s="76"/>
      <c r="L177" s="76"/>
      <c r="M177" s="76"/>
      <c r="N177" s="76"/>
      <c r="O177" s="76"/>
      <c r="P177" s="76"/>
      <c r="Q177" s="76"/>
      <c r="R177" s="76">
        <v>5327.1</v>
      </c>
      <c r="S177" s="76">
        <v>61.6</v>
      </c>
      <c r="U177" s="120" t="str">
        <f t="shared" si="103"/>
        <v>ASW</v>
      </c>
      <c r="X177" s="35"/>
      <c r="Y177" s="35"/>
      <c r="Z177" s="35"/>
    </row>
    <row r="178" spans="1:26" s="22" customFormat="1" outlineLevel="1" x14ac:dyDescent="0.25">
      <c r="A178" s="120">
        <f t="shared" si="101"/>
        <v>3</v>
      </c>
      <c r="B178" s="231">
        <v>43728</v>
      </c>
      <c r="C178" s="231" t="s">
        <v>669</v>
      </c>
      <c r="D178" s="231"/>
      <c r="E178" s="231"/>
      <c r="F178" s="231"/>
      <c r="G178" s="231"/>
      <c r="H178" s="76"/>
      <c r="I178" s="232"/>
      <c r="J178" s="76">
        <f t="shared" si="102"/>
        <v>3119.47</v>
      </c>
      <c r="K178" s="76"/>
      <c r="L178" s="76"/>
      <c r="M178" s="76"/>
      <c r="N178" s="76"/>
      <c r="O178" s="76"/>
      <c r="P178" s="76"/>
      <c r="Q178" s="76"/>
      <c r="R178" s="76">
        <v>3119.47</v>
      </c>
      <c r="S178" s="76"/>
      <c r="U178" s="120" t="str">
        <f t="shared" si="103"/>
        <v>DP</v>
      </c>
      <c r="X178" s="35"/>
      <c r="Y178" s="35"/>
      <c r="Z178" s="35"/>
    </row>
    <row r="179" spans="1:26" s="22" customFormat="1" outlineLevel="1" x14ac:dyDescent="0.25">
      <c r="A179" s="120">
        <f t="shared" si="101"/>
        <v>3</v>
      </c>
      <c r="B179" s="231">
        <v>43728</v>
      </c>
      <c r="C179" s="231" t="s">
        <v>678</v>
      </c>
      <c r="D179" s="231"/>
      <c r="E179" s="231"/>
      <c r="F179" s="231"/>
      <c r="G179" s="231"/>
      <c r="H179" s="76"/>
      <c r="I179" s="232"/>
      <c r="J179" s="76">
        <f t="shared" si="102"/>
        <v>3120.6</v>
      </c>
      <c r="K179" s="76"/>
      <c r="L179" s="76"/>
      <c r="M179" s="76"/>
      <c r="N179" s="76"/>
      <c r="O179" s="76"/>
      <c r="P179" s="76"/>
      <c r="Q179" s="76"/>
      <c r="R179" s="76">
        <v>3120.6</v>
      </c>
      <c r="S179" s="76"/>
      <c r="U179" s="120" t="str">
        <f t="shared" si="103"/>
        <v>ANK</v>
      </c>
      <c r="X179" s="35"/>
      <c r="Y179" s="35"/>
      <c r="Z179" s="35"/>
    </row>
    <row r="180" spans="1:26" s="22" customFormat="1" outlineLevel="1" x14ac:dyDescent="0.25">
      <c r="A180" s="120">
        <f t="shared" si="101"/>
        <v>4</v>
      </c>
      <c r="B180" s="231">
        <v>43742</v>
      </c>
      <c r="C180" s="231" t="s">
        <v>669</v>
      </c>
      <c r="D180" s="231"/>
      <c r="E180" s="231"/>
      <c r="F180" s="231"/>
      <c r="G180" s="231"/>
      <c r="H180" s="76"/>
      <c r="I180" s="232"/>
      <c r="J180" s="76">
        <f t="shared" si="102"/>
        <v>3096.05</v>
      </c>
      <c r="K180" s="76"/>
      <c r="L180" s="76"/>
      <c r="M180" s="76"/>
      <c r="N180" s="76"/>
      <c r="O180" s="76"/>
      <c r="P180" s="76"/>
      <c r="Q180" s="76"/>
      <c r="R180" s="76">
        <v>2496.0500000000002</v>
      </c>
      <c r="S180" s="76">
        <v>600</v>
      </c>
      <c r="U180" s="120" t="str">
        <f t="shared" si="103"/>
        <v>DP</v>
      </c>
      <c r="X180" s="35"/>
      <c r="Y180" s="35"/>
      <c r="Z180" s="35"/>
    </row>
    <row r="181" spans="1:26" s="22" customFormat="1" outlineLevel="1" x14ac:dyDescent="0.25">
      <c r="A181" s="120">
        <f t="shared" si="101"/>
        <v>4</v>
      </c>
      <c r="B181" s="231">
        <v>43742</v>
      </c>
      <c r="C181" s="231" t="s">
        <v>678</v>
      </c>
      <c r="D181" s="231"/>
      <c r="E181" s="231"/>
      <c r="F181" s="231"/>
      <c r="G181" s="231"/>
      <c r="H181" s="76"/>
      <c r="I181" s="232"/>
      <c r="J181" s="76">
        <f t="shared" si="102"/>
        <v>3067.32</v>
      </c>
      <c r="K181" s="76"/>
      <c r="L181" s="76"/>
      <c r="M181" s="76"/>
      <c r="N181" s="76"/>
      <c r="O181" s="76"/>
      <c r="P181" s="76"/>
      <c r="Q181" s="76"/>
      <c r="R181" s="76">
        <v>2541.3200000000002</v>
      </c>
      <c r="S181" s="76">
        <v>526</v>
      </c>
      <c r="U181" s="120" t="str">
        <f t="shared" si="103"/>
        <v>ANK</v>
      </c>
      <c r="X181" s="35"/>
      <c r="Y181" s="35"/>
      <c r="Z181" s="35"/>
    </row>
    <row r="182" spans="1:26" s="22" customFormat="1" outlineLevel="1" x14ac:dyDescent="0.25">
      <c r="A182" s="120">
        <f t="shared" si="101"/>
        <v>4</v>
      </c>
      <c r="B182" s="231">
        <v>43752</v>
      </c>
      <c r="C182" s="231" t="s">
        <v>57</v>
      </c>
      <c r="D182" s="231"/>
      <c r="E182" s="231"/>
      <c r="F182" s="231"/>
      <c r="G182" s="231"/>
      <c r="H182" s="76"/>
      <c r="I182" s="232"/>
      <c r="J182" s="76">
        <f t="shared" si="102"/>
        <v>7626.9400000000005</v>
      </c>
      <c r="K182" s="76"/>
      <c r="L182" s="76"/>
      <c r="M182" s="76"/>
      <c r="N182" s="76"/>
      <c r="O182" s="76"/>
      <c r="P182" s="76"/>
      <c r="Q182" s="76"/>
      <c r="R182" s="76">
        <v>4851.9400000000005</v>
      </c>
      <c r="S182" s="76">
        <v>2775</v>
      </c>
      <c r="U182" s="120" t="str">
        <f t="shared" si="103"/>
        <v>CRP</v>
      </c>
      <c r="X182" s="35"/>
      <c r="Y182" s="35"/>
      <c r="Z182" s="35"/>
    </row>
    <row r="183" spans="1:26" s="22" customFormat="1" outlineLevel="1" x14ac:dyDescent="0.25">
      <c r="A183" s="120">
        <f t="shared" si="101"/>
        <v>4</v>
      </c>
      <c r="B183" s="231">
        <v>43752</v>
      </c>
      <c r="C183" s="231" t="s">
        <v>58</v>
      </c>
      <c r="D183" s="231"/>
      <c r="E183" s="231"/>
      <c r="F183" s="231"/>
      <c r="G183" s="231"/>
      <c r="H183" s="76"/>
      <c r="I183" s="232"/>
      <c r="J183" s="76">
        <f t="shared" si="102"/>
        <v>6753.67</v>
      </c>
      <c r="K183" s="76"/>
      <c r="L183" s="76"/>
      <c r="M183" s="76"/>
      <c r="N183" s="76"/>
      <c r="O183" s="76"/>
      <c r="P183" s="76"/>
      <c r="Q183" s="76"/>
      <c r="R183" s="76">
        <v>6049.67</v>
      </c>
      <c r="S183" s="76">
        <v>704</v>
      </c>
      <c r="U183" s="120" t="str">
        <f t="shared" si="103"/>
        <v>SM</v>
      </c>
      <c r="X183" s="35"/>
      <c r="Y183" s="35"/>
      <c r="Z183" s="35"/>
    </row>
    <row r="184" spans="1:26" s="22" customFormat="1" outlineLevel="1" x14ac:dyDescent="0.25">
      <c r="A184" s="120">
        <f t="shared" si="101"/>
        <v>4</v>
      </c>
      <c r="B184" s="231">
        <v>43752</v>
      </c>
      <c r="C184" s="231" t="s">
        <v>622</v>
      </c>
      <c r="D184" s="231"/>
      <c r="E184" s="231"/>
      <c r="F184" s="231"/>
      <c r="G184" s="231"/>
      <c r="H184" s="76"/>
      <c r="I184" s="232"/>
      <c r="J184" s="76">
        <f t="shared" ref="J184:J215" si="104">SUM(K184:S184)</f>
        <v>7901.5499999999993</v>
      </c>
      <c r="K184" s="76"/>
      <c r="L184" s="76"/>
      <c r="M184" s="76"/>
      <c r="N184" s="76"/>
      <c r="O184" s="76"/>
      <c r="P184" s="76"/>
      <c r="Q184" s="76"/>
      <c r="R184" s="76">
        <v>7722.65</v>
      </c>
      <c r="S184" s="76">
        <v>178.9</v>
      </c>
      <c r="U184" s="120" t="str">
        <f t="shared" si="103"/>
        <v>GEO</v>
      </c>
      <c r="V184" s="120" t="str">
        <f t="shared" ref="V184" si="105">$C184 &amp;":"&amp; $B184</f>
        <v>GEO:43752</v>
      </c>
      <c r="W184" s="120" t="str">
        <f>C184 &amp;":"&amp; B184</f>
        <v>GEO:43752</v>
      </c>
      <c r="X184" s="35"/>
      <c r="Y184" s="35"/>
      <c r="Z184" s="35"/>
    </row>
    <row r="185" spans="1:26" s="22" customFormat="1" outlineLevel="1" x14ac:dyDescent="0.25">
      <c r="A185" s="120">
        <f t="shared" si="101"/>
        <v>4</v>
      </c>
      <c r="B185" s="231">
        <v>43752</v>
      </c>
      <c r="C185" s="231" t="s">
        <v>657</v>
      </c>
      <c r="D185" s="231"/>
      <c r="E185" s="231"/>
      <c r="F185" s="231"/>
      <c r="G185" s="231"/>
      <c r="H185" s="76"/>
      <c r="I185" s="232"/>
      <c r="J185" s="76">
        <f t="shared" si="104"/>
        <v>6895.09</v>
      </c>
      <c r="K185" s="76"/>
      <c r="L185" s="76"/>
      <c r="M185" s="76"/>
      <c r="N185" s="76"/>
      <c r="O185" s="76"/>
      <c r="P185" s="76"/>
      <c r="Q185" s="76"/>
      <c r="R185" s="76">
        <v>6718.1900000000005</v>
      </c>
      <c r="S185" s="76">
        <v>176.9</v>
      </c>
      <c r="U185" s="120" t="str">
        <f t="shared" si="103"/>
        <v>VAK</v>
      </c>
      <c r="X185" s="35"/>
      <c r="Y185" s="35"/>
      <c r="Z185" s="35"/>
    </row>
    <row r="186" spans="1:26" s="22" customFormat="1" outlineLevel="1" x14ac:dyDescent="0.25">
      <c r="A186" s="120">
        <f t="shared" si="101"/>
        <v>4</v>
      </c>
      <c r="B186" s="231">
        <v>43752</v>
      </c>
      <c r="C186" s="231" t="s">
        <v>658</v>
      </c>
      <c r="D186" s="231"/>
      <c r="E186" s="231"/>
      <c r="F186" s="231"/>
      <c r="G186" s="231"/>
      <c r="H186" s="76"/>
      <c r="I186" s="232"/>
      <c r="J186" s="76">
        <f t="shared" si="104"/>
        <v>4658.3600000000006</v>
      </c>
      <c r="K186" s="76"/>
      <c r="L186" s="76"/>
      <c r="M186" s="76"/>
      <c r="N186" s="76"/>
      <c r="O186" s="76"/>
      <c r="P186" s="76"/>
      <c r="Q186" s="76"/>
      <c r="R186" s="76">
        <v>4283.22</v>
      </c>
      <c r="S186" s="76">
        <v>375.14000000000004</v>
      </c>
      <c r="U186" s="120" t="str">
        <f t="shared" si="103"/>
        <v>ASW</v>
      </c>
      <c r="V186" s="120" t="str">
        <f t="shared" ref="V186" si="106">$C186 &amp;":"&amp; $B186</f>
        <v>ASW:43752</v>
      </c>
      <c r="W186" s="120" t="str">
        <f>C186 &amp;":"&amp; B186</f>
        <v>ASW:43752</v>
      </c>
      <c r="X186" s="35"/>
      <c r="Y186" s="35"/>
      <c r="Z186" s="35"/>
    </row>
    <row r="187" spans="1:26" s="22" customFormat="1" outlineLevel="1" x14ac:dyDescent="0.25">
      <c r="A187" s="120">
        <f t="shared" si="101"/>
        <v>4</v>
      </c>
      <c r="B187" s="231">
        <v>43754</v>
      </c>
      <c r="C187" s="231" t="s">
        <v>55</v>
      </c>
      <c r="D187" s="231"/>
      <c r="E187" s="231"/>
      <c r="F187" s="231"/>
      <c r="G187" s="231"/>
      <c r="H187" s="76"/>
      <c r="I187" s="232"/>
      <c r="J187" s="76">
        <f t="shared" si="104"/>
        <v>4802.0499999999993</v>
      </c>
      <c r="K187" s="76"/>
      <c r="L187" s="76"/>
      <c r="M187" s="76">
        <v>4802.0499999999993</v>
      </c>
      <c r="N187" s="76"/>
      <c r="O187" s="76"/>
      <c r="P187" s="76"/>
      <c r="Q187" s="76"/>
      <c r="R187" s="76"/>
      <c r="S187" s="76"/>
      <c r="U187" s="120" t="str">
        <f t="shared" si="103"/>
        <v>MAM</v>
      </c>
      <c r="X187" s="35"/>
      <c r="Y187" s="35"/>
      <c r="Z187" s="35"/>
    </row>
    <row r="188" spans="1:26" s="22" customFormat="1" outlineLevel="1" x14ac:dyDescent="0.25">
      <c r="A188" s="120">
        <f t="shared" si="101"/>
        <v>4</v>
      </c>
      <c r="B188" s="231">
        <v>43754</v>
      </c>
      <c r="C188" s="231" t="s">
        <v>57</v>
      </c>
      <c r="D188" s="231"/>
      <c r="E188" s="231"/>
      <c r="F188" s="231"/>
      <c r="G188" s="231"/>
      <c r="H188" s="76"/>
      <c r="I188" s="232"/>
      <c r="J188" s="76">
        <f t="shared" si="104"/>
        <v>3273.38</v>
      </c>
      <c r="K188" s="76"/>
      <c r="L188" s="76"/>
      <c r="M188" s="76">
        <v>3273.38</v>
      </c>
      <c r="N188" s="76"/>
      <c r="O188" s="76"/>
      <c r="P188" s="76"/>
      <c r="Q188" s="76"/>
      <c r="R188" s="76"/>
      <c r="S188" s="76"/>
      <c r="U188" s="120" t="str">
        <f t="shared" si="103"/>
        <v>CRP</v>
      </c>
      <c r="V188" s="120" t="str">
        <f t="shared" ref="V188" si="107">$C188 &amp;":"&amp; $B188</f>
        <v>CRP:43754</v>
      </c>
      <c r="W188" s="120" t="str">
        <f>C188 &amp;":"&amp; B188</f>
        <v>CRP:43754</v>
      </c>
      <c r="X188" s="35"/>
      <c r="Y188" s="35"/>
      <c r="Z188" s="35"/>
    </row>
    <row r="189" spans="1:26" s="22" customFormat="1" outlineLevel="1" x14ac:dyDescent="0.25">
      <c r="A189" s="120">
        <f t="shared" si="101"/>
        <v>4</v>
      </c>
      <c r="B189" s="231">
        <v>43754</v>
      </c>
      <c r="C189" s="231" t="s">
        <v>58</v>
      </c>
      <c r="D189" s="231"/>
      <c r="E189" s="231"/>
      <c r="F189" s="231"/>
      <c r="G189" s="231"/>
      <c r="H189" s="76"/>
      <c r="I189" s="232"/>
      <c r="J189" s="76">
        <f t="shared" si="104"/>
        <v>3273.38</v>
      </c>
      <c r="K189" s="76"/>
      <c r="L189" s="76"/>
      <c r="M189" s="76">
        <v>3273.38</v>
      </c>
      <c r="N189" s="76"/>
      <c r="O189" s="76"/>
      <c r="P189" s="76"/>
      <c r="Q189" s="76"/>
      <c r="R189" s="76"/>
      <c r="S189" s="76"/>
      <c r="U189" s="120" t="str">
        <f t="shared" si="103"/>
        <v>SM</v>
      </c>
      <c r="X189" s="35"/>
      <c r="Y189" s="35"/>
      <c r="Z189" s="35"/>
    </row>
    <row r="190" spans="1:26" s="22" customFormat="1" outlineLevel="1" x14ac:dyDescent="0.25">
      <c r="A190" s="120">
        <f t="shared" si="101"/>
        <v>4</v>
      </c>
      <c r="B190" s="231">
        <v>43754</v>
      </c>
      <c r="C190" s="231" t="s">
        <v>622</v>
      </c>
      <c r="D190" s="231"/>
      <c r="E190" s="231"/>
      <c r="F190" s="231"/>
      <c r="G190" s="231"/>
      <c r="H190" s="76"/>
      <c r="I190" s="232"/>
      <c r="J190" s="76">
        <f t="shared" si="104"/>
        <v>3346.25</v>
      </c>
      <c r="K190" s="76"/>
      <c r="L190" s="76"/>
      <c r="M190" s="76">
        <v>3346.25</v>
      </c>
      <c r="N190" s="76"/>
      <c r="O190" s="76"/>
      <c r="P190" s="76"/>
      <c r="Q190" s="76"/>
      <c r="R190" s="76"/>
      <c r="S190" s="76"/>
      <c r="U190" s="120" t="str">
        <f t="shared" si="103"/>
        <v>GEO</v>
      </c>
      <c r="X190" s="35"/>
      <c r="Y190" s="35"/>
      <c r="Z190" s="35"/>
    </row>
    <row r="191" spans="1:26" s="22" customFormat="1" outlineLevel="1" x14ac:dyDescent="0.25">
      <c r="A191" s="120">
        <f t="shared" si="101"/>
        <v>4</v>
      </c>
      <c r="B191" s="231">
        <v>43754</v>
      </c>
      <c r="C191" s="231" t="s">
        <v>657</v>
      </c>
      <c r="D191" s="231"/>
      <c r="E191" s="231"/>
      <c r="F191" s="231"/>
      <c r="G191" s="231"/>
      <c r="H191" s="76"/>
      <c r="I191" s="232"/>
      <c r="J191" s="76">
        <f t="shared" si="104"/>
        <v>2978.9100000000003</v>
      </c>
      <c r="K191" s="76"/>
      <c r="L191" s="76"/>
      <c r="M191" s="76">
        <v>2978.9100000000003</v>
      </c>
      <c r="N191" s="76"/>
      <c r="O191" s="76"/>
      <c r="P191" s="76"/>
      <c r="Q191" s="76"/>
      <c r="R191" s="76"/>
      <c r="S191" s="76"/>
      <c r="U191" s="120" t="str">
        <f t="shared" si="103"/>
        <v>VAK</v>
      </c>
      <c r="X191" s="35"/>
      <c r="Y191" s="35"/>
      <c r="Z191" s="35"/>
    </row>
    <row r="192" spans="1:26" s="22" customFormat="1" outlineLevel="1" x14ac:dyDescent="0.25">
      <c r="A192" s="120">
        <f t="shared" si="101"/>
        <v>4</v>
      </c>
      <c r="B192" s="231">
        <v>43754</v>
      </c>
      <c r="C192" s="231" t="s">
        <v>658</v>
      </c>
      <c r="D192" s="231"/>
      <c r="E192" s="231"/>
      <c r="F192" s="231"/>
      <c r="G192" s="231"/>
      <c r="H192" s="76"/>
      <c r="I192" s="232"/>
      <c r="J192" s="76">
        <f t="shared" si="104"/>
        <v>1825.78</v>
      </c>
      <c r="K192" s="76"/>
      <c r="L192" s="76"/>
      <c r="M192" s="76">
        <v>1825.78</v>
      </c>
      <c r="N192" s="76"/>
      <c r="O192" s="76"/>
      <c r="P192" s="76"/>
      <c r="Q192" s="76"/>
      <c r="R192" s="76"/>
      <c r="S192" s="76"/>
      <c r="U192" s="120" t="str">
        <f t="shared" si="103"/>
        <v>ASW</v>
      </c>
      <c r="X192" s="35"/>
      <c r="Y192" s="35"/>
      <c r="Z192" s="35"/>
    </row>
    <row r="193" spans="1:26" s="22" customFormat="1" outlineLevel="1" x14ac:dyDescent="0.25">
      <c r="A193" s="120">
        <f t="shared" si="101"/>
        <v>4</v>
      </c>
      <c r="B193" s="231">
        <v>43754</v>
      </c>
      <c r="C193" s="231" t="s">
        <v>669</v>
      </c>
      <c r="D193" s="231"/>
      <c r="E193" s="231"/>
      <c r="F193" s="231"/>
      <c r="G193" s="231"/>
      <c r="H193" s="76"/>
      <c r="I193" s="232"/>
      <c r="J193" s="76">
        <f t="shared" si="104"/>
        <v>2577.6800000000003</v>
      </c>
      <c r="K193" s="76"/>
      <c r="L193" s="76"/>
      <c r="M193" s="76">
        <v>2577.6800000000003</v>
      </c>
      <c r="N193" s="76"/>
      <c r="O193" s="76"/>
      <c r="P193" s="76"/>
      <c r="Q193" s="76"/>
      <c r="R193" s="76"/>
      <c r="S193" s="76"/>
      <c r="U193" s="120" t="str">
        <f t="shared" si="103"/>
        <v>DP</v>
      </c>
      <c r="X193" s="35"/>
      <c r="Y193" s="35"/>
      <c r="Z193" s="35"/>
    </row>
    <row r="194" spans="1:26" s="22" customFormat="1" outlineLevel="1" x14ac:dyDescent="0.25">
      <c r="A194" s="120">
        <f t="shared" si="101"/>
        <v>4</v>
      </c>
      <c r="B194" s="231">
        <v>43754</v>
      </c>
      <c r="C194" s="231" t="s">
        <v>678</v>
      </c>
      <c r="D194" s="231"/>
      <c r="E194" s="231"/>
      <c r="F194" s="231"/>
      <c r="G194" s="231"/>
      <c r="H194" s="76"/>
      <c r="I194" s="232"/>
      <c r="J194" s="76">
        <f t="shared" si="104"/>
        <v>2577.6800000000003</v>
      </c>
      <c r="K194" s="76"/>
      <c r="L194" s="76"/>
      <c r="M194" s="76">
        <v>2577.6800000000003</v>
      </c>
      <c r="N194" s="76"/>
      <c r="O194" s="76"/>
      <c r="P194" s="76"/>
      <c r="Q194" s="76"/>
      <c r="R194" s="76"/>
      <c r="S194" s="76"/>
      <c r="U194" s="120" t="str">
        <f t="shared" si="103"/>
        <v>ANK</v>
      </c>
      <c r="X194" s="35"/>
      <c r="Y194" s="35"/>
      <c r="Z194" s="35"/>
    </row>
    <row r="195" spans="1:26" s="22" customFormat="1" outlineLevel="1" x14ac:dyDescent="0.25">
      <c r="A195" s="120">
        <f t="shared" si="101"/>
        <v>0</v>
      </c>
      <c r="B195" s="231"/>
      <c r="C195" s="231"/>
      <c r="D195" s="231"/>
      <c r="E195" s="231"/>
      <c r="F195" s="231"/>
      <c r="G195" s="231"/>
      <c r="H195" s="76"/>
      <c r="I195" s="232"/>
      <c r="J195" s="76">
        <f t="shared" si="104"/>
        <v>0</v>
      </c>
      <c r="K195" s="76"/>
      <c r="L195" s="76"/>
      <c r="M195" s="76"/>
      <c r="N195" s="76"/>
      <c r="O195" s="76"/>
      <c r="P195" s="76"/>
      <c r="Q195" s="76"/>
      <c r="R195" s="76"/>
      <c r="S195" s="76"/>
      <c r="U195" s="120">
        <f t="shared" si="103"/>
        <v>0</v>
      </c>
      <c r="V195" s="120" t="str">
        <f t="shared" ref="V195:V197" si="108">$C195 &amp;":"&amp; $B195</f>
        <v>:</v>
      </c>
      <c r="W195" s="120" t="str">
        <f>C195 &amp;":"&amp; B195</f>
        <v>:</v>
      </c>
      <c r="X195" s="35"/>
      <c r="Y195" s="35"/>
      <c r="Z195" s="35"/>
    </row>
    <row r="196" spans="1:26" s="22" customFormat="1" outlineLevel="1" x14ac:dyDescent="0.25">
      <c r="A196" s="120">
        <f t="shared" si="101"/>
        <v>0</v>
      </c>
      <c r="B196" s="231"/>
      <c r="C196" s="231"/>
      <c r="D196" s="231"/>
      <c r="E196" s="231"/>
      <c r="F196" s="231"/>
      <c r="G196" s="231"/>
      <c r="H196" s="76"/>
      <c r="I196" s="232"/>
      <c r="J196" s="76">
        <f t="shared" si="104"/>
        <v>0</v>
      </c>
      <c r="K196" s="76"/>
      <c r="L196" s="76"/>
      <c r="M196" s="76"/>
      <c r="N196" s="76"/>
      <c r="O196" s="76"/>
      <c r="P196" s="76"/>
      <c r="Q196" s="76"/>
      <c r="R196" s="76"/>
      <c r="S196" s="76"/>
      <c r="U196" s="120">
        <f t="shared" si="103"/>
        <v>0</v>
      </c>
      <c r="X196" s="35"/>
      <c r="Y196" s="35"/>
      <c r="Z196" s="35"/>
    </row>
    <row r="197" spans="1:26" s="22" customFormat="1" outlineLevel="1" x14ac:dyDescent="0.25">
      <c r="A197" s="120">
        <f t="shared" si="101"/>
        <v>0</v>
      </c>
      <c r="B197" s="231"/>
      <c r="C197" s="231"/>
      <c r="D197" s="231"/>
      <c r="E197" s="231"/>
      <c r="F197" s="231"/>
      <c r="G197" s="231"/>
      <c r="H197" s="76"/>
      <c r="I197" s="232"/>
      <c r="J197" s="76">
        <f t="shared" si="104"/>
        <v>0</v>
      </c>
      <c r="K197" s="76"/>
      <c r="L197" s="76"/>
      <c r="M197" s="76"/>
      <c r="N197" s="76"/>
      <c r="O197" s="76"/>
      <c r="P197" s="76"/>
      <c r="Q197" s="76"/>
      <c r="R197" s="76"/>
      <c r="S197" s="76"/>
      <c r="U197" s="120">
        <f t="shared" si="103"/>
        <v>0</v>
      </c>
      <c r="V197" s="120" t="str">
        <f t="shared" si="108"/>
        <v>:</v>
      </c>
      <c r="X197" s="35"/>
      <c r="Y197" s="35"/>
      <c r="Z197" s="35"/>
    </row>
    <row r="198" spans="1:26" s="22" customFormat="1" outlineLevel="1" x14ac:dyDescent="0.25">
      <c r="A198" s="120">
        <f t="shared" si="101"/>
        <v>0</v>
      </c>
      <c r="B198" s="231"/>
      <c r="C198" s="231"/>
      <c r="D198" s="231"/>
      <c r="E198" s="231"/>
      <c r="F198" s="231"/>
      <c r="G198" s="231"/>
      <c r="H198" s="76"/>
      <c r="I198" s="232"/>
      <c r="J198" s="76">
        <f t="shared" si="104"/>
        <v>0</v>
      </c>
      <c r="K198" s="76"/>
      <c r="L198" s="76"/>
      <c r="M198" s="76"/>
      <c r="N198" s="76"/>
      <c r="O198" s="76"/>
      <c r="P198" s="76"/>
      <c r="Q198" s="76"/>
      <c r="R198" s="76"/>
      <c r="S198" s="76"/>
      <c r="U198" s="120">
        <f t="shared" si="103"/>
        <v>0</v>
      </c>
      <c r="X198" s="35"/>
      <c r="Y198" s="35"/>
      <c r="Z198" s="35"/>
    </row>
    <row r="199" spans="1:26" s="22" customFormat="1" outlineLevel="1" x14ac:dyDescent="0.25">
      <c r="A199" s="120">
        <f t="shared" si="101"/>
        <v>0</v>
      </c>
      <c r="B199" s="231"/>
      <c r="C199" s="231"/>
      <c r="D199" s="231"/>
      <c r="E199" s="231"/>
      <c r="F199" s="231"/>
      <c r="G199" s="231"/>
      <c r="H199" s="76"/>
      <c r="I199" s="232"/>
      <c r="J199" s="76">
        <f t="shared" si="104"/>
        <v>0</v>
      </c>
      <c r="K199" s="76"/>
      <c r="L199" s="76"/>
      <c r="M199" s="76"/>
      <c r="N199" s="76"/>
      <c r="O199" s="76"/>
      <c r="P199" s="76"/>
      <c r="Q199" s="76"/>
      <c r="R199" s="76"/>
      <c r="S199" s="76"/>
      <c r="U199" s="120">
        <f t="shared" si="103"/>
        <v>0</v>
      </c>
      <c r="X199" s="35"/>
      <c r="Y199" s="35"/>
      <c r="Z199" s="35"/>
    </row>
    <row r="200" spans="1:26" s="22" customFormat="1" outlineLevel="1" x14ac:dyDescent="0.25">
      <c r="A200" s="120">
        <f t="shared" si="101"/>
        <v>0</v>
      </c>
      <c r="B200" s="231"/>
      <c r="C200" s="231"/>
      <c r="D200" s="231"/>
      <c r="E200" s="231"/>
      <c r="F200" s="231"/>
      <c r="G200" s="231"/>
      <c r="H200" s="76"/>
      <c r="I200" s="232"/>
      <c r="J200" s="76">
        <f t="shared" si="104"/>
        <v>0</v>
      </c>
      <c r="K200" s="76"/>
      <c r="L200" s="76"/>
      <c r="M200" s="76"/>
      <c r="N200" s="76"/>
      <c r="O200" s="76"/>
      <c r="P200" s="76"/>
      <c r="Q200" s="76"/>
      <c r="R200" s="76"/>
      <c r="S200" s="76"/>
      <c r="U200" s="120">
        <f t="shared" si="103"/>
        <v>0</v>
      </c>
      <c r="X200" s="35"/>
      <c r="Y200" s="35"/>
      <c r="Z200" s="35"/>
    </row>
    <row r="201" spans="1:26" s="22" customFormat="1" outlineLevel="1" x14ac:dyDescent="0.25">
      <c r="A201" s="120">
        <f t="shared" si="101"/>
        <v>0</v>
      </c>
      <c r="B201" s="231"/>
      <c r="C201" s="231"/>
      <c r="D201" s="231"/>
      <c r="E201" s="231"/>
      <c r="F201" s="231"/>
      <c r="G201" s="231"/>
      <c r="H201" s="76"/>
      <c r="I201" s="232"/>
      <c r="J201" s="76">
        <f t="shared" si="104"/>
        <v>0</v>
      </c>
      <c r="K201" s="76"/>
      <c r="L201" s="76"/>
      <c r="M201" s="76"/>
      <c r="N201" s="76"/>
      <c r="O201" s="76"/>
      <c r="P201" s="76"/>
      <c r="Q201" s="76"/>
      <c r="R201" s="76"/>
      <c r="S201" s="76"/>
      <c r="U201" s="120">
        <f t="shared" si="103"/>
        <v>0</v>
      </c>
      <c r="X201" s="35"/>
      <c r="Y201" s="35"/>
      <c r="Z201" s="35"/>
    </row>
    <row r="202" spans="1:26" s="22" customFormat="1" outlineLevel="1" x14ac:dyDescent="0.25">
      <c r="A202" s="120">
        <f t="shared" si="101"/>
        <v>0</v>
      </c>
      <c r="B202" s="231"/>
      <c r="C202" s="231"/>
      <c r="D202" s="231"/>
      <c r="E202" s="231"/>
      <c r="F202" s="231"/>
      <c r="G202" s="231"/>
      <c r="H202" s="76"/>
      <c r="I202" s="232"/>
      <c r="J202" s="76">
        <f t="shared" si="104"/>
        <v>0</v>
      </c>
      <c r="K202" s="76"/>
      <c r="L202" s="76"/>
      <c r="M202" s="76"/>
      <c r="N202" s="76"/>
      <c r="O202" s="76"/>
      <c r="P202" s="76"/>
      <c r="Q202" s="76"/>
      <c r="R202" s="76"/>
      <c r="S202" s="76"/>
      <c r="U202" s="120">
        <f t="shared" si="103"/>
        <v>0</v>
      </c>
      <c r="X202" s="35"/>
      <c r="Y202" s="35"/>
      <c r="Z202" s="35"/>
    </row>
    <row r="203" spans="1:26" s="22" customFormat="1" outlineLevel="1" x14ac:dyDescent="0.25">
      <c r="A203" s="120">
        <f t="shared" si="101"/>
        <v>0</v>
      </c>
      <c r="B203" s="231"/>
      <c r="C203" s="231"/>
      <c r="D203" s="231"/>
      <c r="E203" s="231"/>
      <c r="F203" s="231"/>
      <c r="G203" s="231"/>
      <c r="H203" s="76"/>
      <c r="I203" s="232"/>
      <c r="J203" s="76">
        <f t="shared" si="104"/>
        <v>0</v>
      </c>
      <c r="K203" s="76"/>
      <c r="L203" s="76"/>
      <c r="M203" s="76"/>
      <c r="N203" s="76"/>
      <c r="O203" s="76"/>
      <c r="P203" s="76"/>
      <c r="Q203" s="76"/>
      <c r="R203" s="76"/>
      <c r="S203" s="76"/>
      <c r="U203" s="120">
        <f t="shared" si="103"/>
        <v>0</v>
      </c>
      <c r="X203" s="35"/>
      <c r="Y203" s="35"/>
      <c r="Z203" s="35"/>
    </row>
    <row r="204" spans="1:26" s="22" customFormat="1" outlineLevel="1" x14ac:dyDescent="0.25">
      <c r="A204" s="120">
        <f t="shared" si="101"/>
        <v>0</v>
      </c>
      <c r="B204" s="231"/>
      <c r="C204" s="231"/>
      <c r="D204" s="231"/>
      <c r="E204" s="231"/>
      <c r="F204" s="231"/>
      <c r="G204" s="231"/>
      <c r="H204" s="76"/>
      <c r="I204" s="232"/>
      <c r="J204" s="76">
        <f t="shared" si="104"/>
        <v>0</v>
      </c>
      <c r="K204" s="76"/>
      <c r="L204" s="76"/>
      <c r="M204" s="76"/>
      <c r="N204" s="76"/>
      <c r="O204" s="76"/>
      <c r="P204" s="76"/>
      <c r="Q204" s="76"/>
      <c r="R204" s="76"/>
      <c r="S204" s="76"/>
      <c r="U204" s="120">
        <f t="shared" si="103"/>
        <v>0</v>
      </c>
      <c r="X204" s="35"/>
      <c r="Y204" s="35"/>
      <c r="Z204" s="35"/>
    </row>
    <row r="205" spans="1:26" s="22" customFormat="1" outlineLevel="1" x14ac:dyDescent="0.25">
      <c r="A205" s="120">
        <f t="shared" si="101"/>
        <v>0</v>
      </c>
      <c r="B205" s="231"/>
      <c r="C205" s="231"/>
      <c r="D205" s="231"/>
      <c r="E205" s="231"/>
      <c r="F205" s="231"/>
      <c r="G205" s="231"/>
      <c r="H205" s="76"/>
      <c r="I205" s="232"/>
      <c r="J205" s="76">
        <f t="shared" si="104"/>
        <v>0</v>
      </c>
      <c r="K205" s="76"/>
      <c r="L205" s="76"/>
      <c r="M205" s="76"/>
      <c r="N205" s="76"/>
      <c r="O205" s="76"/>
      <c r="P205" s="76"/>
      <c r="Q205" s="76"/>
      <c r="R205" s="76"/>
      <c r="S205" s="76"/>
      <c r="U205" s="120">
        <f t="shared" si="103"/>
        <v>0</v>
      </c>
      <c r="X205" s="35"/>
      <c r="Y205" s="35"/>
      <c r="Z205" s="35"/>
    </row>
    <row r="206" spans="1:26" s="22" customFormat="1" outlineLevel="1" x14ac:dyDescent="0.25">
      <c r="A206" s="120">
        <f t="shared" si="101"/>
        <v>0</v>
      </c>
      <c r="B206" s="231"/>
      <c r="C206" s="231"/>
      <c r="D206" s="231"/>
      <c r="E206" s="231"/>
      <c r="F206" s="231"/>
      <c r="G206" s="231"/>
      <c r="H206" s="76"/>
      <c r="I206" s="232"/>
      <c r="J206" s="76">
        <f t="shared" si="104"/>
        <v>0</v>
      </c>
      <c r="K206" s="76"/>
      <c r="L206" s="76"/>
      <c r="M206" s="76"/>
      <c r="N206" s="76"/>
      <c r="O206" s="76"/>
      <c r="P206" s="76"/>
      <c r="Q206" s="76"/>
      <c r="R206" s="76"/>
      <c r="S206" s="76"/>
      <c r="U206" s="120">
        <f t="shared" si="103"/>
        <v>0</v>
      </c>
      <c r="X206" s="35"/>
      <c r="Y206" s="35"/>
      <c r="Z206" s="35"/>
    </row>
    <row r="207" spans="1:26" s="22" customFormat="1" outlineLevel="1" x14ac:dyDescent="0.25">
      <c r="A207" s="120">
        <f t="shared" si="101"/>
        <v>0</v>
      </c>
      <c r="B207" s="231"/>
      <c r="C207" s="231"/>
      <c r="D207" s="231"/>
      <c r="E207" s="231"/>
      <c r="F207" s="231"/>
      <c r="G207" s="231"/>
      <c r="H207" s="76"/>
      <c r="I207" s="232"/>
      <c r="J207" s="76">
        <f t="shared" si="104"/>
        <v>0</v>
      </c>
      <c r="K207" s="76"/>
      <c r="L207" s="76"/>
      <c r="M207" s="76"/>
      <c r="N207" s="76"/>
      <c r="O207" s="76"/>
      <c r="P207" s="76"/>
      <c r="Q207" s="76"/>
      <c r="R207" s="76"/>
      <c r="S207" s="76"/>
      <c r="U207" s="120">
        <f t="shared" si="103"/>
        <v>0</v>
      </c>
      <c r="X207" s="35"/>
      <c r="Y207" s="35"/>
      <c r="Z207" s="35"/>
    </row>
    <row r="208" spans="1:26" s="22" customFormat="1" outlineLevel="1" x14ac:dyDescent="0.25">
      <c r="A208" s="120">
        <f t="shared" si="101"/>
        <v>0</v>
      </c>
      <c r="B208" s="231"/>
      <c r="C208" s="231"/>
      <c r="D208" s="231"/>
      <c r="E208" s="231"/>
      <c r="F208" s="231"/>
      <c r="G208" s="231"/>
      <c r="H208" s="76"/>
      <c r="I208" s="232"/>
      <c r="J208" s="76">
        <f t="shared" si="104"/>
        <v>0</v>
      </c>
      <c r="K208" s="76"/>
      <c r="L208" s="76"/>
      <c r="M208" s="76"/>
      <c r="N208" s="76"/>
      <c r="O208" s="76"/>
      <c r="P208" s="76"/>
      <c r="Q208" s="76"/>
      <c r="R208" s="76"/>
      <c r="S208" s="76"/>
      <c r="U208" s="120">
        <f t="shared" si="103"/>
        <v>0</v>
      </c>
      <c r="X208" s="35"/>
      <c r="Y208" s="35"/>
      <c r="Z208" s="35"/>
    </row>
    <row r="209" spans="1:26" s="22" customFormat="1" outlineLevel="1" x14ac:dyDescent="0.25">
      <c r="A209" s="120">
        <f t="shared" si="101"/>
        <v>0</v>
      </c>
      <c r="B209" s="231"/>
      <c r="C209" s="231"/>
      <c r="D209" s="231"/>
      <c r="E209" s="231"/>
      <c r="F209" s="231"/>
      <c r="G209" s="231"/>
      <c r="H209" s="76"/>
      <c r="I209" s="232"/>
      <c r="J209" s="76">
        <f t="shared" si="104"/>
        <v>0</v>
      </c>
      <c r="K209" s="76"/>
      <c r="L209" s="76"/>
      <c r="M209" s="76"/>
      <c r="N209" s="76"/>
      <c r="O209" s="76"/>
      <c r="P209" s="76"/>
      <c r="Q209" s="76"/>
      <c r="R209" s="76"/>
      <c r="S209" s="76"/>
      <c r="U209" s="120">
        <f t="shared" si="103"/>
        <v>0</v>
      </c>
      <c r="V209" s="120" t="str">
        <f t="shared" ref="V209" si="109">$C209 &amp;":"&amp; $B209</f>
        <v>:</v>
      </c>
      <c r="X209" s="35"/>
      <c r="Y209" s="35"/>
      <c r="Z209" s="35"/>
    </row>
    <row r="210" spans="1:26" s="22" customFormat="1" outlineLevel="1" x14ac:dyDescent="0.25">
      <c r="A210" s="120">
        <f t="shared" si="101"/>
        <v>0</v>
      </c>
      <c r="B210" s="231"/>
      <c r="C210" s="231"/>
      <c r="D210" s="231"/>
      <c r="E210" s="231"/>
      <c r="F210" s="231"/>
      <c r="G210" s="231"/>
      <c r="H210" s="76"/>
      <c r="I210" s="232"/>
      <c r="J210" s="76">
        <f t="shared" si="104"/>
        <v>0</v>
      </c>
      <c r="K210" s="76"/>
      <c r="L210" s="76"/>
      <c r="M210" s="76"/>
      <c r="N210" s="76"/>
      <c r="O210" s="76"/>
      <c r="P210" s="76"/>
      <c r="Q210" s="76"/>
      <c r="R210" s="76"/>
      <c r="S210" s="76"/>
      <c r="U210" s="120">
        <f t="shared" si="103"/>
        <v>0</v>
      </c>
      <c r="X210" s="35"/>
      <c r="Y210" s="35"/>
      <c r="Z210" s="35"/>
    </row>
    <row r="211" spans="1:26" s="22" customFormat="1" outlineLevel="1" x14ac:dyDescent="0.25">
      <c r="A211" s="120">
        <f t="shared" si="101"/>
        <v>0</v>
      </c>
      <c r="B211" s="231"/>
      <c r="C211" s="231"/>
      <c r="D211" s="231"/>
      <c r="E211" s="231"/>
      <c r="F211" s="231"/>
      <c r="G211" s="231"/>
      <c r="H211" s="76"/>
      <c r="I211" s="232"/>
      <c r="J211" s="76">
        <f t="shared" si="104"/>
        <v>0</v>
      </c>
      <c r="K211" s="76"/>
      <c r="L211" s="76"/>
      <c r="M211" s="76"/>
      <c r="N211" s="76"/>
      <c r="O211" s="76"/>
      <c r="P211" s="76"/>
      <c r="Q211" s="76"/>
      <c r="R211" s="76"/>
      <c r="S211" s="76"/>
      <c r="U211" s="120">
        <f t="shared" si="103"/>
        <v>0</v>
      </c>
      <c r="V211" s="120" t="str">
        <f t="shared" ref="V211" si="110">$C211 &amp;":"&amp; $B211</f>
        <v>:</v>
      </c>
      <c r="X211" s="35"/>
      <c r="Y211" s="35"/>
      <c r="Z211" s="35"/>
    </row>
    <row r="212" spans="1:26" s="22" customFormat="1" outlineLevel="1" x14ac:dyDescent="0.25">
      <c r="A212" s="120">
        <f t="shared" si="101"/>
        <v>0</v>
      </c>
      <c r="B212" s="231"/>
      <c r="C212" s="231"/>
      <c r="D212" s="231"/>
      <c r="E212" s="231"/>
      <c r="F212" s="231"/>
      <c r="G212" s="231"/>
      <c r="H212" s="76"/>
      <c r="I212" s="232"/>
      <c r="J212" s="76">
        <f t="shared" si="104"/>
        <v>0</v>
      </c>
      <c r="K212" s="76"/>
      <c r="L212" s="76"/>
      <c r="M212" s="76"/>
      <c r="N212" s="76"/>
      <c r="O212" s="76"/>
      <c r="P212" s="76"/>
      <c r="Q212" s="76"/>
      <c r="R212" s="76"/>
      <c r="S212" s="76"/>
      <c r="U212" s="120">
        <f t="shared" si="103"/>
        <v>0</v>
      </c>
      <c r="X212" s="35"/>
      <c r="Y212" s="35"/>
      <c r="Z212" s="35"/>
    </row>
    <row r="213" spans="1:26" s="22" customFormat="1" outlineLevel="1" x14ac:dyDescent="0.25">
      <c r="A213" s="120">
        <f t="shared" si="101"/>
        <v>0</v>
      </c>
      <c r="B213" s="231"/>
      <c r="C213" s="231"/>
      <c r="D213" s="231"/>
      <c r="E213" s="231"/>
      <c r="F213" s="231"/>
      <c r="G213" s="231"/>
      <c r="H213" s="76"/>
      <c r="I213" s="232"/>
      <c r="J213" s="76">
        <f t="shared" si="104"/>
        <v>0</v>
      </c>
      <c r="K213" s="76"/>
      <c r="L213" s="76"/>
      <c r="M213" s="76"/>
      <c r="N213" s="76"/>
      <c r="O213" s="76"/>
      <c r="P213" s="76"/>
      <c r="Q213" s="76"/>
      <c r="R213" s="76"/>
      <c r="S213" s="76"/>
      <c r="U213" s="120">
        <f t="shared" si="103"/>
        <v>0</v>
      </c>
      <c r="V213" s="120" t="str">
        <f t="shared" ref="V213:V215" si="111">$C213 &amp;":"&amp; $B213</f>
        <v>:</v>
      </c>
      <c r="X213" s="35"/>
      <c r="Y213" s="35"/>
      <c r="Z213" s="35"/>
    </row>
    <row r="214" spans="1:26" s="22" customFormat="1" outlineLevel="1" x14ac:dyDescent="0.25">
      <c r="A214" s="120">
        <f t="shared" si="101"/>
        <v>0</v>
      </c>
      <c r="B214" s="231"/>
      <c r="C214" s="231"/>
      <c r="D214" s="231"/>
      <c r="E214" s="231"/>
      <c r="F214" s="231"/>
      <c r="G214" s="231"/>
      <c r="H214" s="76"/>
      <c r="I214" s="232"/>
      <c r="J214" s="76">
        <f t="shared" si="104"/>
        <v>0</v>
      </c>
      <c r="K214" s="76"/>
      <c r="L214" s="76"/>
      <c r="M214" s="76"/>
      <c r="N214" s="76"/>
      <c r="O214" s="76"/>
      <c r="P214" s="76"/>
      <c r="Q214" s="76"/>
      <c r="R214" s="76"/>
      <c r="S214" s="76"/>
      <c r="U214" s="120">
        <f t="shared" si="103"/>
        <v>0</v>
      </c>
      <c r="X214" s="35"/>
      <c r="Y214" s="35"/>
      <c r="Z214" s="35"/>
    </row>
    <row r="215" spans="1:26" s="22" customFormat="1" outlineLevel="1" x14ac:dyDescent="0.25">
      <c r="A215" s="120">
        <f t="shared" si="101"/>
        <v>0</v>
      </c>
      <c r="B215" s="231"/>
      <c r="C215" s="231"/>
      <c r="D215" s="231"/>
      <c r="E215" s="231"/>
      <c r="F215" s="231"/>
      <c r="G215" s="231"/>
      <c r="H215" s="76"/>
      <c r="I215" s="232"/>
      <c r="J215" s="76">
        <f t="shared" si="104"/>
        <v>0</v>
      </c>
      <c r="K215" s="76"/>
      <c r="L215" s="76"/>
      <c r="M215" s="76"/>
      <c r="N215" s="76"/>
      <c r="O215" s="76"/>
      <c r="P215" s="76"/>
      <c r="Q215" s="76"/>
      <c r="R215" s="76"/>
      <c r="S215" s="76"/>
      <c r="U215" s="120">
        <f t="shared" si="103"/>
        <v>0</v>
      </c>
      <c r="V215" s="120" t="str">
        <f t="shared" si="111"/>
        <v>:</v>
      </c>
      <c r="X215" s="35"/>
      <c r="Y215" s="35"/>
      <c r="Z215" s="35"/>
    </row>
    <row r="216" spans="1:26" s="22" customFormat="1" outlineLevel="1" x14ac:dyDescent="0.25">
      <c r="A216" s="120">
        <f t="shared" ref="A216:A260" si="112">GETPAYMONTH(B216)</f>
        <v>0</v>
      </c>
      <c r="B216" s="231"/>
      <c r="C216" s="231"/>
      <c r="D216" s="231"/>
      <c r="E216" s="231"/>
      <c r="F216" s="231"/>
      <c r="G216" s="231"/>
      <c r="H216" s="76"/>
      <c r="I216" s="232"/>
      <c r="J216" s="76">
        <f t="shared" ref="J216:J247" si="113">SUM(K216:S216)</f>
        <v>0</v>
      </c>
      <c r="K216" s="76"/>
      <c r="L216" s="76"/>
      <c r="M216" s="76"/>
      <c r="N216" s="76"/>
      <c r="O216" s="76"/>
      <c r="P216" s="76"/>
      <c r="Q216" s="76"/>
      <c r="R216" s="76"/>
      <c r="S216" s="76"/>
      <c r="U216" s="120">
        <f t="shared" ref="U216:U261" si="114">$C216</f>
        <v>0</v>
      </c>
      <c r="X216" s="35"/>
      <c r="Y216" s="35"/>
      <c r="Z216" s="35"/>
    </row>
    <row r="217" spans="1:26" s="22" customFormat="1" outlineLevel="1" x14ac:dyDescent="0.25">
      <c r="A217" s="120">
        <f t="shared" si="112"/>
        <v>0</v>
      </c>
      <c r="B217" s="231"/>
      <c r="C217" s="231"/>
      <c r="D217" s="231"/>
      <c r="E217" s="231"/>
      <c r="F217" s="231"/>
      <c r="G217" s="231"/>
      <c r="H217" s="76"/>
      <c r="I217" s="232"/>
      <c r="J217" s="76">
        <f t="shared" si="113"/>
        <v>0</v>
      </c>
      <c r="K217" s="76"/>
      <c r="L217" s="76"/>
      <c r="M217" s="76"/>
      <c r="N217" s="76"/>
      <c r="O217" s="76"/>
      <c r="P217" s="76"/>
      <c r="Q217" s="76"/>
      <c r="R217" s="76"/>
      <c r="S217" s="76"/>
      <c r="U217" s="120">
        <f t="shared" si="114"/>
        <v>0</v>
      </c>
      <c r="X217" s="35"/>
      <c r="Y217" s="35"/>
      <c r="Z217" s="35"/>
    </row>
    <row r="218" spans="1:26" s="22" customFormat="1" outlineLevel="1" x14ac:dyDescent="0.25">
      <c r="A218" s="120">
        <f t="shared" si="112"/>
        <v>0</v>
      </c>
      <c r="B218" s="231"/>
      <c r="C218" s="231"/>
      <c r="D218" s="231"/>
      <c r="E218" s="231"/>
      <c r="F218" s="231"/>
      <c r="G218" s="231"/>
      <c r="H218" s="76"/>
      <c r="I218" s="232"/>
      <c r="J218" s="76">
        <f t="shared" si="113"/>
        <v>0</v>
      </c>
      <c r="K218" s="76"/>
      <c r="L218" s="76"/>
      <c r="M218" s="76"/>
      <c r="N218" s="76"/>
      <c r="O218" s="76"/>
      <c r="P218" s="76"/>
      <c r="Q218" s="76"/>
      <c r="R218" s="76"/>
      <c r="S218" s="76"/>
      <c r="U218" s="120">
        <f t="shared" si="114"/>
        <v>0</v>
      </c>
      <c r="X218" s="35"/>
      <c r="Y218" s="35"/>
      <c r="Z218" s="35"/>
    </row>
    <row r="219" spans="1:26" s="22" customFormat="1" outlineLevel="1" x14ac:dyDescent="0.25">
      <c r="A219" s="120">
        <f t="shared" si="112"/>
        <v>0</v>
      </c>
      <c r="B219" s="231"/>
      <c r="C219" s="231"/>
      <c r="D219" s="231"/>
      <c r="E219" s="231"/>
      <c r="F219" s="231"/>
      <c r="G219" s="231"/>
      <c r="H219" s="76"/>
      <c r="I219" s="232"/>
      <c r="J219" s="76">
        <f t="shared" si="113"/>
        <v>0</v>
      </c>
      <c r="K219" s="76"/>
      <c r="L219" s="76"/>
      <c r="M219" s="76"/>
      <c r="N219" s="76"/>
      <c r="O219" s="76"/>
      <c r="P219" s="76"/>
      <c r="Q219" s="76"/>
      <c r="R219" s="76"/>
      <c r="S219" s="76"/>
      <c r="U219" s="120">
        <f t="shared" si="114"/>
        <v>0</v>
      </c>
      <c r="X219" s="35"/>
      <c r="Y219" s="35"/>
      <c r="Z219" s="35"/>
    </row>
    <row r="220" spans="1:26" s="22" customFormat="1" outlineLevel="1" x14ac:dyDescent="0.25">
      <c r="A220" s="120">
        <f t="shared" si="112"/>
        <v>0</v>
      </c>
      <c r="B220" s="231"/>
      <c r="C220" s="231"/>
      <c r="D220" s="231"/>
      <c r="E220" s="231"/>
      <c r="F220" s="231"/>
      <c r="G220" s="231"/>
      <c r="H220" s="76"/>
      <c r="I220" s="232"/>
      <c r="J220" s="76">
        <f t="shared" si="113"/>
        <v>0</v>
      </c>
      <c r="K220" s="76"/>
      <c r="L220" s="76"/>
      <c r="M220" s="76"/>
      <c r="N220" s="76"/>
      <c r="O220" s="76"/>
      <c r="P220" s="76"/>
      <c r="Q220" s="76"/>
      <c r="R220" s="76"/>
      <c r="S220" s="76"/>
      <c r="U220" s="120">
        <f t="shared" si="114"/>
        <v>0</v>
      </c>
      <c r="X220" s="35"/>
      <c r="Y220" s="35"/>
      <c r="Z220" s="35"/>
    </row>
    <row r="221" spans="1:26" s="22" customFormat="1" outlineLevel="1" x14ac:dyDescent="0.25">
      <c r="A221" s="120">
        <f t="shared" si="112"/>
        <v>0</v>
      </c>
      <c r="B221" s="231"/>
      <c r="C221" s="231"/>
      <c r="D221" s="231"/>
      <c r="E221" s="231"/>
      <c r="F221" s="231"/>
      <c r="G221" s="231"/>
      <c r="H221" s="76"/>
      <c r="I221" s="232"/>
      <c r="J221" s="76">
        <f t="shared" si="113"/>
        <v>0</v>
      </c>
      <c r="K221" s="76"/>
      <c r="L221" s="76"/>
      <c r="M221" s="76"/>
      <c r="N221" s="76"/>
      <c r="O221" s="76"/>
      <c r="P221" s="76"/>
      <c r="Q221" s="76"/>
      <c r="R221" s="76"/>
      <c r="S221" s="76"/>
      <c r="U221" s="120">
        <f t="shared" si="114"/>
        <v>0</v>
      </c>
      <c r="X221" s="35"/>
      <c r="Y221" s="35"/>
      <c r="Z221" s="35"/>
    </row>
    <row r="222" spans="1:26" s="22" customFormat="1" outlineLevel="1" x14ac:dyDescent="0.25">
      <c r="A222" s="120">
        <f t="shared" si="112"/>
        <v>0</v>
      </c>
      <c r="B222" s="231"/>
      <c r="C222" s="231"/>
      <c r="D222" s="231"/>
      <c r="E222" s="231"/>
      <c r="F222" s="231"/>
      <c r="G222" s="231"/>
      <c r="H222" s="76"/>
      <c r="I222" s="232"/>
      <c r="J222" s="76">
        <f t="shared" si="113"/>
        <v>0</v>
      </c>
      <c r="K222" s="76"/>
      <c r="L222" s="76"/>
      <c r="M222" s="76"/>
      <c r="N222" s="76"/>
      <c r="O222" s="76"/>
      <c r="P222" s="76"/>
      <c r="Q222" s="76"/>
      <c r="R222" s="76"/>
      <c r="S222" s="76"/>
      <c r="U222" s="120">
        <f t="shared" si="114"/>
        <v>0</v>
      </c>
      <c r="V222" s="120" t="str">
        <f t="shared" ref="V222" si="115">$C222 &amp;":"&amp; $B222</f>
        <v>:</v>
      </c>
      <c r="X222" s="35"/>
      <c r="Y222" s="35"/>
      <c r="Z222" s="35"/>
    </row>
    <row r="223" spans="1:26" s="22" customFormat="1" outlineLevel="1" x14ac:dyDescent="0.25">
      <c r="A223" s="120">
        <f t="shared" si="112"/>
        <v>0</v>
      </c>
      <c r="B223" s="231"/>
      <c r="C223" s="231"/>
      <c r="D223" s="231"/>
      <c r="E223" s="231"/>
      <c r="F223" s="231"/>
      <c r="G223" s="231"/>
      <c r="H223" s="76"/>
      <c r="I223" s="232"/>
      <c r="J223" s="76">
        <f t="shared" si="113"/>
        <v>0</v>
      </c>
      <c r="K223" s="76"/>
      <c r="L223" s="76"/>
      <c r="M223" s="76"/>
      <c r="N223" s="76"/>
      <c r="O223" s="76"/>
      <c r="P223" s="76"/>
      <c r="Q223" s="76"/>
      <c r="R223" s="76"/>
      <c r="S223" s="76"/>
      <c r="U223" s="120">
        <f t="shared" si="114"/>
        <v>0</v>
      </c>
      <c r="X223" s="35"/>
      <c r="Y223" s="35"/>
      <c r="Z223" s="35"/>
    </row>
    <row r="224" spans="1:26" s="22" customFormat="1" outlineLevel="1" x14ac:dyDescent="0.25">
      <c r="A224" s="120">
        <f t="shared" si="112"/>
        <v>0</v>
      </c>
      <c r="B224" s="231"/>
      <c r="C224" s="231"/>
      <c r="D224" s="231"/>
      <c r="E224" s="231"/>
      <c r="F224" s="231"/>
      <c r="G224" s="231"/>
      <c r="H224" s="76"/>
      <c r="I224" s="232"/>
      <c r="J224" s="76">
        <f t="shared" si="113"/>
        <v>0</v>
      </c>
      <c r="K224" s="76"/>
      <c r="L224" s="76"/>
      <c r="M224" s="76"/>
      <c r="N224" s="76"/>
      <c r="O224" s="76"/>
      <c r="P224" s="76"/>
      <c r="Q224" s="76"/>
      <c r="R224" s="76"/>
      <c r="S224" s="76"/>
      <c r="U224" s="120">
        <f t="shared" si="114"/>
        <v>0</v>
      </c>
      <c r="V224" s="120" t="str">
        <f t="shared" ref="V224" si="116">$C224 &amp;":"&amp; $B224</f>
        <v>:</v>
      </c>
      <c r="X224" s="35"/>
      <c r="Y224" s="35"/>
      <c r="Z224" s="35"/>
    </row>
    <row r="225" spans="1:26" s="22" customFormat="1" outlineLevel="1" x14ac:dyDescent="0.25">
      <c r="A225" s="120">
        <f t="shared" si="112"/>
        <v>0</v>
      </c>
      <c r="B225" s="231"/>
      <c r="C225" s="231"/>
      <c r="D225" s="231"/>
      <c r="E225" s="231"/>
      <c r="F225" s="231"/>
      <c r="G225" s="231"/>
      <c r="H225" s="76"/>
      <c r="I225" s="232"/>
      <c r="J225" s="76">
        <f t="shared" si="113"/>
        <v>0</v>
      </c>
      <c r="K225" s="76"/>
      <c r="L225" s="76"/>
      <c r="M225" s="76"/>
      <c r="N225" s="76"/>
      <c r="O225" s="76"/>
      <c r="P225" s="76"/>
      <c r="Q225" s="76"/>
      <c r="R225" s="76"/>
      <c r="S225" s="76"/>
      <c r="U225" s="120">
        <f t="shared" si="114"/>
        <v>0</v>
      </c>
      <c r="X225" s="35"/>
      <c r="Y225" s="35"/>
      <c r="Z225" s="35"/>
    </row>
    <row r="226" spans="1:26" s="22" customFormat="1" outlineLevel="1" x14ac:dyDescent="0.25">
      <c r="A226" s="120">
        <f t="shared" si="112"/>
        <v>0</v>
      </c>
      <c r="B226" s="231"/>
      <c r="C226" s="231"/>
      <c r="D226" s="231"/>
      <c r="E226" s="231"/>
      <c r="F226" s="231"/>
      <c r="G226" s="231"/>
      <c r="H226" s="76"/>
      <c r="I226" s="232"/>
      <c r="J226" s="76">
        <f t="shared" si="113"/>
        <v>0</v>
      </c>
      <c r="K226" s="76"/>
      <c r="L226" s="76"/>
      <c r="M226" s="76"/>
      <c r="N226" s="76"/>
      <c r="O226" s="76"/>
      <c r="P226" s="76"/>
      <c r="Q226" s="76"/>
      <c r="R226" s="76"/>
      <c r="S226" s="76"/>
      <c r="U226" s="120">
        <f t="shared" si="114"/>
        <v>0</v>
      </c>
      <c r="X226" s="35"/>
      <c r="Y226" s="35"/>
      <c r="Z226" s="35"/>
    </row>
    <row r="227" spans="1:26" s="22" customFormat="1" outlineLevel="1" x14ac:dyDescent="0.25">
      <c r="A227" s="120">
        <f t="shared" si="112"/>
        <v>0</v>
      </c>
      <c r="B227" s="231"/>
      <c r="C227" s="231"/>
      <c r="D227" s="231"/>
      <c r="E227" s="231"/>
      <c r="F227" s="231"/>
      <c r="G227" s="231"/>
      <c r="H227" s="76"/>
      <c r="I227" s="232"/>
      <c r="J227" s="76">
        <f t="shared" si="113"/>
        <v>0</v>
      </c>
      <c r="K227" s="76"/>
      <c r="L227" s="76"/>
      <c r="M227" s="76"/>
      <c r="N227" s="76"/>
      <c r="O227" s="76"/>
      <c r="P227" s="76"/>
      <c r="Q227" s="76"/>
      <c r="R227" s="76"/>
      <c r="S227" s="76"/>
      <c r="U227" s="120">
        <f t="shared" si="114"/>
        <v>0</v>
      </c>
      <c r="X227" s="35"/>
      <c r="Y227" s="35"/>
      <c r="Z227" s="35"/>
    </row>
    <row r="228" spans="1:26" s="22" customFormat="1" outlineLevel="1" x14ac:dyDescent="0.25">
      <c r="A228" s="120">
        <f t="shared" si="112"/>
        <v>0</v>
      </c>
      <c r="B228" s="231"/>
      <c r="C228" s="231"/>
      <c r="D228" s="231"/>
      <c r="E228" s="231"/>
      <c r="F228" s="231"/>
      <c r="G228" s="231"/>
      <c r="H228" s="76"/>
      <c r="I228" s="232"/>
      <c r="J228" s="76">
        <f t="shared" si="113"/>
        <v>0</v>
      </c>
      <c r="K228" s="76"/>
      <c r="L228" s="76"/>
      <c r="M228" s="76"/>
      <c r="N228" s="76"/>
      <c r="O228" s="76"/>
      <c r="P228" s="76"/>
      <c r="Q228" s="76"/>
      <c r="R228" s="76"/>
      <c r="S228" s="76"/>
      <c r="U228" s="120">
        <f t="shared" si="114"/>
        <v>0</v>
      </c>
      <c r="X228" s="35"/>
      <c r="Y228" s="35"/>
      <c r="Z228" s="35"/>
    </row>
    <row r="229" spans="1:26" s="22" customFormat="1" outlineLevel="1" x14ac:dyDescent="0.25">
      <c r="A229" s="120">
        <f t="shared" si="112"/>
        <v>0</v>
      </c>
      <c r="B229" s="231"/>
      <c r="C229" s="231"/>
      <c r="D229" s="231"/>
      <c r="E229" s="231"/>
      <c r="F229" s="231"/>
      <c r="G229" s="231"/>
      <c r="H229" s="76"/>
      <c r="I229" s="232"/>
      <c r="J229" s="76">
        <f t="shared" si="113"/>
        <v>0</v>
      </c>
      <c r="K229" s="76"/>
      <c r="L229" s="76"/>
      <c r="M229" s="76"/>
      <c r="N229" s="76"/>
      <c r="O229" s="76"/>
      <c r="P229" s="76"/>
      <c r="Q229" s="76"/>
      <c r="R229" s="76"/>
      <c r="S229" s="76"/>
      <c r="U229" s="120">
        <f t="shared" si="114"/>
        <v>0</v>
      </c>
      <c r="X229" s="35"/>
      <c r="Y229" s="35"/>
      <c r="Z229" s="35"/>
    </row>
    <row r="230" spans="1:26" s="22" customFormat="1" outlineLevel="1" x14ac:dyDescent="0.25">
      <c r="A230" s="120">
        <f t="shared" si="112"/>
        <v>0</v>
      </c>
      <c r="B230" s="231"/>
      <c r="C230" s="231"/>
      <c r="D230" s="231"/>
      <c r="E230" s="231"/>
      <c r="F230" s="231"/>
      <c r="G230" s="231"/>
      <c r="H230" s="76"/>
      <c r="I230" s="232"/>
      <c r="J230" s="76">
        <f t="shared" si="113"/>
        <v>0</v>
      </c>
      <c r="K230" s="76"/>
      <c r="L230" s="76"/>
      <c r="M230" s="76"/>
      <c r="N230" s="76"/>
      <c r="O230" s="76"/>
      <c r="P230" s="76"/>
      <c r="Q230" s="76"/>
      <c r="R230" s="76"/>
      <c r="S230" s="76"/>
      <c r="U230" s="120">
        <f t="shared" si="114"/>
        <v>0</v>
      </c>
      <c r="X230" s="35"/>
      <c r="Y230" s="35"/>
      <c r="Z230" s="35"/>
    </row>
    <row r="231" spans="1:26" s="22" customFormat="1" outlineLevel="1" x14ac:dyDescent="0.25">
      <c r="A231" s="120">
        <f t="shared" si="112"/>
        <v>0</v>
      </c>
      <c r="B231" s="231"/>
      <c r="C231" s="231"/>
      <c r="D231" s="231"/>
      <c r="E231" s="231"/>
      <c r="F231" s="231"/>
      <c r="G231" s="231"/>
      <c r="H231" s="76"/>
      <c r="I231" s="232"/>
      <c r="J231" s="76">
        <f t="shared" si="113"/>
        <v>0</v>
      </c>
      <c r="K231" s="76"/>
      <c r="L231" s="76"/>
      <c r="M231" s="76"/>
      <c r="N231" s="76"/>
      <c r="O231" s="76"/>
      <c r="P231" s="76"/>
      <c r="Q231" s="76"/>
      <c r="R231" s="76"/>
      <c r="S231" s="76"/>
      <c r="U231" s="120">
        <f t="shared" si="114"/>
        <v>0</v>
      </c>
      <c r="V231" s="120" t="str">
        <f t="shared" ref="V231" si="117">$C231 &amp;":"&amp; $B231</f>
        <v>:</v>
      </c>
      <c r="X231" s="35"/>
      <c r="Y231" s="35"/>
      <c r="Z231" s="35"/>
    </row>
    <row r="232" spans="1:26" s="22" customFormat="1" outlineLevel="1" x14ac:dyDescent="0.25">
      <c r="A232" s="120">
        <f t="shared" si="112"/>
        <v>0</v>
      </c>
      <c r="B232" s="231"/>
      <c r="C232" s="231"/>
      <c r="D232" s="231"/>
      <c r="E232" s="231"/>
      <c r="F232" s="231"/>
      <c r="G232" s="231"/>
      <c r="H232" s="76"/>
      <c r="I232" s="232"/>
      <c r="J232" s="76">
        <f t="shared" si="113"/>
        <v>0</v>
      </c>
      <c r="K232" s="76"/>
      <c r="L232" s="76"/>
      <c r="M232" s="76"/>
      <c r="N232" s="76"/>
      <c r="O232" s="76"/>
      <c r="P232" s="76"/>
      <c r="Q232" s="76"/>
      <c r="R232" s="76"/>
      <c r="S232" s="76"/>
      <c r="U232" s="120">
        <f t="shared" si="114"/>
        <v>0</v>
      </c>
      <c r="X232" s="35"/>
      <c r="Y232" s="35"/>
      <c r="Z232" s="35"/>
    </row>
    <row r="233" spans="1:26" s="22" customFormat="1" outlineLevel="1" x14ac:dyDescent="0.25">
      <c r="A233" s="120">
        <f t="shared" si="112"/>
        <v>0</v>
      </c>
      <c r="B233" s="231"/>
      <c r="C233" s="231"/>
      <c r="D233" s="231"/>
      <c r="E233" s="231"/>
      <c r="F233" s="231"/>
      <c r="G233" s="231"/>
      <c r="H233" s="76"/>
      <c r="I233" s="232"/>
      <c r="J233" s="76">
        <f t="shared" si="113"/>
        <v>0</v>
      </c>
      <c r="K233" s="76"/>
      <c r="L233" s="76"/>
      <c r="M233" s="76"/>
      <c r="N233" s="76"/>
      <c r="O233" s="76"/>
      <c r="P233" s="76"/>
      <c r="Q233" s="76"/>
      <c r="R233" s="76"/>
      <c r="S233" s="76"/>
      <c r="U233" s="120">
        <f t="shared" si="114"/>
        <v>0</v>
      </c>
      <c r="X233" s="35"/>
      <c r="Y233" s="35"/>
      <c r="Z233" s="35"/>
    </row>
    <row r="234" spans="1:26" s="22" customFormat="1" outlineLevel="1" x14ac:dyDescent="0.25">
      <c r="A234" s="120">
        <f t="shared" si="112"/>
        <v>0</v>
      </c>
      <c r="B234" s="231"/>
      <c r="C234" s="231"/>
      <c r="D234" s="231"/>
      <c r="E234" s="231"/>
      <c r="F234" s="231"/>
      <c r="G234" s="231"/>
      <c r="H234" s="76"/>
      <c r="I234" s="232"/>
      <c r="J234" s="76">
        <f t="shared" si="113"/>
        <v>0</v>
      </c>
      <c r="K234" s="76"/>
      <c r="L234" s="76"/>
      <c r="M234" s="76"/>
      <c r="N234" s="76"/>
      <c r="O234" s="76"/>
      <c r="P234" s="76"/>
      <c r="Q234" s="76"/>
      <c r="R234" s="76"/>
      <c r="S234" s="232"/>
      <c r="U234" s="120">
        <f t="shared" si="114"/>
        <v>0</v>
      </c>
      <c r="X234" s="35"/>
      <c r="Y234" s="35"/>
      <c r="Z234" s="35"/>
    </row>
    <row r="235" spans="1:26" s="22" customFormat="1" outlineLevel="1" x14ac:dyDescent="0.25">
      <c r="A235" s="120">
        <f t="shared" si="112"/>
        <v>0</v>
      </c>
      <c r="B235" s="231"/>
      <c r="C235" s="231"/>
      <c r="D235" s="231"/>
      <c r="E235" s="231"/>
      <c r="F235" s="231"/>
      <c r="G235" s="231"/>
      <c r="H235" s="76"/>
      <c r="I235" s="232"/>
      <c r="J235" s="76">
        <f t="shared" si="113"/>
        <v>0</v>
      </c>
      <c r="K235" s="76"/>
      <c r="L235" s="76"/>
      <c r="M235" s="76"/>
      <c r="N235" s="76"/>
      <c r="O235" s="76"/>
      <c r="P235" s="76"/>
      <c r="Q235" s="76"/>
      <c r="R235" s="76"/>
      <c r="S235" s="76"/>
      <c r="U235" s="120">
        <f t="shared" si="114"/>
        <v>0</v>
      </c>
      <c r="X235" s="35"/>
      <c r="Y235" s="35"/>
      <c r="Z235" s="35"/>
    </row>
    <row r="236" spans="1:26" s="22" customFormat="1" outlineLevel="1" x14ac:dyDescent="0.25">
      <c r="A236" s="120">
        <f t="shared" si="112"/>
        <v>0</v>
      </c>
      <c r="B236" s="231"/>
      <c r="C236" s="231"/>
      <c r="D236" s="231"/>
      <c r="E236" s="231"/>
      <c r="F236" s="231"/>
      <c r="G236" s="231"/>
      <c r="H236" s="76"/>
      <c r="I236" s="232"/>
      <c r="J236" s="76">
        <f t="shared" si="113"/>
        <v>0</v>
      </c>
      <c r="K236" s="76"/>
      <c r="L236" s="76"/>
      <c r="M236" s="76"/>
      <c r="N236" s="76"/>
      <c r="O236" s="76"/>
      <c r="P236" s="76"/>
      <c r="Q236" s="76"/>
      <c r="R236" s="76"/>
      <c r="S236" s="76"/>
      <c r="U236" s="120">
        <f t="shared" si="114"/>
        <v>0</v>
      </c>
      <c r="X236" s="35"/>
      <c r="Y236" s="35"/>
      <c r="Z236" s="35"/>
    </row>
    <row r="237" spans="1:26" s="22" customFormat="1" outlineLevel="1" x14ac:dyDescent="0.25">
      <c r="A237" s="120">
        <f t="shared" si="112"/>
        <v>0</v>
      </c>
      <c r="B237" s="231"/>
      <c r="C237" s="231"/>
      <c r="D237" s="231"/>
      <c r="E237" s="231"/>
      <c r="F237" s="231"/>
      <c r="G237" s="231"/>
      <c r="H237" s="76"/>
      <c r="I237" s="232"/>
      <c r="J237" s="76">
        <f t="shared" si="113"/>
        <v>0</v>
      </c>
      <c r="K237" s="76"/>
      <c r="L237" s="76"/>
      <c r="M237" s="76"/>
      <c r="N237" s="76"/>
      <c r="O237" s="76"/>
      <c r="P237" s="76"/>
      <c r="Q237" s="76"/>
      <c r="R237" s="76"/>
      <c r="S237" s="76"/>
      <c r="U237" s="120">
        <f t="shared" si="114"/>
        <v>0</v>
      </c>
      <c r="X237" s="35"/>
      <c r="Y237" s="35"/>
      <c r="Z237" s="35"/>
    </row>
    <row r="238" spans="1:26" s="22" customFormat="1" outlineLevel="1" x14ac:dyDescent="0.25">
      <c r="A238" s="120">
        <f t="shared" si="112"/>
        <v>0</v>
      </c>
      <c r="B238" s="231"/>
      <c r="C238" s="231"/>
      <c r="D238" s="231"/>
      <c r="E238" s="231"/>
      <c r="F238" s="231"/>
      <c r="G238" s="231"/>
      <c r="H238" s="76"/>
      <c r="I238" s="232"/>
      <c r="J238" s="76">
        <f t="shared" si="113"/>
        <v>0</v>
      </c>
      <c r="K238" s="76"/>
      <c r="L238" s="76"/>
      <c r="M238" s="76"/>
      <c r="N238" s="76"/>
      <c r="O238" s="76"/>
      <c r="P238" s="76"/>
      <c r="Q238" s="76"/>
      <c r="R238" s="76"/>
      <c r="S238" s="76"/>
      <c r="U238" s="120">
        <f t="shared" si="114"/>
        <v>0</v>
      </c>
      <c r="X238" s="35"/>
      <c r="Y238" s="35"/>
      <c r="Z238" s="35"/>
    </row>
    <row r="239" spans="1:26" s="22" customFormat="1" outlineLevel="1" x14ac:dyDescent="0.25">
      <c r="A239" s="120">
        <f t="shared" si="112"/>
        <v>0</v>
      </c>
      <c r="B239" s="231"/>
      <c r="C239" s="231"/>
      <c r="D239" s="231"/>
      <c r="E239" s="231"/>
      <c r="F239" s="231"/>
      <c r="G239" s="231"/>
      <c r="H239" s="76"/>
      <c r="I239" s="232"/>
      <c r="J239" s="76">
        <f t="shared" si="113"/>
        <v>0</v>
      </c>
      <c r="K239" s="76"/>
      <c r="L239" s="76"/>
      <c r="M239" s="76"/>
      <c r="N239" s="76"/>
      <c r="O239" s="76"/>
      <c r="P239" s="76"/>
      <c r="Q239" s="76"/>
      <c r="R239" s="76"/>
      <c r="S239" s="76"/>
      <c r="U239" s="120">
        <f t="shared" si="114"/>
        <v>0</v>
      </c>
      <c r="X239" s="35"/>
      <c r="Y239" s="35"/>
      <c r="Z239" s="35"/>
    </row>
    <row r="240" spans="1:26" s="22" customFormat="1" outlineLevel="1" x14ac:dyDescent="0.25">
      <c r="A240" s="120">
        <f t="shared" si="112"/>
        <v>0</v>
      </c>
      <c r="B240" s="231"/>
      <c r="C240" s="231"/>
      <c r="D240" s="231"/>
      <c r="E240" s="231"/>
      <c r="F240" s="231"/>
      <c r="G240" s="231"/>
      <c r="H240" s="76"/>
      <c r="I240" s="232"/>
      <c r="J240" s="76">
        <f t="shared" si="113"/>
        <v>0</v>
      </c>
      <c r="K240" s="76"/>
      <c r="L240" s="76"/>
      <c r="M240" s="76"/>
      <c r="N240" s="76"/>
      <c r="O240" s="76"/>
      <c r="P240" s="76"/>
      <c r="Q240" s="76"/>
      <c r="R240" s="76"/>
      <c r="S240" s="76"/>
      <c r="U240" s="120">
        <f t="shared" si="114"/>
        <v>0</v>
      </c>
      <c r="X240" s="35"/>
      <c r="Y240" s="35"/>
      <c r="Z240" s="35"/>
    </row>
    <row r="241" spans="1:26" s="22" customFormat="1" outlineLevel="1" x14ac:dyDescent="0.25">
      <c r="A241" s="120">
        <f t="shared" si="112"/>
        <v>0</v>
      </c>
      <c r="B241" s="231"/>
      <c r="C241" s="231"/>
      <c r="D241" s="231"/>
      <c r="E241" s="231"/>
      <c r="F241" s="231"/>
      <c r="G241" s="231"/>
      <c r="H241" s="76"/>
      <c r="I241" s="232"/>
      <c r="J241" s="76">
        <f t="shared" si="113"/>
        <v>0</v>
      </c>
      <c r="K241" s="76"/>
      <c r="L241" s="76"/>
      <c r="M241" s="76"/>
      <c r="N241" s="76"/>
      <c r="O241" s="76"/>
      <c r="P241" s="76"/>
      <c r="Q241" s="76"/>
      <c r="R241" s="76"/>
      <c r="S241" s="76"/>
      <c r="U241" s="120">
        <f t="shared" si="114"/>
        <v>0</v>
      </c>
      <c r="X241" s="35"/>
      <c r="Y241" s="35"/>
      <c r="Z241" s="35"/>
    </row>
    <row r="242" spans="1:26" s="22" customFormat="1" outlineLevel="1" x14ac:dyDescent="0.25">
      <c r="A242" s="120">
        <f t="shared" si="112"/>
        <v>0</v>
      </c>
      <c r="B242" s="231"/>
      <c r="C242" s="231"/>
      <c r="D242" s="231"/>
      <c r="E242" s="231"/>
      <c r="F242" s="231"/>
      <c r="G242" s="231"/>
      <c r="H242" s="76"/>
      <c r="I242" s="232"/>
      <c r="J242" s="76">
        <f t="shared" si="113"/>
        <v>0</v>
      </c>
      <c r="K242" s="76"/>
      <c r="L242" s="76"/>
      <c r="M242" s="76"/>
      <c r="N242" s="76"/>
      <c r="O242" s="76"/>
      <c r="P242" s="76"/>
      <c r="Q242" s="76"/>
      <c r="R242" s="76"/>
      <c r="S242" s="76"/>
      <c r="U242" s="120">
        <f t="shared" si="114"/>
        <v>0</v>
      </c>
      <c r="X242" s="35"/>
      <c r="Y242" s="35"/>
      <c r="Z242" s="35"/>
    </row>
    <row r="243" spans="1:26" s="22" customFormat="1" outlineLevel="1" x14ac:dyDescent="0.25">
      <c r="A243" s="120">
        <f t="shared" si="112"/>
        <v>0</v>
      </c>
      <c r="B243" s="231"/>
      <c r="C243" s="231"/>
      <c r="D243" s="231"/>
      <c r="E243" s="231"/>
      <c r="F243" s="231"/>
      <c r="G243" s="231"/>
      <c r="H243" s="76"/>
      <c r="I243" s="232"/>
      <c r="J243" s="76">
        <f t="shared" si="113"/>
        <v>0</v>
      </c>
      <c r="K243" s="76"/>
      <c r="L243" s="76"/>
      <c r="M243" s="76"/>
      <c r="N243" s="76"/>
      <c r="O243" s="76"/>
      <c r="P243" s="76"/>
      <c r="Q243" s="76"/>
      <c r="R243" s="76"/>
      <c r="S243" s="76"/>
      <c r="U243" s="120">
        <f t="shared" si="114"/>
        <v>0</v>
      </c>
      <c r="X243" s="35"/>
      <c r="Y243" s="35"/>
      <c r="Z243" s="35"/>
    </row>
    <row r="244" spans="1:26" s="22" customFormat="1" outlineLevel="1" x14ac:dyDescent="0.25">
      <c r="A244" s="120">
        <f t="shared" si="112"/>
        <v>0</v>
      </c>
      <c r="B244" s="231"/>
      <c r="C244" s="231"/>
      <c r="D244" s="231"/>
      <c r="E244" s="231"/>
      <c r="F244" s="231"/>
      <c r="G244" s="231"/>
      <c r="H244" s="76"/>
      <c r="I244" s="232"/>
      <c r="J244" s="76">
        <f t="shared" si="113"/>
        <v>0</v>
      </c>
      <c r="K244" s="76"/>
      <c r="L244" s="76"/>
      <c r="M244" s="76"/>
      <c r="N244" s="76"/>
      <c r="O244" s="76"/>
      <c r="P244" s="76"/>
      <c r="Q244" s="76"/>
      <c r="R244" s="76"/>
      <c r="S244" s="76"/>
      <c r="U244" s="120">
        <f t="shared" si="114"/>
        <v>0</v>
      </c>
      <c r="X244" s="35"/>
      <c r="Y244" s="35"/>
      <c r="Z244" s="35"/>
    </row>
    <row r="245" spans="1:26" s="22" customFormat="1" outlineLevel="1" x14ac:dyDescent="0.25">
      <c r="A245" s="120">
        <f t="shared" si="112"/>
        <v>0</v>
      </c>
      <c r="B245" s="231"/>
      <c r="C245" s="231"/>
      <c r="D245" s="231"/>
      <c r="E245" s="231"/>
      <c r="F245" s="231"/>
      <c r="G245" s="231"/>
      <c r="H245" s="76"/>
      <c r="I245" s="232"/>
      <c r="J245" s="76">
        <f t="shared" si="113"/>
        <v>0</v>
      </c>
      <c r="K245" s="76"/>
      <c r="L245" s="76"/>
      <c r="M245" s="76"/>
      <c r="N245" s="76"/>
      <c r="O245" s="76"/>
      <c r="P245" s="76"/>
      <c r="Q245" s="76"/>
      <c r="R245" s="76"/>
      <c r="S245" s="76"/>
      <c r="U245" s="120">
        <f t="shared" si="114"/>
        <v>0</v>
      </c>
      <c r="X245" s="35"/>
      <c r="Y245" s="35"/>
      <c r="Z245" s="35"/>
    </row>
    <row r="246" spans="1:26" s="22" customFormat="1" outlineLevel="1" x14ac:dyDescent="0.25">
      <c r="A246" s="120">
        <f t="shared" si="112"/>
        <v>0</v>
      </c>
      <c r="B246" s="231"/>
      <c r="C246" s="231"/>
      <c r="D246" s="231"/>
      <c r="E246" s="231"/>
      <c r="F246" s="231"/>
      <c r="G246" s="231"/>
      <c r="H246" s="76"/>
      <c r="I246" s="232"/>
      <c r="J246" s="76">
        <f t="shared" si="113"/>
        <v>0</v>
      </c>
      <c r="K246" s="76"/>
      <c r="L246" s="76"/>
      <c r="M246" s="76"/>
      <c r="N246" s="76"/>
      <c r="O246" s="76"/>
      <c r="P246" s="76"/>
      <c r="Q246" s="76"/>
      <c r="R246" s="76"/>
      <c r="S246" s="76"/>
      <c r="U246" s="120">
        <f t="shared" si="114"/>
        <v>0</v>
      </c>
      <c r="X246" s="35"/>
      <c r="Y246" s="35"/>
      <c r="Z246" s="35"/>
    </row>
    <row r="247" spans="1:26" s="22" customFormat="1" outlineLevel="1" x14ac:dyDescent="0.25">
      <c r="A247" s="120">
        <f t="shared" si="112"/>
        <v>0</v>
      </c>
      <c r="B247" s="231"/>
      <c r="C247" s="231"/>
      <c r="D247" s="231"/>
      <c r="E247" s="231"/>
      <c r="F247" s="231"/>
      <c r="G247" s="231"/>
      <c r="H247" s="76"/>
      <c r="I247" s="232"/>
      <c r="J247" s="76">
        <f t="shared" si="113"/>
        <v>0</v>
      </c>
      <c r="K247" s="76"/>
      <c r="L247" s="76"/>
      <c r="M247" s="76"/>
      <c r="N247" s="76"/>
      <c r="O247" s="76"/>
      <c r="P247" s="76"/>
      <c r="Q247" s="76"/>
      <c r="R247" s="76"/>
      <c r="S247" s="76"/>
      <c r="U247" s="120">
        <f t="shared" si="114"/>
        <v>0</v>
      </c>
      <c r="X247" s="35"/>
      <c r="Y247" s="35"/>
      <c r="Z247" s="35"/>
    </row>
    <row r="248" spans="1:26" s="22" customFormat="1" outlineLevel="1" x14ac:dyDescent="0.25">
      <c r="A248" s="120">
        <f t="shared" si="112"/>
        <v>0</v>
      </c>
      <c r="B248" s="231"/>
      <c r="C248" s="231"/>
      <c r="D248" s="231"/>
      <c r="E248" s="231"/>
      <c r="F248" s="231"/>
      <c r="G248" s="231"/>
      <c r="H248" s="76"/>
      <c r="I248" s="232"/>
      <c r="J248" s="76">
        <f t="shared" ref="J248:J261" si="118">SUM(K248:S248)</f>
        <v>0</v>
      </c>
      <c r="K248" s="76"/>
      <c r="L248" s="76"/>
      <c r="M248" s="76"/>
      <c r="N248" s="76"/>
      <c r="O248" s="76"/>
      <c r="P248" s="76"/>
      <c r="Q248" s="76"/>
      <c r="R248" s="76"/>
      <c r="S248" s="76"/>
      <c r="U248" s="120">
        <f t="shared" si="114"/>
        <v>0</v>
      </c>
      <c r="X248" s="35"/>
      <c r="Y248" s="35"/>
      <c r="Z248" s="35"/>
    </row>
    <row r="249" spans="1:26" s="22" customFormat="1" outlineLevel="1" x14ac:dyDescent="0.25">
      <c r="A249" s="120">
        <f t="shared" si="112"/>
        <v>0</v>
      </c>
      <c r="B249" s="231"/>
      <c r="C249" s="231"/>
      <c r="D249" s="231"/>
      <c r="E249" s="231"/>
      <c r="F249" s="231"/>
      <c r="G249" s="231"/>
      <c r="H249" s="76"/>
      <c r="I249" s="232"/>
      <c r="J249" s="76">
        <f t="shared" si="118"/>
        <v>0</v>
      </c>
      <c r="K249" s="76"/>
      <c r="L249" s="76"/>
      <c r="M249" s="76"/>
      <c r="N249" s="76"/>
      <c r="O249" s="76"/>
      <c r="P249" s="76"/>
      <c r="Q249" s="76"/>
      <c r="R249" s="76"/>
      <c r="S249" s="76"/>
      <c r="U249" s="120">
        <f t="shared" si="114"/>
        <v>0</v>
      </c>
      <c r="X249" s="35"/>
      <c r="Y249" s="35"/>
      <c r="Z249" s="35"/>
    </row>
    <row r="250" spans="1:26" s="22" customFormat="1" outlineLevel="1" x14ac:dyDescent="0.25">
      <c r="A250" s="120">
        <f t="shared" si="112"/>
        <v>0</v>
      </c>
      <c r="B250" s="231"/>
      <c r="C250" s="231"/>
      <c r="D250" s="231"/>
      <c r="E250" s="231"/>
      <c r="F250" s="231"/>
      <c r="G250" s="231"/>
      <c r="H250" s="76"/>
      <c r="I250" s="232"/>
      <c r="J250" s="76">
        <f t="shared" si="118"/>
        <v>0</v>
      </c>
      <c r="K250" s="76"/>
      <c r="L250" s="76"/>
      <c r="M250" s="76"/>
      <c r="N250" s="76"/>
      <c r="O250" s="76"/>
      <c r="P250" s="76"/>
      <c r="Q250" s="76"/>
      <c r="R250" s="76"/>
      <c r="S250" s="76"/>
      <c r="U250" s="120">
        <f t="shared" si="114"/>
        <v>0</v>
      </c>
      <c r="X250" s="35"/>
      <c r="Y250" s="35"/>
      <c r="Z250" s="35"/>
    </row>
    <row r="251" spans="1:26" s="22" customFormat="1" outlineLevel="1" x14ac:dyDescent="0.25">
      <c r="A251" s="120">
        <f t="shared" si="112"/>
        <v>0</v>
      </c>
      <c r="B251" s="231"/>
      <c r="C251" s="231"/>
      <c r="D251" s="231"/>
      <c r="E251" s="231"/>
      <c r="F251" s="231"/>
      <c r="G251" s="231"/>
      <c r="H251" s="76"/>
      <c r="I251" s="232"/>
      <c r="J251" s="76">
        <f t="shared" si="118"/>
        <v>0</v>
      </c>
      <c r="K251" s="76"/>
      <c r="L251" s="76"/>
      <c r="M251" s="76"/>
      <c r="N251" s="76"/>
      <c r="O251" s="76"/>
      <c r="P251" s="76"/>
      <c r="Q251" s="76"/>
      <c r="R251" s="76"/>
      <c r="S251" s="76"/>
      <c r="U251" s="120">
        <f t="shared" si="114"/>
        <v>0</v>
      </c>
      <c r="X251" s="35"/>
      <c r="Y251" s="35"/>
      <c r="Z251" s="35"/>
    </row>
    <row r="252" spans="1:26" s="22" customFormat="1" outlineLevel="1" x14ac:dyDescent="0.25">
      <c r="A252" s="120">
        <f t="shared" si="112"/>
        <v>0</v>
      </c>
      <c r="B252" s="231"/>
      <c r="C252" s="231"/>
      <c r="D252" s="231"/>
      <c r="E252" s="231"/>
      <c r="F252" s="231"/>
      <c r="G252" s="231"/>
      <c r="H252" s="76"/>
      <c r="I252" s="232"/>
      <c r="J252" s="76">
        <f t="shared" si="118"/>
        <v>0</v>
      </c>
      <c r="K252" s="76"/>
      <c r="L252" s="76"/>
      <c r="M252" s="76"/>
      <c r="N252" s="76"/>
      <c r="O252" s="76"/>
      <c r="P252" s="76"/>
      <c r="Q252" s="76"/>
      <c r="R252" s="76"/>
      <c r="S252" s="76"/>
      <c r="U252" s="120">
        <f t="shared" si="114"/>
        <v>0</v>
      </c>
      <c r="X252" s="35"/>
      <c r="Y252" s="35"/>
      <c r="Z252" s="35"/>
    </row>
    <row r="253" spans="1:26" s="22" customFormat="1" outlineLevel="1" x14ac:dyDescent="0.25">
      <c r="A253" s="120">
        <f t="shared" si="112"/>
        <v>0</v>
      </c>
      <c r="B253" s="231"/>
      <c r="C253" s="231"/>
      <c r="D253" s="231"/>
      <c r="E253" s="231"/>
      <c r="F253" s="231"/>
      <c r="G253" s="231"/>
      <c r="H253" s="76"/>
      <c r="I253" s="232"/>
      <c r="J253" s="76">
        <f t="shared" si="118"/>
        <v>0</v>
      </c>
      <c r="K253" s="76"/>
      <c r="L253" s="76"/>
      <c r="M253" s="76"/>
      <c r="N253" s="76"/>
      <c r="O253" s="76"/>
      <c r="P253" s="76"/>
      <c r="Q253" s="76"/>
      <c r="R253" s="76"/>
      <c r="S253" s="76"/>
      <c r="U253" s="120">
        <f t="shared" si="114"/>
        <v>0</v>
      </c>
      <c r="X253" s="35"/>
      <c r="Y253" s="35"/>
      <c r="Z253" s="35"/>
    </row>
    <row r="254" spans="1:26" s="22" customFormat="1" outlineLevel="1" x14ac:dyDescent="0.25">
      <c r="A254" s="120">
        <f t="shared" si="112"/>
        <v>0</v>
      </c>
      <c r="B254" s="231"/>
      <c r="C254" s="231"/>
      <c r="D254" s="231"/>
      <c r="E254" s="231"/>
      <c r="F254" s="231"/>
      <c r="G254" s="231"/>
      <c r="H254" s="76"/>
      <c r="I254" s="232"/>
      <c r="J254" s="76">
        <f t="shared" si="118"/>
        <v>0</v>
      </c>
      <c r="K254" s="76"/>
      <c r="L254" s="76"/>
      <c r="M254" s="76"/>
      <c r="N254" s="76"/>
      <c r="O254" s="76"/>
      <c r="P254" s="76"/>
      <c r="Q254" s="76"/>
      <c r="R254" s="76"/>
      <c r="S254" s="76"/>
      <c r="U254" s="120">
        <f t="shared" si="114"/>
        <v>0</v>
      </c>
      <c r="X254" s="35"/>
      <c r="Y254" s="35"/>
      <c r="Z254" s="35"/>
    </row>
    <row r="255" spans="1:26" s="22" customFormat="1" outlineLevel="1" x14ac:dyDescent="0.25">
      <c r="A255" s="120">
        <f t="shared" si="112"/>
        <v>0</v>
      </c>
      <c r="B255" s="231"/>
      <c r="C255" s="231"/>
      <c r="D255" s="231"/>
      <c r="E255" s="231"/>
      <c r="F255" s="231"/>
      <c r="G255" s="231"/>
      <c r="H255" s="76"/>
      <c r="I255" s="232"/>
      <c r="J255" s="76">
        <f t="shared" si="118"/>
        <v>0</v>
      </c>
      <c r="K255" s="76"/>
      <c r="L255" s="76"/>
      <c r="M255" s="76"/>
      <c r="N255" s="76"/>
      <c r="O255" s="76"/>
      <c r="P255" s="76"/>
      <c r="Q255" s="76"/>
      <c r="R255" s="76"/>
      <c r="S255" s="76"/>
      <c r="U255" s="120">
        <f t="shared" si="114"/>
        <v>0</v>
      </c>
      <c r="X255" s="35"/>
      <c r="Y255" s="35"/>
      <c r="Z255" s="35"/>
    </row>
    <row r="256" spans="1:26" s="22" customFormat="1" outlineLevel="1" x14ac:dyDescent="0.25">
      <c r="A256" s="120">
        <f t="shared" si="112"/>
        <v>0</v>
      </c>
      <c r="B256" s="231"/>
      <c r="C256" s="231"/>
      <c r="D256" s="231"/>
      <c r="E256" s="231"/>
      <c r="F256" s="231"/>
      <c r="G256" s="231"/>
      <c r="H256" s="76"/>
      <c r="I256" s="232"/>
      <c r="J256" s="76">
        <f t="shared" si="118"/>
        <v>0</v>
      </c>
      <c r="K256" s="76"/>
      <c r="L256" s="76"/>
      <c r="M256" s="76"/>
      <c r="N256" s="76"/>
      <c r="O256" s="76"/>
      <c r="P256" s="76"/>
      <c r="Q256" s="76"/>
      <c r="R256" s="76"/>
      <c r="S256" s="76"/>
      <c r="U256" s="120">
        <f t="shared" si="114"/>
        <v>0</v>
      </c>
      <c r="X256" s="35"/>
      <c r="Y256" s="35"/>
      <c r="Z256" s="35"/>
    </row>
    <row r="257" spans="1:26" s="22" customFormat="1" outlineLevel="1" x14ac:dyDescent="0.25">
      <c r="A257" s="120">
        <f t="shared" si="112"/>
        <v>0</v>
      </c>
      <c r="B257" s="231"/>
      <c r="C257" s="231"/>
      <c r="D257" s="231"/>
      <c r="E257" s="231"/>
      <c r="F257" s="231"/>
      <c r="G257" s="231"/>
      <c r="H257" s="76"/>
      <c r="I257" s="232"/>
      <c r="J257" s="76">
        <f t="shared" si="118"/>
        <v>0</v>
      </c>
      <c r="K257" s="76"/>
      <c r="L257" s="76"/>
      <c r="M257" s="76"/>
      <c r="N257" s="76"/>
      <c r="O257" s="76"/>
      <c r="P257" s="76"/>
      <c r="Q257" s="76"/>
      <c r="R257" s="76"/>
      <c r="S257" s="76"/>
      <c r="U257" s="120">
        <f t="shared" si="114"/>
        <v>0</v>
      </c>
      <c r="X257" s="35"/>
      <c r="Y257" s="35"/>
      <c r="Z257" s="35"/>
    </row>
    <row r="258" spans="1:26" s="22" customFormat="1" outlineLevel="1" x14ac:dyDescent="0.25">
      <c r="A258" s="120">
        <f t="shared" si="112"/>
        <v>0</v>
      </c>
      <c r="B258" s="231"/>
      <c r="C258" s="231"/>
      <c r="D258" s="231"/>
      <c r="E258" s="231"/>
      <c r="F258" s="231"/>
      <c r="G258" s="231"/>
      <c r="H258" s="76"/>
      <c r="I258" s="232"/>
      <c r="J258" s="76">
        <f t="shared" si="118"/>
        <v>0</v>
      </c>
      <c r="K258" s="76"/>
      <c r="L258" s="76"/>
      <c r="M258" s="76"/>
      <c r="N258" s="76"/>
      <c r="O258" s="76"/>
      <c r="P258" s="76"/>
      <c r="Q258" s="76"/>
      <c r="R258" s="76"/>
      <c r="S258" s="76"/>
      <c r="U258" s="120">
        <f t="shared" si="114"/>
        <v>0</v>
      </c>
      <c r="X258" s="35"/>
      <c r="Y258" s="35"/>
      <c r="Z258" s="35"/>
    </row>
    <row r="259" spans="1:26" s="22" customFormat="1" outlineLevel="1" x14ac:dyDescent="0.25">
      <c r="A259" s="120">
        <f t="shared" si="112"/>
        <v>0</v>
      </c>
      <c r="B259" s="231"/>
      <c r="C259" s="231"/>
      <c r="D259" s="231"/>
      <c r="E259" s="231"/>
      <c r="F259" s="231"/>
      <c r="G259" s="231"/>
      <c r="H259" s="76"/>
      <c r="I259" s="232"/>
      <c r="J259" s="76">
        <f t="shared" si="118"/>
        <v>0</v>
      </c>
      <c r="K259" s="76"/>
      <c r="L259" s="76"/>
      <c r="M259" s="76"/>
      <c r="N259" s="76"/>
      <c r="O259" s="76"/>
      <c r="P259" s="76"/>
      <c r="Q259" s="76"/>
      <c r="R259" s="76"/>
      <c r="S259" s="76"/>
      <c r="U259" s="120">
        <f t="shared" si="114"/>
        <v>0</v>
      </c>
      <c r="X259" s="35"/>
      <c r="Y259" s="35"/>
      <c r="Z259" s="35"/>
    </row>
    <row r="260" spans="1:26" s="22" customFormat="1" outlineLevel="1" x14ac:dyDescent="0.25">
      <c r="A260" s="120">
        <f t="shared" si="112"/>
        <v>0</v>
      </c>
      <c r="B260" s="231"/>
      <c r="C260" s="231"/>
      <c r="D260" s="231"/>
      <c r="E260" s="231"/>
      <c r="F260" s="231"/>
      <c r="G260" s="231"/>
      <c r="H260" s="76"/>
      <c r="I260" s="232"/>
      <c r="J260" s="76">
        <f t="shared" si="118"/>
        <v>0</v>
      </c>
      <c r="K260" s="76"/>
      <c r="L260" s="76"/>
      <c r="M260" s="76"/>
      <c r="N260" s="76"/>
      <c r="O260" s="76"/>
      <c r="P260" s="76"/>
      <c r="Q260" s="76"/>
      <c r="R260" s="76"/>
      <c r="S260" s="76"/>
      <c r="U260" s="120">
        <f t="shared" si="114"/>
        <v>0</v>
      </c>
      <c r="X260" s="35"/>
      <c r="Y260" s="35"/>
      <c r="Z260" s="35"/>
    </row>
    <row r="261" spans="1:26" s="22" customFormat="1" x14ac:dyDescent="0.25">
      <c r="A261" s="120"/>
      <c r="B261" s="231"/>
      <c r="C261" s="231"/>
      <c r="D261" s="231"/>
      <c r="E261" s="231"/>
      <c r="F261" s="231"/>
      <c r="G261" s="231"/>
      <c r="H261" s="78"/>
      <c r="I261" s="232"/>
      <c r="J261" s="76">
        <f t="shared" si="118"/>
        <v>0</v>
      </c>
      <c r="K261" s="76"/>
      <c r="L261" s="76"/>
      <c r="M261" s="76"/>
      <c r="N261" s="76"/>
      <c r="O261" s="76"/>
      <c r="P261" s="76"/>
      <c r="Q261" s="76"/>
      <c r="R261" s="76"/>
      <c r="S261" s="76"/>
      <c r="U261" s="120">
        <f t="shared" si="114"/>
        <v>0</v>
      </c>
      <c r="X261" s="35"/>
      <c r="Y261" s="35"/>
      <c r="Z261" s="35"/>
    </row>
    <row r="262" spans="1:26" s="35" customFormat="1" x14ac:dyDescent="0.25">
      <c r="A262" s="131" t="s">
        <v>509</v>
      </c>
      <c r="B262" s="235"/>
      <c r="C262" s="264" t="str">
        <f>EmpID</f>
        <v>*</v>
      </c>
      <c r="D262" s="235"/>
      <c r="E262" s="235"/>
      <c r="F262" s="346"/>
      <c r="G262" s="235"/>
      <c r="H262" s="235"/>
      <c r="I262" s="132"/>
      <c r="J262" s="132">
        <f ca="1">SUM(R262:S262)</f>
        <v>46053.479999999974</v>
      </c>
      <c r="K262" s="132"/>
      <c r="L262" s="132"/>
      <c r="M262" s="132">
        <f ca="1">M19-SUMIF(payEmpPay,EmpID,M152:M261)</f>
        <v>6538.2999999999993</v>
      </c>
      <c r="N262" s="132">
        <f ca="1">N19-SUMIF(payEmpPay,EmpID,N152:N261)</f>
        <v>0</v>
      </c>
      <c r="O262" s="132"/>
      <c r="P262" s="132"/>
      <c r="Q262" s="132"/>
      <c r="R262" s="132">
        <f ca="1">R19-SUMIF(payEmpPay,EmpID,R152:R261)</f>
        <v>41653.479999999981</v>
      </c>
      <c r="S262" s="132">
        <f ca="1">S19-SUMIF(payEmpPay,EmpID,S152:S261)</f>
        <v>4399.9999999999927</v>
      </c>
    </row>
    <row r="263" spans="1:26" x14ac:dyDescent="0.25">
      <c r="F263"/>
    </row>
    <row r="264" spans="1:26" ht="22.8" x14ac:dyDescent="0.4">
      <c r="A264" s="254"/>
      <c r="B264" s="255"/>
      <c r="C264" s="256" t="str">
        <f>EmpID</f>
        <v>*</v>
      </c>
      <c r="D264" s="255"/>
      <c r="E264" s="219"/>
      <c r="F264" s="145"/>
      <c r="G264" s="255"/>
      <c r="H264" s="219"/>
      <c r="I264" s="66"/>
      <c r="J264" s="221" t="s">
        <v>510</v>
      </c>
      <c r="K264" s="66"/>
      <c r="L264" s="66"/>
      <c r="M264" s="66"/>
      <c r="N264" s="66"/>
      <c r="O264" s="66"/>
      <c r="P264" s="66"/>
      <c r="Q264" s="66"/>
      <c r="R264" s="66"/>
      <c r="S264" s="66"/>
      <c r="U264" s="66" t="s">
        <v>465</v>
      </c>
      <c r="V264" s="66" t="s">
        <v>31</v>
      </c>
      <c r="X264" s="224"/>
      <c r="Y264" s="224"/>
      <c r="Z264" s="224"/>
    </row>
    <row r="265" spans="1:26" s="224" customFormat="1" ht="13.8" thickBot="1" x14ac:dyDescent="0.3">
      <c r="A265" s="222"/>
      <c r="B265" s="156"/>
      <c r="C265" s="263" t="str">
        <f>EmpID</f>
        <v>*</v>
      </c>
      <c r="D265" s="156"/>
      <c r="E265" s="156" t="s">
        <v>511</v>
      </c>
      <c r="F265" s="380"/>
      <c r="G265" s="156"/>
      <c r="H265" s="156" t="s">
        <v>512</v>
      </c>
      <c r="I265" s="156" t="s">
        <v>460</v>
      </c>
      <c r="J265" s="156" t="s">
        <v>513</v>
      </c>
      <c r="K265" s="156"/>
      <c r="L265" s="156" t="s">
        <v>452</v>
      </c>
      <c r="M265" s="156"/>
      <c r="N265" s="156" t="s">
        <v>454</v>
      </c>
      <c r="O265" s="156" t="s">
        <v>515</v>
      </c>
      <c r="P265" s="156"/>
      <c r="Q265" s="156" t="s">
        <v>516</v>
      </c>
      <c r="R265" s="156" t="s">
        <v>517</v>
      </c>
      <c r="S265" s="156" t="s">
        <v>460</v>
      </c>
      <c r="U265" s="156" t="s">
        <v>508</v>
      </c>
      <c r="V265" s="156" t="s">
        <v>95</v>
      </c>
      <c r="X265" s="22"/>
      <c r="Y265" s="22"/>
      <c r="Z265" s="22"/>
    </row>
    <row r="266" spans="1:26" s="22" customFormat="1" x14ac:dyDescent="0.25">
      <c r="A266" s="120">
        <f t="shared" ref="A266:A341" si="119">GETPAYMONTH(B266)</f>
        <v>0</v>
      </c>
      <c r="B266" s="231"/>
      <c r="C266" s="231"/>
      <c r="D266" s="76"/>
      <c r="E266" s="231"/>
      <c r="F266" s="231"/>
      <c r="G266" s="231"/>
      <c r="H266" s="76"/>
      <c r="I266" s="232"/>
      <c r="J266" s="76"/>
      <c r="K266" s="76"/>
      <c r="L266" s="76">
        <f t="shared" ref="L266:L341" si="120">ROUND($I266/11*10,2)</f>
        <v>0</v>
      </c>
      <c r="M266" s="76"/>
      <c r="N266" s="76"/>
      <c r="O266" s="76"/>
      <c r="P266" s="76"/>
      <c r="Q266" s="76"/>
      <c r="R266" s="76">
        <f t="shared" ref="R266:R297" si="121">SUM($K266:$L266)</f>
        <v>0</v>
      </c>
      <c r="S266" s="76">
        <f t="shared" ref="S266:S297" si="122">SUM(K266:L266)+O266+Q266</f>
        <v>0</v>
      </c>
      <c r="T266" s="129"/>
      <c r="U266" s="120" t="str">
        <f t="shared" ref="U266:U297" si="123">C266 &amp;":"&amp; B266</f>
        <v>:</v>
      </c>
      <c r="V266" s="265" t="e">
        <f t="shared" ref="V266:V297" si="124">DATE(YEAR(B266+1),MONTH(B266+1),VLOOKUP(C266,payEmpNames,4))</f>
        <v>#N/A</v>
      </c>
    </row>
    <row r="267" spans="1:26" s="22" customFormat="1" outlineLevel="1" x14ac:dyDescent="0.25">
      <c r="A267" s="120">
        <f t="shared" ref="A267:A278" si="125">GETPAYMONTH(B267)</f>
        <v>1</v>
      </c>
      <c r="B267" s="392">
        <v>43646</v>
      </c>
      <c r="C267" s="231" t="s">
        <v>55</v>
      </c>
      <c r="D267" s="76"/>
      <c r="E267" s="231"/>
      <c r="F267" s="231"/>
      <c r="G267" s="231"/>
      <c r="H267" s="76"/>
      <c r="I267" s="232">
        <v>1100</v>
      </c>
      <c r="J267" s="76"/>
      <c r="K267" s="76"/>
      <c r="L267" s="76">
        <f t="shared" si="120"/>
        <v>1000</v>
      </c>
      <c r="M267" s="76"/>
      <c r="N267" s="76"/>
      <c r="O267" s="76"/>
      <c r="P267" s="76"/>
      <c r="Q267" s="76">
        <f>H267+I267-L267</f>
        <v>100</v>
      </c>
      <c r="R267" s="76">
        <f t="shared" si="121"/>
        <v>1000</v>
      </c>
      <c r="S267" s="76">
        <f t="shared" si="122"/>
        <v>1100</v>
      </c>
      <c r="T267" s="129"/>
      <c r="U267" s="120" t="str">
        <f t="shared" si="123"/>
        <v>MAM:43646</v>
      </c>
      <c r="V267" s="265">
        <f t="shared" si="124"/>
        <v>43667</v>
      </c>
    </row>
    <row r="268" spans="1:26" s="22" customFormat="1" outlineLevel="1" x14ac:dyDescent="0.25">
      <c r="A268" s="120">
        <f t="shared" si="125"/>
        <v>2</v>
      </c>
      <c r="B268" s="392">
        <v>43677</v>
      </c>
      <c r="C268" s="231" t="s">
        <v>55</v>
      </c>
      <c r="D268" s="76"/>
      <c r="E268" s="231"/>
      <c r="F268" s="231"/>
      <c r="G268" s="231"/>
      <c r="H268" s="76"/>
      <c r="I268" s="232">
        <v>1100</v>
      </c>
      <c r="J268" s="76"/>
      <c r="K268" s="76"/>
      <c r="L268" s="76">
        <f t="shared" si="120"/>
        <v>1000</v>
      </c>
      <c r="M268" s="76"/>
      <c r="N268" s="76"/>
      <c r="O268" s="76"/>
      <c r="P268" s="76"/>
      <c r="Q268" s="76">
        <f t="shared" ref="Q268:Q331" si="126">H268+I268-L268</f>
        <v>100</v>
      </c>
      <c r="R268" s="76">
        <f t="shared" si="121"/>
        <v>1000</v>
      </c>
      <c r="S268" s="76">
        <f t="shared" si="122"/>
        <v>1100</v>
      </c>
      <c r="T268" s="129"/>
      <c r="U268" s="120" t="str">
        <f t="shared" si="123"/>
        <v>MAM:43677</v>
      </c>
      <c r="V268" s="265">
        <f t="shared" si="124"/>
        <v>43698</v>
      </c>
    </row>
    <row r="269" spans="1:26" s="22" customFormat="1" outlineLevel="1" x14ac:dyDescent="0.25">
      <c r="A269" s="120">
        <f t="shared" si="125"/>
        <v>3</v>
      </c>
      <c r="B269" s="392">
        <v>43708</v>
      </c>
      <c r="C269" s="231" t="s">
        <v>55</v>
      </c>
      <c r="D269" s="76"/>
      <c r="E269" s="231"/>
      <c r="F269" s="231"/>
      <c r="G269" s="231"/>
      <c r="H269" s="76"/>
      <c r="I269" s="232">
        <v>1100</v>
      </c>
      <c r="J269" s="76"/>
      <c r="K269" s="76"/>
      <c r="L269" s="76">
        <f t="shared" si="120"/>
        <v>1000</v>
      </c>
      <c r="M269" s="76"/>
      <c r="N269" s="76"/>
      <c r="O269" s="76"/>
      <c r="P269" s="76"/>
      <c r="Q269" s="76">
        <f t="shared" si="126"/>
        <v>100</v>
      </c>
      <c r="R269" s="76">
        <f t="shared" si="121"/>
        <v>1000</v>
      </c>
      <c r="S269" s="76">
        <f t="shared" si="122"/>
        <v>1100</v>
      </c>
      <c r="T269" s="129"/>
      <c r="U269" s="120" t="str">
        <f t="shared" si="123"/>
        <v>MAM:43708</v>
      </c>
      <c r="V269" s="265">
        <f t="shared" si="124"/>
        <v>43729</v>
      </c>
    </row>
    <row r="270" spans="1:26" s="22" customFormat="1" outlineLevel="1" x14ac:dyDescent="0.25">
      <c r="A270" s="120">
        <f t="shared" si="125"/>
        <v>4</v>
      </c>
      <c r="B270" s="392">
        <v>43738</v>
      </c>
      <c r="C270" s="231" t="s">
        <v>55</v>
      </c>
      <c r="D270" s="76"/>
      <c r="E270" s="231"/>
      <c r="F270" s="231"/>
      <c r="G270" s="231"/>
      <c r="H270" s="76"/>
      <c r="I270" s="232">
        <v>1100</v>
      </c>
      <c r="J270" s="76"/>
      <c r="K270" s="76"/>
      <c r="L270" s="76">
        <f t="shared" si="120"/>
        <v>1000</v>
      </c>
      <c r="M270" s="76"/>
      <c r="N270" s="76"/>
      <c r="O270" s="76"/>
      <c r="P270" s="76"/>
      <c r="Q270" s="76">
        <f t="shared" si="126"/>
        <v>100</v>
      </c>
      <c r="R270" s="76">
        <f t="shared" si="121"/>
        <v>1000</v>
      </c>
      <c r="S270" s="76">
        <f t="shared" si="122"/>
        <v>1100</v>
      </c>
      <c r="T270" s="129"/>
      <c r="U270" s="120" t="str">
        <f t="shared" si="123"/>
        <v>MAM:43738</v>
      </c>
      <c r="V270" s="265">
        <f t="shared" si="124"/>
        <v>43759</v>
      </c>
    </row>
    <row r="271" spans="1:26" s="22" customFormat="1" outlineLevel="1" x14ac:dyDescent="0.25">
      <c r="A271" s="120">
        <f t="shared" si="125"/>
        <v>5</v>
      </c>
      <c r="B271" s="392">
        <v>43769</v>
      </c>
      <c r="C271" s="231" t="s">
        <v>55</v>
      </c>
      <c r="D271" s="76"/>
      <c r="E271" s="231"/>
      <c r="F271" s="231"/>
      <c r="G271" s="231"/>
      <c r="H271" s="76"/>
      <c r="I271" s="232">
        <v>1100</v>
      </c>
      <c r="J271" s="76"/>
      <c r="K271" s="76"/>
      <c r="L271" s="76">
        <f t="shared" si="120"/>
        <v>1000</v>
      </c>
      <c r="M271" s="76"/>
      <c r="N271" s="76"/>
      <c r="O271" s="76"/>
      <c r="P271" s="76"/>
      <c r="Q271" s="76">
        <f t="shared" si="126"/>
        <v>100</v>
      </c>
      <c r="R271" s="76">
        <f t="shared" si="121"/>
        <v>1000</v>
      </c>
      <c r="S271" s="76">
        <f t="shared" si="122"/>
        <v>1100</v>
      </c>
      <c r="T271" s="129"/>
      <c r="U271" s="120" t="str">
        <f t="shared" si="123"/>
        <v>MAM:43769</v>
      </c>
      <c r="V271" s="265">
        <f t="shared" si="124"/>
        <v>43790</v>
      </c>
    </row>
    <row r="272" spans="1:26" s="22" customFormat="1" outlineLevel="1" x14ac:dyDescent="0.25">
      <c r="A272" s="120">
        <f t="shared" si="125"/>
        <v>6</v>
      </c>
      <c r="B272" s="392">
        <v>43799</v>
      </c>
      <c r="C272" s="231" t="s">
        <v>55</v>
      </c>
      <c r="D272" s="76"/>
      <c r="E272" s="231"/>
      <c r="F272" s="231"/>
      <c r="G272" s="231"/>
      <c r="H272" s="76"/>
      <c r="I272" s="232">
        <v>1100</v>
      </c>
      <c r="J272" s="76"/>
      <c r="K272" s="76"/>
      <c r="L272" s="76">
        <f t="shared" si="120"/>
        <v>1000</v>
      </c>
      <c r="M272" s="76"/>
      <c r="N272" s="76"/>
      <c r="O272" s="76"/>
      <c r="P272" s="76"/>
      <c r="Q272" s="76">
        <f t="shared" si="126"/>
        <v>100</v>
      </c>
      <c r="R272" s="76">
        <f t="shared" si="121"/>
        <v>1000</v>
      </c>
      <c r="S272" s="76">
        <f t="shared" si="122"/>
        <v>1100</v>
      </c>
      <c r="T272" s="129"/>
      <c r="U272" s="120" t="str">
        <f t="shared" si="123"/>
        <v>MAM:43799</v>
      </c>
      <c r="V272" s="265">
        <f t="shared" si="124"/>
        <v>43820</v>
      </c>
    </row>
    <row r="273" spans="1:26" s="22" customFormat="1" outlineLevel="1" x14ac:dyDescent="0.25">
      <c r="A273" s="120">
        <f t="shared" si="125"/>
        <v>7</v>
      </c>
      <c r="B273" s="392">
        <v>43830</v>
      </c>
      <c r="C273" s="231" t="s">
        <v>55</v>
      </c>
      <c r="D273" s="76"/>
      <c r="E273" s="231"/>
      <c r="F273" s="231"/>
      <c r="G273" s="231"/>
      <c r="H273" s="76"/>
      <c r="I273" s="232">
        <v>1100</v>
      </c>
      <c r="J273" s="76"/>
      <c r="K273" s="76"/>
      <c r="L273" s="76">
        <f t="shared" si="120"/>
        <v>1000</v>
      </c>
      <c r="M273" s="76"/>
      <c r="N273" s="76"/>
      <c r="O273" s="76"/>
      <c r="P273" s="76"/>
      <c r="Q273" s="76">
        <f t="shared" si="126"/>
        <v>100</v>
      </c>
      <c r="R273" s="76">
        <f t="shared" si="121"/>
        <v>1000</v>
      </c>
      <c r="S273" s="76">
        <f t="shared" si="122"/>
        <v>1100</v>
      </c>
      <c r="T273" s="129"/>
      <c r="U273" s="120" t="str">
        <f t="shared" si="123"/>
        <v>MAM:43830</v>
      </c>
      <c r="V273" s="265">
        <f t="shared" si="124"/>
        <v>43851</v>
      </c>
    </row>
    <row r="274" spans="1:26" s="22" customFormat="1" outlineLevel="1" x14ac:dyDescent="0.25">
      <c r="A274" s="120">
        <f t="shared" si="125"/>
        <v>8</v>
      </c>
      <c r="B274" s="392">
        <v>43861</v>
      </c>
      <c r="C274" s="231" t="s">
        <v>55</v>
      </c>
      <c r="D274" s="76"/>
      <c r="E274" s="231"/>
      <c r="F274" s="231"/>
      <c r="G274" s="231"/>
      <c r="H274" s="76"/>
      <c r="I274" s="232">
        <v>1100</v>
      </c>
      <c r="J274" s="76"/>
      <c r="K274" s="76"/>
      <c r="L274" s="76">
        <f t="shared" si="120"/>
        <v>1000</v>
      </c>
      <c r="M274" s="76"/>
      <c r="N274" s="76"/>
      <c r="O274" s="76"/>
      <c r="P274" s="76"/>
      <c r="Q274" s="76">
        <f t="shared" si="126"/>
        <v>100</v>
      </c>
      <c r="R274" s="76">
        <f t="shared" si="121"/>
        <v>1000</v>
      </c>
      <c r="S274" s="76">
        <f t="shared" si="122"/>
        <v>1100</v>
      </c>
      <c r="T274" s="129"/>
      <c r="U274" s="120" t="str">
        <f t="shared" si="123"/>
        <v>MAM:43861</v>
      </c>
      <c r="V274" s="265">
        <f t="shared" si="124"/>
        <v>43882</v>
      </c>
    </row>
    <row r="275" spans="1:26" s="22" customFormat="1" outlineLevel="1" x14ac:dyDescent="0.25">
      <c r="A275" s="120">
        <f t="shared" si="125"/>
        <v>9</v>
      </c>
      <c r="B275" s="392">
        <v>43889</v>
      </c>
      <c r="C275" s="231" t="s">
        <v>55</v>
      </c>
      <c r="D275" s="76"/>
      <c r="E275" s="231"/>
      <c r="F275" s="231"/>
      <c r="G275" s="231"/>
      <c r="H275" s="76"/>
      <c r="I275" s="232">
        <v>1100</v>
      </c>
      <c r="J275" s="76"/>
      <c r="K275" s="76"/>
      <c r="L275" s="76">
        <f t="shared" si="120"/>
        <v>1000</v>
      </c>
      <c r="M275" s="76"/>
      <c r="N275" s="76"/>
      <c r="O275" s="76"/>
      <c r="P275" s="76"/>
      <c r="Q275" s="76">
        <f t="shared" si="126"/>
        <v>100</v>
      </c>
      <c r="R275" s="76">
        <f t="shared" si="121"/>
        <v>1000</v>
      </c>
      <c r="S275" s="76">
        <f t="shared" si="122"/>
        <v>1100</v>
      </c>
      <c r="T275" s="129"/>
      <c r="U275" s="120" t="str">
        <f t="shared" si="123"/>
        <v>MAM:43889</v>
      </c>
      <c r="V275" s="265">
        <f t="shared" si="124"/>
        <v>43882</v>
      </c>
    </row>
    <row r="276" spans="1:26" s="22" customFormat="1" outlineLevel="1" x14ac:dyDescent="0.25">
      <c r="A276" s="120">
        <f t="shared" si="125"/>
        <v>10</v>
      </c>
      <c r="B276" s="392">
        <v>43921</v>
      </c>
      <c r="C276" s="231" t="s">
        <v>55</v>
      </c>
      <c r="D276" s="76"/>
      <c r="E276" s="231"/>
      <c r="F276" s="231"/>
      <c r="G276" s="231"/>
      <c r="H276" s="76"/>
      <c r="I276" s="232">
        <v>1100</v>
      </c>
      <c r="J276" s="76"/>
      <c r="K276" s="76"/>
      <c r="L276" s="76">
        <f t="shared" si="120"/>
        <v>1000</v>
      </c>
      <c r="M276" s="76"/>
      <c r="N276" s="76"/>
      <c r="O276" s="76"/>
      <c r="P276" s="76"/>
      <c r="Q276" s="76">
        <f t="shared" si="126"/>
        <v>100</v>
      </c>
      <c r="R276" s="76">
        <f t="shared" si="121"/>
        <v>1000</v>
      </c>
      <c r="S276" s="76">
        <f t="shared" si="122"/>
        <v>1100</v>
      </c>
      <c r="T276" s="129"/>
      <c r="U276" s="120" t="str">
        <f t="shared" si="123"/>
        <v>MAM:43921</v>
      </c>
      <c r="V276" s="265">
        <f t="shared" si="124"/>
        <v>43942</v>
      </c>
    </row>
    <row r="277" spans="1:26" s="22" customFormat="1" outlineLevel="1" x14ac:dyDescent="0.25">
      <c r="A277" s="120">
        <f t="shared" si="125"/>
        <v>11</v>
      </c>
      <c r="B277" s="392">
        <v>43951</v>
      </c>
      <c r="C277" s="231" t="s">
        <v>55</v>
      </c>
      <c r="D277" s="76"/>
      <c r="E277" s="231"/>
      <c r="F277" s="231"/>
      <c r="G277" s="231"/>
      <c r="H277" s="76"/>
      <c r="I277" s="232">
        <v>1100</v>
      </c>
      <c r="J277" s="76"/>
      <c r="K277" s="76"/>
      <c r="L277" s="76">
        <f t="shared" si="120"/>
        <v>1000</v>
      </c>
      <c r="M277" s="76"/>
      <c r="N277" s="76"/>
      <c r="O277" s="76"/>
      <c r="P277" s="76"/>
      <c r="Q277" s="76">
        <f t="shared" si="126"/>
        <v>100</v>
      </c>
      <c r="R277" s="76">
        <f t="shared" si="121"/>
        <v>1000</v>
      </c>
      <c r="S277" s="76">
        <f t="shared" si="122"/>
        <v>1100</v>
      </c>
      <c r="T277" s="129"/>
      <c r="U277" s="120" t="str">
        <f t="shared" si="123"/>
        <v>MAM:43951</v>
      </c>
      <c r="V277" s="265">
        <f t="shared" si="124"/>
        <v>43972</v>
      </c>
    </row>
    <row r="278" spans="1:26" s="22" customFormat="1" outlineLevel="1" x14ac:dyDescent="0.25">
      <c r="A278" s="120">
        <f t="shared" si="125"/>
        <v>12</v>
      </c>
      <c r="B278" s="392">
        <v>43982</v>
      </c>
      <c r="C278" s="231" t="s">
        <v>55</v>
      </c>
      <c r="D278" s="76"/>
      <c r="E278" s="231"/>
      <c r="F278" s="231"/>
      <c r="G278" s="231"/>
      <c r="H278" s="76"/>
      <c r="I278" s="232">
        <v>1100</v>
      </c>
      <c r="J278" s="76"/>
      <c r="K278" s="76"/>
      <c r="L278" s="76">
        <f t="shared" si="120"/>
        <v>1000</v>
      </c>
      <c r="M278" s="76"/>
      <c r="N278" s="76"/>
      <c r="O278" s="76"/>
      <c r="P278" s="76"/>
      <c r="Q278" s="76">
        <f t="shared" si="126"/>
        <v>100</v>
      </c>
      <c r="R278" s="76">
        <f t="shared" si="121"/>
        <v>1000</v>
      </c>
      <c r="S278" s="76">
        <f t="shared" si="122"/>
        <v>1100</v>
      </c>
      <c r="T278" s="129"/>
      <c r="U278" s="120" t="str">
        <f t="shared" si="123"/>
        <v>MAM:43982</v>
      </c>
      <c r="V278" s="265">
        <f t="shared" si="124"/>
        <v>44003</v>
      </c>
      <c r="X278" s="35"/>
      <c r="Y278" s="35"/>
      <c r="Z278" s="35"/>
    </row>
    <row r="279" spans="1:26" s="22" customFormat="1" outlineLevel="1" x14ac:dyDescent="0.25">
      <c r="A279" s="120">
        <f t="shared" si="119"/>
        <v>1</v>
      </c>
      <c r="B279" s="392">
        <v>43646</v>
      </c>
      <c r="C279" s="231" t="s">
        <v>57</v>
      </c>
      <c r="D279" s="76"/>
      <c r="E279" s="231"/>
      <c r="F279" s="231"/>
      <c r="G279" s="231"/>
      <c r="H279" s="76"/>
      <c r="I279" s="232">
        <v>2994</v>
      </c>
      <c r="J279" s="76"/>
      <c r="K279" s="76"/>
      <c r="L279" s="76">
        <f t="shared" si="120"/>
        <v>2721.82</v>
      </c>
      <c r="M279" s="76"/>
      <c r="N279" s="76"/>
      <c r="O279" s="76"/>
      <c r="P279" s="76"/>
      <c r="Q279" s="76">
        <f t="shared" si="126"/>
        <v>272.17999999999984</v>
      </c>
      <c r="R279" s="76">
        <f t="shared" si="121"/>
        <v>2721.82</v>
      </c>
      <c r="S279" s="76">
        <f t="shared" si="122"/>
        <v>2994</v>
      </c>
      <c r="T279" s="129"/>
      <c r="U279" s="120" t="str">
        <f t="shared" si="123"/>
        <v>CRP:43646</v>
      </c>
      <c r="V279" s="265">
        <f t="shared" si="124"/>
        <v>43667</v>
      </c>
    </row>
    <row r="280" spans="1:26" s="22" customFormat="1" outlineLevel="1" x14ac:dyDescent="0.25">
      <c r="A280" s="120">
        <f t="shared" si="119"/>
        <v>2</v>
      </c>
      <c r="B280" s="392">
        <v>43677</v>
      </c>
      <c r="C280" s="231" t="s">
        <v>57</v>
      </c>
      <c r="D280" s="76"/>
      <c r="E280" s="231"/>
      <c r="F280" s="231"/>
      <c r="G280" s="231"/>
      <c r="H280" s="76"/>
      <c r="I280" s="232">
        <v>1005</v>
      </c>
      <c r="J280" s="76"/>
      <c r="K280" s="76"/>
      <c r="L280" s="76">
        <f t="shared" si="120"/>
        <v>913.64</v>
      </c>
      <c r="M280" s="76"/>
      <c r="N280" s="76"/>
      <c r="O280" s="76"/>
      <c r="P280" s="76"/>
      <c r="Q280" s="76">
        <f t="shared" si="126"/>
        <v>91.360000000000014</v>
      </c>
      <c r="R280" s="76">
        <f t="shared" si="121"/>
        <v>913.64</v>
      </c>
      <c r="S280" s="76">
        <f t="shared" si="122"/>
        <v>1005</v>
      </c>
      <c r="T280" s="129"/>
      <c r="U280" s="120" t="str">
        <f t="shared" si="123"/>
        <v>CRP:43677</v>
      </c>
      <c r="V280" s="265">
        <f t="shared" si="124"/>
        <v>43698</v>
      </c>
    </row>
    <row r="281" spans="1:26" s="22" customFormat="1" outlineLevel="1" x14ac:dyDescent="0.25">
      <c r="A281" s="120">
        <f t="shared" si="119"/>
        <v>3</v>
      </c>
      <c r="B281" s="392">
        <v>43708</v>
      </c>
      <c r="C281" s="231" t="s">
        <v>57</v>
      </c>
      <c r="D281" s="76"/>
      <c r="E281" s="231"/>
      <c r="F281" s="231"/>
      <c r="G281" s="231"/>
      <c r="H281" s="76"/>
      <c r="I281" s="232">
        <v>5481</v>
      </c>
      <c r="J281" s="76"/>
      <c r="K281" s="76"/>
      <c r="L281" s="76">
        <f t="shared" si="120"/>
        <v>4982.7299999999996</v>
      </c>
      <c r="M281" s="76"/>
      <c r="N281" s="76"/>
      <c r="O281" s="76"/>
      <c r="P281" s="76"/>
      <c r="Q281" s="76">
        <f t="shared" si="126"/>
        <v>498.27000000000044</v>
      </c>
      <c r="R281" s="76">
        <f t="shared" si="121"/>
        <v>4982.7299999999996</v>
      </c>
      <c r="S281" s="76">
        <f t="shared" si="122"/>
        <v>5481</v>
      </c>
      <c r="T281" s="129"/>
      <c r="U281" s="120" t="str">
        <f t="shared" si="123"/>
        <v>CRP:43708</v>
      </c>
      <c r="V281" s="265">
        <f t="shared" si="124"/>
        <v>43729</v>
      </c>
    </row>
    <row r="282" spans="1:26" s="22" customFormat="1" outlineLevel="1" x14ac:dyDescent="0.25">
      <c r="A282" s="120">
        <f t="shared" si="119"/>
        <v>4</v>
      </c>
      <c r="B282" s="392">
        <v>43738</v>
      </c>
      <c r="C282" s="231" t="s">
        <v>57</v>
      </c>
      <c r="D282" s="76"/>
      <c r="E282" s="231"/>
      <c r="F282" s="231"/>
      <c r="G282" s="231"/>
      <c r="H282" s="76"/>
      <c r="I282" s="232">
        <v>2775</v>
      </c>
      <c r="J282" s="76"/>
      <c r="K282" s="76"/>
      <c r="L282" s="76">
        <f t="shared" si="120"/>
        <v>2522.73</v>
      </c>
      <c r="M282" s="76"/>
      <c r="N282" s="76"/>
      <c r="O282" s="76"/>
      <c r="P282" s="76"/>
      <c r="Q282" s="76">
        <f t="shared" si="126"/>
        <v>252.26999999999998</v>
      </c>
      <c r="R282" s="76">
        <f t="shared" si="121"/>
        <v>2522.73</v>
      </c>
      <c r="S282" s="76">
        <f t="shared" si="122"/>
        <v>2775</v>
      </c>
      <c r="T282" s="129"/>
      <c r="U282" s="120" t="str">
        <f t="shared" si="123"/>
        <v>CRP:43738</v>
      </c>
      <c r="V282" s="265">
        <f t="shared" si="124"/>
        <v>43759</v>
      </c>
    </row>
    <row r="283" spans="1:26" s="22" customFormat="1" outlineLevel="1" x14ac:dyDescent="0.25">
      <c r="A283" s="120">
        <f t="shared" si="119"/>
        <v>5</v>
      </c>
      <c r="B283" s="392">
        <v>43769</v>
      </c>
      <c r="C283" s="231" t="s">
        <v>57</v>
      </c>
      <c r="D283" s="76"/>
      <c r="E283" s="231"/>
      <c r="F283" s="231"/>
      <c r="G283" s="231"/>
      <c r="H283" s="76"/>
      <c r="I283" s="232"/>
      <c r="J283" s="76"/>
      <c r="K283" s="76"/>
      <c r="L283" s="76">
        <f t="shared" si="120"/>
        <v>0</v>
      </c>
      <c r="M283" s="76"/>
      <c r="N283" s="76"/>
      <c r="O283" s="76"/>
      <c r="P283" s="76"/>
      <c r="Q283" s="76">
        <f t="shared" si="126"/>
        <v>0</v>
      </c>
      <c r="R283" s="76">
        <f t="shared" si="121"/>
        <v>0</v>
      </c>
      <c r="S283" s="76">
        <f t="shared" si="122"/>
        <v>0</v>
      </c>
      <c r="T283" s="129"/>
      <c r="U283" s="120" t="str">
        <f t="shared" si="123"/>
        <v>CRP:43769</v>
      </c>
      <c r="V283" s="265">
        <f t="shared" si="124"/>
        <v>43790</v>
      </c>
    </row>
    <row r="284" spans="1:26" s="22" customFormat="1" outlineLevel="1" x14ac:dyDescent="0.25">
      <c r="A284" s="120">
        <f t="shared" si="119"/>
        <v>6</v>
      </c>
      <c r="B284" s="392">
        <v>43799</v>
      </c>
      <c r="C284" s="231" t="s">
        <v>57</v>
      </c>
      <c r="D284" s="76"/>
      <c r="E284" s="231"/>
      <c r="F284" s="231"/>
      <c r="G284" s="231"/>
      <c r="H284" s="76"/>
      <c r="I284" s="232"/>
      <c r="J284" s="76"/>
      <c r="K284" s="76"/>
      <c r="L284" s="76">
        <f t="shared" si="120"/>
        <v>0</v>
      </c>
      <c r="M284" s="76"/>
      <c r="N284" s="76"/>
      <c r="O284" s="76"/>
      <c r="P284" s="76"/>
      <c r="Q284" s="76">
        <f t="shared" si="126"/>
        <v>0</v>
      </c>
      <c r="R284" s="76">
        <f t="shared" si="121"/>
        <v>0</v>
      </c>
      <c r="S284" s="76">
        <f t="shared" si="122"/>
        <v>0</v>
      </c>
      <c r="T284" s="129"/>
      <c r="U284" s="120" t="str">
        <f t="shared" si="123"/>
        <v>CRP:43799</v>
      </c>
      <c r="V284" s="265">
        <f t="shared" si="124"/>
        <v>43820</v>
      </c>
    </row>
    <row r="285" spans="1:26" s="22" customFormat="1" outlineLevel="1" x14ac:dyDescent="0.25">
      <c r="A285" s="120">
        <f t="shared" si="119"/>
        <v>7</v>
      </c>
      <c r="B285" s="392">
        <v>43830</v>
      </c>
      <c r="C285" s="231" t="s">
        <v>57</v>
      </c>
      <c r="D285" s="76"/>
      <c r="E285" s="231"/>
      <c r="F285" s="231"/>
      <c r="G285" s="231"/>
      <c r="H285" s="76"/>
      <c r="I285" s="232"/>
      <c r="J285" s="76"/>
      <c r="K285" s="76"/>
      <c r="L285" s="76">
        <f t="shared" si="120"/>
        <v>0</v>
      </c>
      <c r="M285" s="76"/>
      <c r="N285" s="76"/>
      <c r="O285" s="76"/>
      <c r="P285" s="76"/>
      <c r="Q285" s="76">
        <f t="shared" si="126"/>
        <v>0</v>
      </c>
      <c r="R285" s="76">
        <f t="shared" si="121"/>
        <v>0</v>
      </c>
      <c r="S285" s="76">
        <f t="shared" si="122"/>
        <v>0</v>
      </c>
      <c r="T285" s="129"/>
      <c r="U285" s="120" t="str">
        <f t="shared" si="123"/>
        <v>CRP:43830</v>
      </c>
      <c r="V285" s="265">
        <f t="shared" si="124"/>
        <v>43851</v>
      </c>
    </row>
    <row r="286" spans="1:26" s="22" customFormat="1" outlineLevel="1" x14ac:dyDescent="0.25">
      <c r="A286" s="120">
        <f t="shared" si="119"/>
        <v>8</v>
      </c>
      <c r="B286" s="392">
        <v>43861</v>
      </c>
      <c r="C286" s="231" t="s">
        <v>57</v>
      </c>
      <c r="D286" s="76"/>
      <c r="E286" s="231"/>
      <c r="F286" s="231"/>
      <c r="G286" s="231"/>
      <c r="H286" s="76"/>
      <c r="I286" s="232"/>
      <c r="J286" s="76"/>
      <c r="K286" s="76"/>
      <c r="L286" s="76">
        <f t="shared" si="120"/>
        <v>0</v>
      </c>
      <c r="M286" s="76"/>
      <c r="N286" s="76"/>
      <c r="O286" s="76"/>
      <c r="P286" s="76"/>
      <c r="Q286" s="76">
        <f t="shared" si="126"/>
        <v>0</v>
      </c>
      <c r="R286" s="76">
        <f t="shared" si="121"/>
        <v>0</v>
      </c>
      <c r="S286" s="76">
        <f t="shared" si="122"/>
        <v>0</v>
      </c>
      <c r="T286" s="129"/>
      <c r="U286" s="120" t="str">
        <f t="shared" si="123"/>
        <v>CRP:43861</v>
      </c>
      <c r="V286" s="265">
        <f t="shared" si="124"/>
        <v>43882</v>
      </c>
    </row>
    <row r="287" spans="1:26" s="22" customFormat="1" outlineLevel="1" x14ac:dyDescent="0.25">
      <c r="A287" s="120">
        <f t="shared" si="119"/>
        <v>9</v>
      </c>
      <c r="B287" s="392">
        <v>43889</v>
      </c>
      <c r="C287" s="231" t="s">
        <v>57</v>
      </c>
      <c r="D287" s="76"/>
      <c r="E287" s="231"/>
      <c r="F287" s="231"/>
      <c r="G287" s="231"/>
      <c r="H287" s="76"/>
      <c r="I287" s="232"/>
      <c r="J287" s="76"/>
      <c r="K287" s="76"/>
      <c r="L287" s="76">
        <f t="shared" si="120"/>
        <v>0</v>
      </c>
      <c r="M287" s="76"/>
      <c r="N287" s="76"/>
      <c r="O287" s="76"/>
      <c r="P287" s="76"/>
      <c r="Q287" s="76">
        <f t="shared" si="126"/>
        <v>0</v>
      </c>
      <c r="R287" s="76">
        <f t="shared" si="121"/>
        <v>0</v>
      </c>
      <c r="S287" s="76">
        <f t="shared" si="122"/>
        <v>0</v>
      </c>
      <c r="T287" s="129"/>
      <c r="U287" s="120" t="str">
        <f t="shared" si="123"/>
        <v>CRP:43889</v>
      </c>
      <c r="V287" s="265">
        <f t="shared" si="124"/>
        <v>43882</v>
      </c>
    </row>
    <row r="288" spans="1:26" s="22" customFormat="1" outlineLevel="1" x14ac:dyDescent="0.25">
      <c r="A288" s="120">
        <f t="shared" si="119"/>
        <v>10</v>
      </c>
      <c r="B288" s="392">
        <v>43921</v>
      </c>
      <c r="C288" s="231" t="s">
        <v>57</v>
      </c>
      <c r="D288" s="76"/>
      <c r="E288" s="231"/>
      <c r="F288" s="231"/>
      <c r="G288" s="231"/>
      <c r="H288" s="76"/>
      <c r="I288" s="232"/>
      <c r="J288" s="76"/>
      <c r="K288" s="76"/>
      <c r="L288" s="76">
        <f t="shared" si="120"/>
        <v>0</v>
      </c>
      <c r="M288" s="76"/>
      <c r="N288" s="76"/>
      <c r="O288" s="76"/>
      <c r="P288" s="76"/>
      <c r="Q288" s="76">
        <f t="shared" si="126"/>
        <v>0</v>
      </c>
      <c r="R288" s="76">
        <f t="shared" si="121"/>
        <v>0</v>
      </c>
      <c r="S288" s="76">
        <f t="shared" si="122"/>
        <v>0</v>
      </c>
      <c r="T288" s="129"/>
      <c r="U288" s="120" t="str">
        <f t="shared" si="123"/>
        <v>CRP:43921</v>
      </c>
      <c r="V288" s="265">
        <f t="shared" si="124"/>
        <v>43942</v>
      </c>
    </row>
    <row r="289" spans="1:26" s="22" customFormat="1" outlineLevel="1" x14ac:dyDescent="0.25">
      <c r="A289" s="120">
        <f t="shared" si="119"/>
        <v>11</v>
      </c>
      <c r="B289" s="392">
        <v>43951</v>
      </c>
      <c r="C289" s="231" t="s">
        <v>57</v>
      </c>
      <c r="D289" s="76"/>
      <c r="E289" s="231"/>
      <c r="F289" s="231"/>
      <c r="G289" s="231"/>
      <c r="H289" s="76"/>
      <c r="I289" s="232"/>
      <c r="J289" s="76"/>
      <c r="K289" s="76"/>
      <c r="L289" s="76">
        <f t="shared" si="120"/>
        <v>0</v>
      </c>
      <c r="M289" s="76"/>
      <c r="N289" s="76"/>
      <c r="O289" s="76"/>
      <c r="P289" s="76"/>
      <c r="Q289" s="76">
        <f t="shared" si="126"/>
        <v>0</v>
      </c>
      <c r="R289" s="76">
        <f t="shared" si="121"/>
        <v>0</v>
      </c>
      <c r="S289" s="76">
        <f t="shared" si="122"/>
        <v>0</v>
      </c>
      <c r="T289" s="129"/>
      <c r="U289" s="120" t="str">
        <f t="shared" si="123"/>
        <v>CRP:43951</v>
      </c>
      <c r="V289" s="265">
        <f t="shared" si="124"/>
        <v>43972</v>
      </c>
    </row>
    <row r="290" spans="1:26" s="22" customFormat="1" outlineLevel="1" x14ac:dyDescent="0.25">
      <c r="A290" s="120">
        <f t="shared" si="119"/>
        <v>12</v>
      </c>
      <c r="B290" s="392">
        <v>43982</v>
      </c>
      <c r="C290" s="231" t="s">
        <v>57</v>
      </c>
      <c r="D290" s="76"/>
      <c r="E290" s="231"/>
      <c r="F290" s="231"/>
      <c r="G290" s="231"/>
      <c r="H290" s="76"/>
      <c r="I290" s="232"/>
      <c r="J290" s="76"/>
      <c r="K290" s="76"/>
      <c r="L290" s="76">
        <f t="shared" si="120"/>
        <v>0</v>
      </c>
      <c r="M290" s="76"/>
      <c r="N290" s="76"/>
      <c r="O290" s="76"/>
      <c r="P290" s="76"/>
      <c r="Q290" s="76">
        <f t="shared" si="126"/>
        <v>0</v>
      </c>
      <c r="R290" s="76">
        <f t="shared" si="121"/>
        <v>0</v>
      </c>
      <c r="S290" s="76">
        <f t="shared" si="122"/>
        <v>0</v>
      </c>
      <c r="T290" s="129"/>
      <c r="U290" s="120" t="str">
        <f t="shared" si="123"/>
        <v>CRP:43982</v>
      </c>
      <c r="V290" s="265">
        <f t="shared" si="124"/>
        <v>44003</v>
      </c>
      <c r="X290" s="35"/>
      <c r="Y290" s="35"/>
      <c r="Z290" s="35"/>
    </row>
    <row r="291" spans="1:26" s="22" customFormat="1" outlineLevel="1" x14ac:dyDescent="0.25">
      <c r="A291" s="120">
        <f t="shared" si="119"/>
        <v>1</v>
      </c>
      <c r="B291" s="392">
        <v>43646</v>
      </c>
      <c r="C291" s="231" t="s">
        <v>58</v>
      </c>
      <c r="D291" s="76"/>
      <c r="E291" s="231"/>
      <c r="F291" s="231"/>
      <c r="G291" s="231"/>
      <c r="H291" s="76"/>
      <c r="I291" s="232">
        <v>1049</v>
      </c>
      <c r="J291" s="76"/>
      <c r="K291" s="76"/>
      <c r="L291" s="76">
        <f t="shared" si="120"/>
        <v>953.64</v>
      </c>
      <c r="M291" s="76"/>
      <c r="N291" s="76"/>
      <c r="O291" s="76"/>
      <c r="P291" s="76"/>
      <c r="Q291" s="76">
        <f t="shared" si="126"/>
        <v>95.360000000000014</v>
      </c>
      <c r="R291" s="76">
        <f t="shared" si="121"/>
        <v>953.64</v>
      </c>
      <c r="S291" s="76">
        <f t="shared" si="122"/>
        <v>1049</v>
      </c>
      <c r="T291" s="129"/>
      <c r="U291" s="120" t="str">
        <f t="shared" si="123"/>
        <v>SM:43646</v>
      </c>
      <c r="V291" s="265">
        <f t="shared" si="124"/>
        <v>43667</v>
      </c>
      <c r="X291"/>
      <c r="Y291"/>
      <c r="Z291"/>
    </row>
    <row r="292" spans="1:26" s="22" customFormat="1" outlineLevel="1" x14ac:dyDescent="0.25">
      <c r="A292" s="120">
        <f t="shared" si="119"/>
        <v>2</v>
      </c>
      <c r="B292" s="392">
        <v>43677</v>
      </c>
      <c r="C292" s="231" t="s">
        <v>58</v>
      </c>
      <c r="D292" s="76"/>
      <c r="E292" s="231"/>
      <c r="F292" s="231"/>
      <c r="G292" s="231"/>
      <c r="H292" s="76"/>
      <c r="I292" s="232">
        <v>1028</v>
      </c>
      <c r="J292" s="76"/>
      <c r="K292" s="76"/>
      <c r="L292" s="76">
        <f t="shared" si="120"/>
        <v>934.55</v>
      </c>
      <c r="M292" s="76"/>
      <c r="N292" s="76"/>
      <c r="O292" s="76"/>
      <c r="P292" s="76"/>
      <c r="Q292" s="76">
        <f t="shared" si="126"/>
        <v>93.450000000000045</v>
      </c>
      <c r="R292" s="76">
        <f t="shared" si="121"/>
        <v>934.55</v>
      </c>
      <c r="S292" s="76">
        <f t="shared" si="122"/>
        <v>1028</v>
      </c>
      <c r="T292" s="129"/>
      <c r="U292" s="120" t="str">
        <f t="shared" si="123"/>
        <v>SM:43677</v>
      </c>
      <c r="V292" s="265">
        <f t="shared" si="124"/>
        <v>43698</v>
      </c>
      <c r="X292"/>
      <c r="Y292"/>
      <c r="Z292"/>
    </row>
    <row r="293" spans="1:26" s="22" customFormat="1" outlineLevel="1" x14ac:dyDescent="0.25">
      <c r="A293" s="120">
        <f t="shared" si="119"/>
        <v>3</v>
      </c>
      <c r="B293" s="392">
        <v>43708</v>
      </c>
      <c r="C293" s="231" t="s">
        <v>58</v>
      </c>
      <c r="D293" s="76"/>
      <c r="E293" s="231"/>
      <c r="F293" s="231"/>
      <c r="G293" s="231"/>
      <c r="H293" s="76"/>
      <c r="I293" s="232">
        <v>1559</v>
      </c>
      <c r="J293" s="76"/>
      <c r="K293" s="76"/>
      <c r="L293" s="76">
        <f>ROUND($I293/11*10,2)</f>
        <v>1417.27</v>
      </c>
      <c r="M293" s="76"/>
      <c r="N293" s="76"/>
      <c r="O293" s="76"/>
      <c r="P293" s="76"/>
      <c r="Q293" s="76">
        <f t="shared" si="126"/>
        <v>141.73000000000002</v>
      </c>
      <c r="R293" s="76">
        <f t="shared" si="121"/>
        <v>1417.27</v>
      </c>
      <c r="S293" s="76">
        <f t="shared" si="122"/>
        <v>1559</v>
      </c>
      <c r="T293" s="129"/>
      <c r="U293" s="120" t="str">
        <f t="shared" si="123"/>
        <v>SM:43708</v>
      </c>
      <c r="V293" s="265">
        <f t="shared" si="124"/>
        <v>43729</v>
      </c>
      <c r="X293"/>
      <c r="Y293"/>
      <c r="Z293"/>
    </row>
    <row r="294" spans="1:26" s="22" customFormat="1" outlineLevel="1" x14ac:dyDescent="0.25">
      <c r="A294" s="120">
        <f t="shared" si="119"/>
        <v>4</v>
      </c>
      <c r="B294" s="392">
        <v>43738</v>
      </c>
      <c r="C294" s="231" t="s">
        <v>58</v>
      </c>
      <c r="D294" s="76"/>
      <c r="E294" s="231"/>
      <c r="F294" s="231"/>
      <c r="G294" s="231"/>
      <c r="H294" s="76"/>
      <c r="I294" s="232">
        <v>704</v>
      </c>
      <c r="J294" s="76"/>
      <c r="K294" s="76"/>
      <c r="L294" s="76">
        <f t="shared" si="120"/>
        <v>640</v>
      </c>
      <c r="M294" s="76"/>
      <c r="N294" s="76"/>
      <c r="O294" s="76"/>
      <c r="P294" s="76"/>
      <c r="Q294" s="76">
        <f t="shared" si="126"/>
        <v>64</v>
      </c>
      <c r="R294" s="76">
        <f t="shared" si="121"/>
        <v>640</v>
      </c>
      <c r="S294" s="76">
        <f t="shared" si="122"/>
        <v>704</v>
      </c>
      <c r="T294" s="129"/>
      <c r="U294" s="120" t="str">
        <f t="shared" si="123"/>
        <v>SM:43738</v>
      </c>
      <c r="V294" s="265">
        <f t="shared" si="124"/>
        <v>43759</v>
      </c>
      <c r="X294"/>
      <c r="Y294"/>
      <c r="Z294"/>
    </row>
    <row r="295" spans="1:26" s="22" customFormat="1" outlineLevel="1" x14ac:dyDescent="0.25">
      <c r="A295" s="120">
        <f t="shared" si="119"/>
        <v>5</v>
      </c>
      <c r="B295" s="392">
        <v>43769</v>
      </c>
      <c r="C295" s="231" t="s">
        <v>58</v>
      </c>
      <c r="D295" s="76"/>
      <c r="E295" s="231"/>
      <c r="F295" s="231"/>
      <c r="G295" s="231"/>
      <c r="H295" s="76"/>
      <c r="I295" s="232"/>
      <c r="J295" s="76"/>
      <c r="K295" s="76"/>
      <c r="L295" s="76">
        <f t="shared" si="120"/>
        <v>0</v>
      </c>
      <c r="M295" s="76"/>
      <c r="N295" s="76"/>
      <c r="O295" s="76"/>
      <c r="P295" s="76"/>
      <c r="Q295" s="76">
        <f t="shared" si="126"/>
        <v>0</v>
      </c>
      <c r="R295" s="76">
        <f t="shared" si="121"/>
        <v>0</v>
      </c>
      <c r="S295" s="76">
        <f t="shared" si="122"/>
        <v>0</v>
      </c>
      <c r="T295" s="129"/>
      <c r="U295" s="120" t="str">
        <f t="shared" si="123"/>
        <v>SM:43769</v>
      </c>
      <c r="V295" s="265">
        <f t="shared" si="124"/>
        <v>43790</v>
      </c>
      <c r="X295"/>
      <c r="Y295"/>
      <c r="Z295"/>
    </row>
    <row r="296" spans="1:26" s="22" customFormat="1" outlineLevel="1" x14ac:dyDescent="0.25">
      <c r="A296" s="120">
        <f t="shared" si="119"/>
        <v>6</v>
      </c>
      <c r="B296" s="392">
        <v>43799</v>
      </c>
      <c r="C296" s="231" t="s">
        <v>58</v>
      </c>
      <c r="D296" s="76"/>
      <c r="E296" s="231"/>
      <c r="F296" s="231"/>
      <c r="G296" s="231"/>
      <c r="H296" s="76"/>
      <c r="I296" s="232"/>
      <c r="J296" s="76"/>
      <c r="K296" s="76"/>
      <c r="L296" s="76">
        <f t="shared" si="120"/>
        <v>0</v>
      </c>
      <c r="M296" s="76"/>
      <c r="N296" s="76"/>
      <c r="O296" s="76"/>
      <c r="P296" s="76"/>
      <c r="Q296" s="76">
        <f t="shared" si="126"/>
        <v>0</v>
      </c>
      <c r="R296" s="76">
        <f t="shared" si="121"/>
        <v>0</v>
      </c>
      <c r="S296" s="76">
        <f t="shared" si="122"/>
        <v>0</v>
      </c>
      <c r="T296" s="129"/>
      <c r="U296" s="120" t="str">
        <f t="shared" si="123"/>
        <v>SM:43799</v>
      </c>
      <c r="V296" s="265">
        <f t="shared" si="124"/>
        <v>43820</v>
      </c>
      <c r="X296"/>
      <c r="Y296"/>
      <c r="Z296"/>
    </row>
    <row r="297" spans="1:26" s="22" customFormat="1" outlineLevel="1" x14ac:dyDescent="0.25">
      <c r="A297" s="120">
        <f t="shared" si="119"/>
        <v>7</v>
      </c>
      <c r="B297" s="392">
        <v>43830</v>
      </c>
      <c r="C297" s="231" t="s">
        <v>58</v>
      </c>
      <c r="D297" s="76"/>
      <c r="E297" s="231"/>
      <c r="F297" s="231"/>
      <c r="G297" s="231"/>
      <c r="H297" s="76"/>
      <c r="I297" s="232"/>
      <c r="J297" s="76"/>
      <c r="K297" s="76"/>
      <c r="L297" s="76">
        <f t="shared" si="120"/>
        <v>0</v>
      </c>
      <c r="M297" s="76"/>
      <c r="N297" s="76"/>
      <c r="O297" s="76"/>
      <c r="P297" s="76"/>
      <c r="Q297" s="76">
        <f t="shared" si="126"/>
        <v>0</v>
      </c>
      <c r="R297" s="76">
        <f t="shared" si="121"/>
        <v>0</v>
      </c>
      <c r="S297" s="76">
        <f t="shared" si="122"/>
        <v>0</v>
      </c>
      <c r="T297" s="129"/>
      <c r="U297" s="120" t="str">
        <f t="shared" si="123"/>
        <v>SM:43830</v>
      </c>
      <c r="V297" s="265">
        <f t="shared" si="124"/>
        <v>43851</v>
      </c>
      <c r="X297"/>
      <c r="Y297"/>
      <c r="Z297"/>
    </row>
    <row r="298" spans="1:26" s="22" customFormat="1" outlineLevel="1" x14ac:dyDescent="0.25">
      <c r="A298" s="120">
        <f t="shared" si="119"/>
        <v>8</v>
      </c>
      <c r="B298" s="392">
        <v>43861</v>
      </c>
      <c r="C298" s="231" t="s">
        <v>58</v>
      </c>
      <c r="D298" s="76"/>
      <c r="E298" s="231"/>
      <c r="F298" s="231"/>
      <c r="G298" s="231"/>
      <c r="H298" s="76"/>
      <c r="I298" s="232"/>
      <c r="J298" s="76"/>
      <c r="K298" s="76"/>
      <c r="L298" s="76">
        <f t="shared" si="120"/>
        <v>0</v>
      </c>
      <c r="M298" s="76"/>
      <c r="N298" s="76"/>
      <c r="O298" s="76"/>
      <c r="P298" s="76"/>
      <c r="Q298" s="76">
        <f t="shared" si="126"/>
        <v>0</v>
      </c>
      <c r="R298" s="76">
        <f t="shared" ref="R298:R329" si="127">SUM($K298:$L298)</f>
        <v>0</v>
      </c>
      <c r="S298" s="76">
        <f t="shared" ref="S298:S329" si="128">SUM(K298:L298)+O298+Q298</f>
        <v>0</v>
      </c>
      <c r="T298" s="129"/>
      <c r="U298" s="120" t="str">
        <f t="shared" ref="U298:U329" si="129">C298 &amp;":"&amp; B298</f>
        <v>SM:43861</v>
      </c>
      <c r="V298" s="265">
        <f t="shared" ref="V298:V329" si="130">DATE(YEAR(B298+1),MONTH(B298+1),VLOOKUP(C298,payEmpNames,4))</f>
        <v>43882</v>
      </c>
      <c r="X298"/>
      <c r="Y298"/>
      <c r="Z298"/>
    </row>
    <row r="299" spans="1:26" s="22" customFormat="1" outlineLevel="1" x14ac:dyDescent="0.25">
      <c r="A299" s="120">
        <f t="shared" si="119"/>
        <v>9</v>
      </c>
      <c r="B299" s="392">
        <v>43889</v>
      </c>
      <c r="C299" s="231" t="s">
        <v>58</v>
      </c>
      <c r="D299" s="76"/>
      <c r="E299" s="231"/>
      <c r="F299" s="231"/>
      <c r="G299" s="231"/>
      <c r="H299" s="76"/>
      <c r="I299" s="232"/>
      <c r="J299" s="76"/>
      <c r="K299" s="76"/>
      <c r="L299" s="76">
        <f t="shared" si="120"/>
        <v>0</v>
      </c>
      <c r="M299" s="76"/>
      <c r="N299" s="76"/>
      <c r="O299" s="76"/>
      <c r="P299" s="76"/>
      <c r="Q299" s="76">
        <f t="shared" si="126"/>
        <v>0</v>
      </c>
      <c r="R299" s="76">
        <f t="shared" si="127"/>
        <v>0</v>
      </c>
      <c r="S299" s="76">
        <f t="shared" si="128"/>
        <v>0</v>
      </c>
      <c r="T299" s="129"/>
      <c r="U299" s="120" t="str">
        <f t="shared" si="129"/>
        <v>SM:43889</v>
      </c>
      <c r="V299" s="265">
        <f t="shared" si="130"/>
        <v>43882</v>
      </c>
      <c r="X299"/>
      <c r="Y299"/>
      <c r="Z299"/>
    </row>
    <row r="300" spans="1:26" s="22" customFormat="1" outlineLevel="1" x14ac:dyDescent="0.25">
      <c r="A300" s="120">
        <f t="shared" si="119"/>
        <v>10</v>
      </c>
      <c r="B300" s="392">
        <v>43921</v>
      </c>
      <c r="C300" s="231" t="s">
        <v>58</v>
      </c>
      <c r="D300" s="76"/>
      <c r="E300" s="231"/>
      <c r="F300" s="231"/>
      <c r="G300" s="231"/>
      <c r="H300" s="76"/>
      <c r="I300" s="232"/>
      <c r="J300" s="76"/>
      <c r="K300" s="76"/>
      <c r="L300" s="76">
        <f t="shared" si="120"/>
        <v>0</v>
      </c>
      <c r="M300" s="76"/>
      <c r="N300" s="76"/>
      <c r="O300" s="76"/>
      <c r="P300" s="76"/>
      <c r="Q300" s="76">
        <f t="shared" si="126"/>
        <v>0</v>
      </c>
      <c r="R300" s="76">
        <f t="shared" si="127"/>
        <v>0</v>
      </c>
      <c r="S300" s="76">
        <f t="shared" si="128"/>
        <v>0</v>
      </c>
      <c r="T300" s="129"/>
      <c r="U300" s="120" t="str">
        <f t="shared" si="129"/>
        <v>SM:43921</v>
      </c>
      <c r="V300" s="265">
        <f t="shared" si="130"/>
        <v>43942</v>
      </c>
      <c r="X300"/>
      <c r="Y300"/>
      <c r="Z300"/>
    </row>
    <row r="301" spans="1:26" s="22" customFormat="1" outlineLevel="1" x14ac:dyDescent="0.25">
      <c r="A301" s="120">
        <f t="shared" si="119"/>
        <v>11</v>
      </c>
      <c r="B301" s="392">
        <v>43951</v>
      </c>
      <c r="C301" s="231" t="s">
        <v>58</v>
      </c>
      <c r="D301" s="76"/>
      <c r="E301" s="231"/>
      <c r="F301" s="231"/>
      <c r="G301" s="231"/>
      <c r="H301" s="76"/>
      <c r="I301" s="232"/>
      <c r="J301" s="76"/>
      <c r="K301" s="76"/>
      <c r="L301" s="76">
        <f t="shared" si="120"/>
        <v>0</v>
      </c>
      <c r="M301" s="76"/>
      <c r="N301" s="76"/>
      <c r="O301" s="76"/>
      <c r="P301" s="76"/>
      <c r="Q301" s="76">
        <f t="shared" si="126"/>
        <v>0</v>
      </c>
      <c r="R301" s="76">
        <f t="shared" si="127"/>
        <v>0</v>
      </c>
      <c r="S301" s="76">
        <f t="shared" si="128"/>
        <v>0</v>
      </c>
      <c r="T301" s="129"/>
      <c r="U301" s="120" t="str">
        <f t="shared" si="129"/>
        <v>SM:43951</v>
      </c>
      <c r="V301" s="265">
        <f t="shared" si="130"/>
        <v>43972</v>
      </c>
      <c r="X301"/>
      <c r="Y301"/>
      <c r="Z301"/>
    </row>
    <row r="302" spans="1:26" s="22" customFormat="1" outlineLevel="1" x14ac:dyDescent="0.25">
      <c r="A302" s="120">
        <f t="shared" si="119"/>
        <v>12</v>
      </c>
      <c r="B302" s="392">
        <v>43982</v>
      </c>
      <c r="C302" s="231" t="s">
        <v>58</v>
      </c>
      <c r="D302" s="76"/>
      <c r="E302" s="231"/>
      <c r="F302" s="231"/>
      <c r="G302" s="231"/>
      <c r="H302" s="76"/>
      <c r="I302" s="232"/>
      <c r="J302" s="76"/>
      <c r="K302" s="76"/>
      <c r="L302" s="76">
        <f t="shared" si="120"/>
        <v>0</v>
      </c>
      <c r="M302" s="76"/>
      <c r="N302" s="76"/>
      <c r="O302" s="76"/>
      <c r="P302" s="76"/>
      <c r="Q302" s="76">
        <f t="shared" si="126"/>
        <v>0</v>
      </c>
      <c r="R302" s="76">
        <f t="shared" si="127"/>
        <v>0</v>
      </c>
      <c r="S302" s="76">
        <f t="shared" si="128"/>
        <v>0</v>
      </c>
      <c r="T302" s="129"/>
      <c r="U302" s="120" t="str">
        <f t="shared" si="129"/>
        <v>SM:43982</v>
      </c>
      <c r="V302" s="265">
        <f t="shared" si="130"/>
        <v>44003</v>
      </c>
      <c r="X302"/>
      <c r="Y302"/>
      <c r="Z302"/>
    </row>
    <row r="303" spans="1:26" s="22" customFormat="1" outlineLevel="1" x14ac:dyDescent="0.25">
      <c r="A303" s="120">
        <f t="shared" si="119"/>
        <v>1</v>
      </c>
      <c r="B303" s="392">
        <v>43646</v>
      </c>
      <c r="C303" s="231" t="s">
        <v>657</v>
      </c>
      <c r="D303" s="76"/>
      <c r="E303" s="231"/>
      <c r="F303" s="231"/>
      <c r="G303" s="231"/>
      <c r="H303" s="76"/>
      <c r="I303" s="232">
        <v>236.8</v>
      </c>
      <c r="J303" s="76"/>
      <c r="K303" s="76"/>
      <c r="L303" s="76">
        <f t="shared" si="120"/>
        <v>215.27</v>
      </c>
      <c r="M303" s="76"/>
      <c r="N303" s="76"/>
      <c r="O303" s="76"/>
      <c r="P303" s="76"/>
      <c r="Q303" s="76">
        <f t="shared" si="126"/>
        <v>21.53</v>
      </c>
      <c r="R303" s="76">
        <f t="shared" si="127"/>
        <v>215.27</v>
      </c>
      <c r="S303" s="76">
        <f t="shared" si="128"/>
        <v>236.8</v>
      </c>
      <c r="T303" s="129"/>
      <c r="U303" s="120" t="str">
        <f t="shared" si="129"/>
        <v>VAK:43646</v>
      </c>
      <c r="V303" s="265">
        <f t="shared" si="130"/>
        <v>43667</v>
      </c>
    </row>
    <row r="304" spans="1:26" s="22" customFormat="1" outlineLevel="1" x14ac:dyDescent="0.25">
      <c r="A304" s="120">
        <f t="shared" si="119"/>
        <v>2</v>
      </c>
      <c r="B304" s="392">
        <v>43677</v>
      </c>
      <c r="C304" s="231" t="s">
        <v>657</v>
      </c>
      <c r="D304" s="76"/>
      <c r="E304" s="231"/>
      <c r="F304" s="231"/>
      <c r="G304" s="231"/>
      <c r="H304" s="76"/>
      <c r="I304" s="232">
        <v>126.1</v>
      </c>
      <c r="J304" s="76"/>
      <c r="K304" s="76"/>
      <c r="L304" s="76">
        <f t="shared" si="120"/>
        <v>114.64</v>
      </c>
      <c r="M304" s="76"/>
      <c r="N304" s="76"/>
      <c r="O304" s="76"/>
      <c r="P304" s="76"/>
      <c r="Q304" s="76">
        <f t="shared" si="126"/>
        <v>11.459999999999994</v>
      </c>
      <c r="R304" s="76">
        <f t="shared" si="127"/>
        <v>114.64</v>
      </c>
      <c r="S304" s="76">
        <f t="shared" si="128"/>
        <v>126.1</v>
      </c>
      <c r="T304" s="129"/>
      <c r="U304" s="120" t="str">
        <f t="shared" si="129"/>
        <v>VAK:43677</v>
      </c>
      <c r="V304" s="265">
        <f t="shared" si="130"/>
        <v>43698</v>
      </c>
    </row>
    <row r="305" spans="1:26" s="22" customFormat="1" outlineLevel="1" x14ac:dyDescent="0.25">
      <c r="A305" s="120">
        <f t="shared" si="119"/>
        <v>3</v>
      </c>
      <c r="B305" s="392">
        <v>43708</v>
      </c>
      <c r="C305" s="231" t="s">
        <v>657</v>
      </c>
      <c r="D305" s="76"/>
      <c r="E305" s="231"/>
      <c r="F305" s="231"/>
      <c r="G305" s="231"/>
      <c r="H305" s="76"/>
      <c r="I305" s="232">
        <v>139.95000000000002</v>
      </c>
      <c r="J305" s="76"/>
      <c r="K305" s="76"/>
      <c r="L305" s="76">
        <f t="shared" si="120"/>
        <v>127.23</v>
      </c>
      <c r="M305" s="76"/>
      <c r="N305" s="76"/>
      <c r="O305" s="76"/>
      <c r="P305" s="76"/>
      <c r="Q305" s="76">
        <f t="shared" si="126"/>
        <v>12.720000000000013</v>
      </c>
      <c r="R305" s="76">
        <f t="shared" si="127"/>
        <v>127.23</v>
      </c>
      <c r="S305" s="76">
        <f t="shared" si="128"/>
        <v>139.95000000000002</v>
      </c>
      <c r="T305" s="129"/>
      <c r="U305" s="120" t="str">
        <f t="shared" si="129"/>
        <v>VAK:43708</v>
      </c>
      <c r="V305" s="265">
        <f t="shared" si="130"/>
        <v>43729</v>
      </c>
    </row>
    <row r="306" spans="1:26" s="22" customFormat="1" outlineLevel="1" x14ac:dyDescent="0.25">
      <c r="A306" s="120">
        <f t="shared" si="119"/>
        <v>4</v>
      </c>
      <c r="B306" s="392">
        <v>43738</v>
      </c>
      <c r="C306" s="231" t="s">
        <v>657</v>
      </c>
      <c r="D306" s="76"/>
      <c r="E306" s="231"/>
      <c r="F306" s="231"/>
      <c r="G306" s="231"/>
      <c r="H306" s="76"/>
      <c r="I306" s="232">
        <v>176.9</v>
      </c>
      <c r="J306" s="76"/>
      <c r="K306" s="76"/>
      <c r="L306" s="76">
        <f t="shared" si="120"/>
        <v>160.82</v>
      </c>
      <c r="M306" s="76"/>
      <c r="N306" s="76"/>
      <c r="O306" s="76"/>
      <c r="P306" s="76"/>
      <c r="Q306" s="76">
        <f t="shared" si="126"/>
        <v>16.080000000000013</v>
      </c>
      <c r="R306" s="76">
        <f t="shared" si="127"/>
        <v>160.82</v>
      </c>
      <c r="S306" s="76">
        <f t="shared" si="128"/>
        <v>176.9</v>
      </c>
      <c r="T306" s="129"/>
      <c r="U306" s="120" t="str">
        <f t="shared" si="129"/>
        <v>VAK:43738</v>
      </c>
      <c r="V306" s="265">
        <f t="shared" si="130"/>
        <v>43759</v>
      </c>
    </row>
    <row r="307" spans="1:26" s="22" customFormat="1" outlineLevel="1" x14ac:dyDescent="0.25">
      <c r="A307" s="120">
        <f t="shared" si="119"/>
        <v>5</v>
      </c>
      <c r="B307" s="392">
        <v>43769</v>
      </c>
      <c r="C307" s="231" t="s">
        <v>657</v>
      </c>
      <c r="D307" s="76"/>
      <c r="E307" s="231"/>
      <c r="F307" s="231"/>
      <c r="G307" s="231"/>
      <c r="H307" s="76"/>
      <c r="I307" s="232"/>
      <c r="J307" s="76"/>
      <c r="K307" s="76"/>
      <c r="L307" s="76">
        <f t="shared" si="120"/>
        <v>0</v>
      </c>
      <c r="M307" s="76"/>
      <c r="N307" s="76"/>
      <c r="O307" s="76"/>
      <c r="P307" s="76"/>
      <c r="Q307" s="76">
        <f t="shared" si="126"/>
        <v>0</v>
      </c>
      <c r="R307" s="76">
        <f t="shared" si="127"/>
        <v>0</v>
      </c>
      <c r="S307" s="76">
        <f t="shared" si="128"/>
        <v>0</v>
      </c>
      <c r="T307" s="129"/>
      <c r="U307" s="120" t="str">
        <f t="shared" si="129"/>
        <v>VAK:43769</v>
      </c>
      <c r="V307" s="265">
        <f t="shared" si="130"/>
        <v>43790</v>
      </c>
    </row>
    <row r="308" spans="1:26" s="22" customFormat="1" outlineLevel="1" x14ac:dyDescent="0.25">
      <c r="A308" s="120">
        <f t="shared" si="119"/>
        <v>6</v>
      </c>
      <c r="B308" s="392">
        <v>43799</v>
      </c>
      <c r="C308" s="231" t="s">
        <v>657</v>
      </c>
      <c r="D308" s="76"/>
      <c r="E308" s="231"/>
      <c r="F308" s="231"/>
      <c r="G308" s="231"/>
      <c r="H308" s="76"/>
      <c r="I308" s="232"/>
      <c r="J308" s="76"/>
      <c r="K308" s="76"/>
      <c r="L308" s="76">
        <f t="shared" si="120"/>
        <v>0</v>
      </c>
      <c r="M308" s="76"/>
      <c r="N308" s="76"/>
      <c r="O308" s="76"/>
      <c r="P308" s="76"/>
      <c r="Q308" s="76">
        <f t="shared" si="126"/>
        <v>0</v>
      </c>
      <c r="R308" s="76">
        <f t="shared" si="127"/>
        <v>0</v>
      </c>
      <c r="S308" s="76">
        <f t="shared" si="128"/>
        <v>0</v>
      </c>
      <c r="T308" s="129"/>
      <c r="U308" s="120" t="str">
        <f t="shared" si="129"/>
        <v>VAK:43799</v>
      </c>
      <c r="V308" s="265">
        <f t="shared" si="130"/>
        <v>43820</v>
      </c>
    </row>
    <row r="309" spans="1:26" s="22" customFormat="1" outlineLevel="1" x14ac:dyDescent="0.25">
      <c r="A309" s="120">
        <f t="shared" si="119"/>
        <v>7</v>
      </c>
      <c r="B309" s="392">
        <v>43830</v>
      </c>
      <c r="C309" s="231" t="s">
        <v>657</v>
      </c>
      <c r="D309" s="76"/>
      <c r="E309" s="231"/>
      <c r="F309" s="231"/>
      <c r="G309" s="231"/>
      <c r="H309" s="76"/>
      <c r="I309" s="232"/>
      <c r="J309" s="76"/>
      <c r="K309" s="76"/>
      <c r="L309" s="76">
        <f t="shared" si="120"/>
        <v>0</v>
      </c>
      <c r="M309" s="76"/>
      <c r="N309" s="76"/>
      <c r="O309" s="76"/>
      <c r="P309" s="76"/>
      <c r="Q309" s="76">
        <f t="shared" si="126"/>
        <v>0</v>
      </c>
      <c r="R309" s="76">
        <f t="shared" si="127"/>
        <v>0</v>
      </c>
      <c r="S309" s="76">
        <f t="shared" si="128"/>
        <v>0</v>
      </c>
      <c r="T309" s="129"/>
      <c r="U309" s="120" t="str">
        <f t="shared" si="129"/>
        <v>VAK:43830</v>
      </c>
      <c r="V309" s="265">
        <f t="shared" si="130"/>
        <v>43851</v>
      </c>
    </row>
    <row r="310" spans="1:26" s="22" customFormat="1" outlineLevel="1" x14ac:dyDescent="0.25">
      <c r="A310" s="120">
        <f t="shared" si="119"/>
        <v>8</v>
      </c>
      <c r="B310" s="392">
        <v>43861</v>
      </c>
      <c r="C310" s="231" t="s">
        <v>657</v>
      </c>
      <c r="D310" s="76"/>
      <c r="E310" s="231"/>
      <c r="F310" s="231"/>
      <c r="G310" s="231"/>
      <c r="H310" s="76"/>
      <c r="I310" s="232"/>
      <c r="J310" s="76"/>
      <c r="K310" s="76"/>
      <c r="L310" s="76">
        <f t="shared" si="120"/>
        <v>0</v>
      </c>
      <c r="M310" s="76"/>
      <c r="N310" s="76"/>
      <c r="O310" s="76"/>
      <c r="P310" s="76"/>
      <c r="Q310" s="76">
        <f t="shared" si="126"/>
        <v>0</v>
      </c>
      <c r="R310" s="76">
        <f t="shared" si="127"/>
        <v>0</v>
      </c>
      <c r="S310" s="76">
        <f t="shared" si="128"/>
        <v>0</v>
      </c>
      <c r="T310" s="129"/>
      <c r="U310" s="120" t="str">
        <f t="shared" si="129"/>
        <v>VAK:43861</v>
      </c>
      <c r="V310" s="265">
        <f t="shared" si="130"/>
        <v>43882</v>
      </c>
    </row>
    <row r="311" spans="1:26" s="22" customFormat="1" outlineLevel="1" x14ac:dyDescent="0.25">
      <c r="A311" s="120">
        <f t="shared" si="119"/>
        <v>9</v>
      </c>
      <c r="B311" s="392">
        <v>43889</v>
      </c>
      <c r="C311" s="231" t="s">
        <v>657</v>
      </c>
      <c r="D311" s="76"/>
      <c r="E311" s="231"/>
      <c r="F311" s="231"/>
      <c r="G311" s="231"/>
      <c r="H311" s="76"/>
      <c r="I311" s="232"/>
      <c r="J311" s="76"/>
      <c r="K311" s="76"/>
      <c r="L311" s="76">
        <f t="shared" si="120"/>
        <v>0</v>
      </c>
      <c r="M311" s="76"/>
      <c r="N311" s="76"/>
      <c r="O311" s="76"/>
      <c r="P311" s="76"/>
      <c r="Q311" s="76">
        <f t="shared" si="126"/>
        <v>0</v>
      </c>
      <c r="R311" s="76">
        <f t="shared" si="127"/>
        <v>0</v>
      </c>
      <c r="S311" s="76">
        <f t="shared" si="128"/>
        <v>0</v>
      </c>
      <c r="T311" s="129"/>
      <c r="U311" s="120" t="str">
        <f t="shared" si="129"/>
        <v>VAK:43889</v>
      </c>
      <c r="V311" s="265">
        <f t="shared" si="130"/>
        <v>43882</v>
      </c>
    </row>
    <row r="312" spans="1:26" s="22" customFormat="1" outlineLevel="1" x14ac:dyDescent="0.25">
      <c r="A312" s="120">
        <f t="shared" si="119"/>
        <v>10</v>
      </c>
      <c r="B312" s="392">
        <v>43921</v>
      </c>
      <c r="C312" s="231" t="s">
        <v>657</v>
      </c>
      <c r="D312" s="76"/>
      <c r="E312" s="231"/>
      <c r="F312" s="231"/>
      <c r="G312" s="231"/>
      <c r="H312" s="76"/>
      <c r="I312" s="232"/>
      <c r="J312" s="76"/>
      <c r="K312" s="76"/>
      <c r="L312" s="76">
        <f t="shared" si="120"/>
        <v>0</v>
      </c>
      <c r="M312" s="76"/>
      <c r="N312" s="76"/>
      <c r="O312" s="76"/>
      <c r="P312" s="76"/>
      <c r="Q312" s="76">
        <f t="shared" si="126"/>
        <v>0</v>
      </c>
      <c r="R312" s="76">
        <f t="shared" si="127"/>
        <v>0</v>
      </c>
      <c r="S312" s="76">
        <f t="shared" si="128"/>
        <v>0</v>
      </c>
      <c r="T312" s="129"/>
      <c r="U312" s="120" t="str">
        <f t="shared" si="129"/>
        <v>VAK:43921</v>
      </c>
      <c r="V312" s="265">
        <f t="shared" si="130"/>
        <v>43942</v>
      </c>
    </row>
    <row r="313" spans="1:26" s="22" customFormat="1" outlineLevel="1" x14ac:dyDescent="0.25">
      <c r="A313" s="120">
        <f t="shared" si="119"/>
        <v>11</v>
      </c>
      <c r="B313" s="392">
        <v>43951</v>
      </c>
      <c r="C313" s="231" t="s">
        <v>657</v>
      </c>
      <c r="D313" s="76"/>
      <c r="E313" s="231"/>
      <c r="F313" s="231"/>
      <c r="G313" s="231"/>
      <c r="H313" s="76"/>
      <c r="I313" s="232"/>
      <c r="J313" s="76"/>
      <c r="K313" s="76"/>
      <c r="L313" s="76">
        <f t="shared" si="120"/>
        <v>0</v>
      </c>
      <c r="M313" s="76"/>
      <c r="N313" s="76"/>
      <c r="O313" s="76"/>
      <c r="P313" s="76"/>
      <c r="Q313" s="76">
        <f t="shared" si="126"/>
        <v>0</v>
      </c>
      <c r="R313" s="76">
        <f t="shared" si="127"/>
        <v>0</v>
      </c>
      <c r="S313" s="76">
        <f t="shared" si="128"/>
        <v>0</v>
      </c>
      <c r="T313" s="129"/>
      <c r="U313" s="120" t="str">
        <f t="shared" si="129"/>
        <v>VAK:43951</v>
      </c>
      <c r="V313" s="265">
        <f t="shared" si="130"/>
        <v>43972</v>
      </c>
    </row>
    <row r="314" spans="1:26" s="22" customFormat="1" outlineLevel="1" x14ac:dyDescent="0.25">
      <c r="A314" s="120">
        <f t="shared" si="119"/>
        <v>12</v>
      </c>
      <c r="B314" s="392">
        <v>43982</v>
      </c>
      <c r="C314" s="231" t="s">
        <v>657</v>
      </c>
      <c r="D314" s="76"/>
      <c r="E314" s="231"/>
      <c r="F314" s="231"/>
      <c r="G314" s="231"/>
      <c r="H314" s="76"/>
      <c r="I314" s="232"/>
      <c r="J314" s="76"/>
      <c r="K314" s="76"/>
      <c r="L314" s="76">
        <f t="shared" si="120"/>
        <v>0</v>
      </c>
      <c r="M314" s="76"/>
      <c r="N314" s="76"/>
      <c r="O314" s="76"/>
      <c r="P314" s="76"/>
      <c r="Q314" s="76">
        <f t="shared" si="126"/>
        <v>0</v>
      </c>
      <c r="R314" s="76">
        <f t="shared" si="127"/>
        <v>0</v>
      </c>
      <c r="S314" s="76">
        <f t="shared" si="128"/>
        <v>0</v>
      </c>
      <c r="T314" s="129"/>
      <c r="U314" s="120" t="str">
        <f t="shared" si="129"/>
        <v>VAK:43982</v>
      </c>
      <c r="V314" s="265">
        <f t="shared" si="130"/>
        <v>44003</v>
      </c>
      <c r="X314" s="35"/>
      <c r="Y314" s="35"/>
      <c r="Z314" s="35"/>
    </row>
    <row r="315" spans="1:26" s="22" customFormat="1" outlineLevel="1" x14ac:dyDescent="0.25">
      <c r="A315" s="120">
        <f t="shared" si="119"/>
        <v>1</v>
      </c>
      <c r="B315" s="392">
        <v>43646</v>
      </c>
      <c r="C315" s="231" t="s">
        <v>658</v>
      </c>
      <c r="D315" s="76"/>
      <c r="E315" s="231"/>
      <c r="F315" s="231"/>
      <c r="G315" s="231"/>
      <c r="H315" s="76"/>
      <c r="I315" s="232">
        <v>57</v>
      </c>
      <c r="J315" s="76"/>
      <c r="K315" s="76"/>
      <c r="L315" s="76">
        <f t="shared" si="120"/>
        <v>51.82</v>
      </c>
      <c r="M315" s="76"/>
      <c r="N315" s="76"/>
      <c r="O315" s="76"/>
      <c r="P315" s="76"/>
      <c r="Q315" s="76">
        <f t="shared" si="126"/>
        <v>5.18</v>
      </c>
      <c r="R315" s="76">
        <f t="shared" si="127"/>
        <v>51.82</v>
      </c>
      <c r="S315" s="76">
        <f t="shared" si="128"/>
        <v>57</v>
      </c>
      <c r="T315" s="129"/>
      <c r="U315" s="120" t="str">
        <f t="shared" si="129"/>
        <v>ASW:43646</v>
      </c>
      <c r="V315" s="265">
        <f t="shared" si="130"/>
        <v>43667</v>
      </c>
      <c r="X315"/>
      <c r="Y315"/>
      <c r="Z315"/>
    </row>
    <row r="316" spans="1:26" s="22" customFormat="1" outlineLevel="1" x14ac:dyDescent="0.25">
      <c r="A316" s="120">
        <f t="shared" si="119"/>
        <v>2</v>
      </c>
      <c r="B316" s="392">
        <v>43677</v>
      </c>
      <c r="C316" s="231" t="s">
        <v>658</v>
      </c>
      <c r="D316" s="76"/>
      <c r="E316" s="231"/>
      <c r="F316" s="231"/>
      <c r="G316" s="231"/>
      <c r="H316" s="76"/>
      <c r="I316" s="232">
        <v>61.6</v>
      </c>
      <c r="J316" s="76"/>
      <c r="K316" s="76"/>
      <c r="L316" s="76">
        <f t="shared" si="120"/>
        <v>56</v>
      </c>
      <c r="M316" s="76"/>
      <c r="N316" s="76"/>
      <c r="O316" s="76"/>
      <c r="P316" s="76"/>
      <c r="Q316" s="76">
        <f t="shared" si="126"/>
        <v>5.6000000000000014</v>
      </c>
      <c r="R316" s="76">
        <f t="shared" si="127"/>
        <v>56</v>
      </c>
      <c r="S316" s="76">
        <f t="shared" si="128"/>
        <v>61.6</v>
      </c>
      <c r="T316" s="129"/>
      <c r="U316" s="120" t="str">
        <f t="shared" si="129"/>
        <v>ASW:43677</v>
      </c>
      <c r="V316" s="265">
        <f t="shared" si="130"/>
        <v>43698</v>
      </c>
      <c r="X316"/>
      <c r="Y316"/>
      <c r="Z316"/>
    </row>
    <row r="317" spans="1:26" s="22" customFormat="1" outlineLevel="1" x14ac:dyDescent="0.25">
      <c r="A317" s="120">
        <f t="shared" si="119"/>
        <v>3</v>
      </c>
      <c r="B317" s="392">
        <v>43708</v>
      </c>
      <c r="C317" s="231" t="s">
        <v>658</v>
      </c>
      <c r="D317" s="76"/>
      <c r="E317" s="231"/>
      <c r="F317" s="231"/>
      <c r="G317" s="231"/>
      <c r="H317" s="76"/>
      <c r="I317" s="232">
        <v>61.6</v>
      </c>
      <c r="J317" s="76"/>
      <c r="K317" s="76"/>
      <c r="L317" s="76">
        <f>ROUND($I317/11*10,2)</f>
        <v>56</v>
      </c>
      <c r="M317" s="76"/>
      <c r="N317" s="76"/>
      <c r="O317" s="76"/>
      <c r="P317" s="76"/>
      <c r="Q317" s="76">
        <f t="shared" si="126"/>
        <v>5.6000000000000014</v>
      </c>
      <c r="R317" s="76">
        <f t="shared" si="127"/>
        <v>56</v>
      </c>
      <c r="S317" s="76">
        <f t="shared" si="128"/>
        <v>61.6</v>
      </c>
      <c r="T317" s="129"/>
      <c r="U317" s="120" t="str">
        <f t="shared" si="129"/>
        <v>ASW:43708</v>
      </c>
      <c r="V317" s="265">
        <f t="shared" si="130"/>
        <v>43729</v>
      </c>
      <c r="X317"/>
      <c r="Y317"/>
      <c r="Z317"/>
    </row>
    <row r="318" spans="1:26" s="22" customFormat="1" outlineLevel="1" x14ac:dyDescent="0.25">
      <c r="A318" s="120">
        <f t="shared" si="119"/>
        <v>4</v>
      </c>
      <c r="B318" s="392">
        <v>43738</v>
      </c>
      <c r="C318" s="231" t="s">
        <v>658</v>
      </c>
      <c r="D318" s="76"/>
      <c r="E318" s="231"/>
      <c r="F318" s="231"/>
      <c r="G318" s="231"/>
      <c r="H318" s="76"/>
      <c r="I318" s="232">
        <v>375.14000000000004</v>
      </c>
      <c r="J318" s="76"/>
      <c r="K318" s="76"/>
      <c r="L318" s="76">
        <f t="shared" si="120"/>
        <v>341.04</v>
      </c>
      <c r="M318" s="76"/>
      <c r="N318" s="76"/>
      <c r="O318" s="76"/>
      <c r="P318" s="76"/>
      <c r="Q318" s="76">
        <f t="shared" si="126"/>
        <v>34.100000000000023</v>
      </c>
      <c r="R318" s="76">
        <f t="shared" si="127"/>
        <v>341.04</v>
      </c>
      <c r="S318" s="76">
        <f t="shared" si="128"/>
        <v>375.14000000000004</v>
      </c>
      <c r="T318" s="129"/>
      <c r="U318" s="120" t="str">
        <f t="shared" si="129"/>
        <v>ASW:43738</v>
      </c>
      <c r="V318" s="265">
        <f t="shared" si="130"/>
        <v>43759</v>
      </c>
      <c r="X318"/>
      <c r="Y318"/>
      <c r="Z318"/>
    </row>
    <row r="319" spans="1:26" s="22" customFormat="1" outlineLevel="1" x14ac:dyDescent="0.25">
      <c r="A319" s="120">
        <f t="shared" si="119"/>
        <v>5</v>
      </c>
      <c r="B319" s="392">
        <v>43769</v>
      </c>
      <c r="C319" s="231" t="s">
        <v>658</v>
      </c>
      <c r="D319" s="76"/>
      <c r="E319" s="231"/>
      <c r="F319" s="231"/>
      <c r="G319" s="231"/>
      <c r="H319" s="76"/>
      <c r="I319" s="232"/>
      <c r="J319" s="76"/>
      <c r="K319" s="76"/>
      <c r="L319" s="76">
        <f t="shared" si="120"/>
        <v>0</v>
      </c>
      <c r="M319" s="76"/>
      <c r="N319" s="76"/>
      <c r="O319" s="76"/>
      <c r="P319" s="76"/>
      <c r="Q319" s="76">
        <f t="shared" si="126"/>
        <v>0</v>
      </c>
      <c r="R319" s="76">
        <f t="shared" si="127"/>
        <v>0</v>
      </c>
      <c r="S319" s="76">
        <f t="shared" si="128"/>
        <v>0</v>
      </c>
      <c r="T319" s="129"/>
      <c r="U319" s="120" t="str">
        <f t="shared" si="129"/>
        <v>ASW:43769</v>
      </c>
      <c r="V319" s="265">
        <f t="shared" si="130"/>
        <v>43790</v>
      </c>
      <c r="X319"/>
      <c r="Y319"/>
      <c r="Z319"/>
    </row>
    <row r="320" spans="1:26" s="22" customFormat="1" outlineLevel="1" x14ac:dyDescent="0.25">
      <c r="A320" s="120">
        <f t="shared" si="119"/>
        <v>6</v>
      </c>
      <c r="B320" s="392">
        <v>43799</v>
      </c>
      <c r="C320" s="231" t="s">
        <v>658</v>
      </c>
      <c r="D320" s="76"/>
      <c r="E320" s="231"/>
      <c r="F320" s="231"/>
      <c r="G320" s="231"/>
      <c r="H320" s="76"/>
      <c r="I320" s="232"/>
      <c r="J320" s="76"/>
      <c r="K320" s="76"/>
      <c r="L320" s="76">
        <f t="shared" si="120"/>
        <v>0</v>
      </c>
      <c r="M320" s="76"/>
      <c r="N320" s="76"/>
      <c r="O320" s="76"/>
      <c r="P320" s="76"/>
      <c r="Q320" s="76">
        <f t="shared" si="126"/>
        <v>0</v>
      </c>
      <c r="R320" s="76">
        <f t="shared" si="127"/>
        <v>0</v>
      </c>
      <c r="S320" s="76">
        <f t="shared" si="128"/>
        <v>0</v>
      </c>
      <c r="T320" s="129"/>
      <c r="U320" s="120" t="str">
        <f t="shared" si="129"/>
        <v>ASW:43799</v>
      </c>
      <c r="V320" s="265">
        <f t="shared" si="130"/>
        <v>43820</v>
      </c>
      <c r="X320"/>
      <c r="Y320"/>
      <c r="Z320"/>
    </row>
    <row r="321" spans="1:26" s="22" customFormat="1" outlineLevel="1" x14ac:dyDescent="0.25">
      <c r="A321" s="120">
        <f t="shared" si="119"/>
        <v>7</v>
      </c>
      <c r="B321" s="392">
        <v>43830</v>
      </c>
      <c r="C321" s="231" t="s">
        <v>658</v>
      </c>
      <c r="D321" s="76"/>
      <c r="E321" s="231"/>
      <c r="F321" s="231"/>
      <c r="G321" s="231"/>
      <c r="H321" s="76"/>
      <c r="I321" s="232"/>
      <c r="J321" s="76"/>
      <c r="K321" s="76"/>
      <c r="L321" s="76">
        <f t="shared" si="120"/>
        <v>0</v>
      </c>
      <c r="M321" s="76"/>
      <c r="N321" s="76"/>
      <c r="O321" s="76"/>
      <c r="P321" s="76"/>
      <c r="Q321" s="76">
        <f t="shared" si="126"/>
        <v>0</v>
      </c>
      <c r="R321" s="76">
        <f t="shared" si="127"/>
        <v>0</v>
      </c>
      <c r="S321" s="76">
        <f t="shared" si="128"/>
        <v>0</v>
      </c>
      <c r="T321" s="129"/>
      <c r="U321" s="120" t="str">
        <f t="shared" si="129"/>
        <v>ASW:43830</v>
      </c>
      <c r="V321" s="265">
        <f t="shared" si="130"/>
        <v>43851</v>
      </c>
      <c r="X321"/>
      <c r="Y321"/>
      <c r="Z321"/>
    </row>
    <row r="322" spans="1:26" s="22" customFormat="1" outlineLevel="1" x14ac:dyDescent="0.25">
      <c r="A322" s="120">
        <f t="shared" si="119"/>
        <v>8</v>
      </c>
      <c r="B322" s="392">
        <v>43861</v>
      </c>
      <c r="C322" s="231" t="s">
        <v>658</v>
      </c>
      <c r="D322" s="76"/>
      <c r="E322" s="231"/>
      <c r="F322" s="231"/>
      <c r="G322" s="231"/>
      <c r="H322" s="76"/>
      <c r="I322" s="232"/>
      <c r="J322" s="76"/>
      <c r="K322" s="76"/>
      <c r="L322" s="76">
        <f t="shared" si="120"/>
        <v>0</v>
      </c>
      <c r="M322" s="76"/>
      <c r="N322" s="76"/>
      <c r="O322" s="76"/>
      <c r="P322" s="76"/>
      <c r="Q322" s="76">
        <f t="shared" si="126"/>
        <v>0</v>
      </c>
      <c r="R322" s="76">
        <f t="shared" si="127"/>
        <v>0</v>
      </c>
      <c r="S322" s="76">
        <f t="shared" si="128"/>
        <v>0</v>
      </c>
      <c r="T322" s="129"/>
      <c r="U322" s="120" t="str">
        <f t="shared" si="129"/>
        <v>ASW:43861</v>
      </c>
      <c r="V322" s="265">
        <f t="shared" si="130"/>
        <v>43882</v>
      </c>
      <c r="X322"/>
      <c r="Y322"/>
      <c r="Z322"/>
    </row>
    <row r="323" spans="1:26" s="22" customFormat="1" outlineLevel="1" x14ac:dyDescent="0.25">
      <c r="A323" s="120">
        <f t="shared" si="119"/>
        <v>9</v>
      </c>
      <c r="B323" s="392">
        <v>43889</v>
      </c>
      <c r="C323" s="231" t="s">
        <v>658</v>
      </c>
      <c r="D323" s="76"/>
      <c r="E323" s="231"/>
      <c r="F323" s="231"/>
      <c r="G323" s="231"/>
      <c r="H323" s="76"/>
      <c r="I323" s="232"/>
      <c r="J323" s="76"/>
      <c r="K323" s="76"/>
      <c r="L323" s="76">
        <f t="shared" si="120"/>
        <v>0</v>
      </c>
      <c r="M323" s="76"/>
      <c r="N323" s="76"/>
      <c r="O323" s="76"/>
      <c r="P323" s="76"/>
      <c r="Q323" s="76">
        <f t="shared" si="126"/>
        <v>0</v>
      </c>
      <c r="R323" s="76">
        <f t="shared" si="127"/>
        <v>0</v>
      </c>
      <c r="S323" s="76">
        <f t="shared" si="128"/>
        <v>0</v>
      </c>
      <c r="T323" s="129"/>
      <c r="U323" s="120" t="str">
        <f t="shared" si="129"/>
        <v>ASW:43889</v>
      </c>
      <c r="V323" s="265">
        <f t="shared" si="130"/>
        <v>43882</v>
      </c>
      <c r="X323"/>
      <c r="Y323"/>
      <c r="Z323"/>
    </row>
    <row r="324" spans="1:26" s="22" customFormat="1" outlineLevel="1" x14ac:dyDescent="0.25">
      <c r="A324" s="120">
        <f t="shared" si="119"/>
        <v>10</v>
      </c>
      <c r="B324" s="392">
        <v>43921</v>
      </c>
      <c r="C324" s="231" t="s">
        <v>658</v>
      </c>
      <c r="D324" s="76"/>
      <c r="E324" s="231"/>
      <c r="F324" s="231"/>
      <c r="G324" s="231"/>
      <c r="H324" s="76"/>
      <c r="I324" s="232"/>
      <c r="J324" s="76"/>
      <c r="K324" s="76"/>
      <c r="L324" s="76">
        <f t="shared" si="120"/>
        <v>0</v>
      </c>
      <c r="M324" s="76"/>
      <c r="N324" s="76"/>
      <c r="O324" s="76"/>
      <c r="P324" s="76"/>
      <c r="Q324" s="76">
        <f t="shared" si="126"/>
        <v>0</v>
      </c>
      <c r="R324" s="76">
        <f t="shared" si="127"/>
        <v>0</v>
      </c>
      <c r="S324" s="76">
        <f t="shared" si="128"/>
        <v>0</v>
      </c>
      <c r="T324" s="129"/>
      <c r="U324" s="120" t="str">
        <f t="shared" si="129"/>
        <v>ASW:43921</v>
      </c>
      <c r="V324" s="265">
        <f t="shared" si="130"/>
        <v>43942</v>
      </c>
      <c r="X324"/>
      <c r="Y324"/>
      <c r="Z324"/>
    </row>
    <row r="325" spans="1:26" s="22" customFormat="1" outlineLevel="1" x14ac:dyDescent="0.25">
      <c r="A325" s="120">
        <f t="shared" si="119"/>
        <v>11</v>
      </c>
      <c r="B325" s="392">
        <v>43951</v>
      </c>
      <c r="C325" s="231" t="s">
        <v>658</v>
      </c>
      <c r="D325" s="76"/>
      <c r="E325" s="231"/>
      <c r="F325" s="231"/>
      <c r="G325" s="231"/>
      <c r="H325" s="76"/>
      <c r="I325" s="232"/>
      <c r="J325" s="76"/>
      <c r="K325" s="76"/>
      <c r="L325" s="76">
        <f t="shared" si="120"/>
        <v>0</v>
      </c>
      <c r="M325" s="76"/>
      <c r="N325" s="76"/>
      <c r="O325" s="76"/>
      <c r="P325" s="76"/>
      <c r="Q325" s="76">
        <f t="shared" si="126"/>
        <v>0</v>
      </c>
      <c r="R325" s="76">
        <f t="shared" si="127"/>
        <v>0</v>
      </c>
      <c r="S325" s="76">
        <f t="shared" si="128"/>
        <v>0</v>
      </c>
      <c r="T325" s="129"/>
      <c r="U325" s="120" t="str">
        <f t="shared" si="129"/>
        <v>ASW:43951</v>
      </c>
      <c r="V325" s="265">
        <f t="shared" si="130"/>
        <v>43972</v>
      </c>
      <c r="X325"/>
      <c r="Y325"/>
      <c r="Z325"/>
    </row>
    <row r="326" spans="1:26" s="22" customFormat="1" outlineLevel="1" x14ac:dyDescent="0.25">
      <c r="A326" s="120">
        <f t="shared" si="119"/>
        <v>12</v>
      </c>
      <c r="B326" s="392">
        <v>43982</v>
      </c>
      <c r="C326" s="231" t="s">
        <v>658</v>
      </c>
      <c r="D326" s="76"/>
      <c r="E326" s="231"/>
      <c r="F326" s="231"/>
      <c r="G326" s="231"/>
      <c r="H326" s="76"/>
      <c r="I326" s="232"/>
      <c r="J326" s="76"/>
      <c r="K326" s="76"/>
      <c r="L326" s="76">
        <f t="shared" si="120"/>
        <v>0</v>
      </c>
      <c r="M326" s="76"/>
      <c r="N326" s="76"/>
      <c r="O326" s="76"/>
      <c r="P326" s="76"/>
      <c r="Q326" s="76">
        <f t="shared" si="126"/>
        <v>0</v>
      </c>
      <c r="R326" s="76">
        <f t="shared" si="127"/>
        <v>0</v>
      </c>
      <c r="S326" s="76">
        <f t="shared" si="128"/>
        <v>0</v>
      </c>
      <c r="T326" s="129"/>
      <c r="U326" s="120" t="str">
        <f t="shared" si="129"/>
        <v>ASW:43982</v>
      </c>
      <c r="V326" s="265">
        <f t="shared" si="130"/>
        <v>44003</v>
      </c>
      <c r="X326"/>
      <c r="Y326"/>
      <c r="Z326"/>
    </row>
    <row r="327" spans="1:26" s="22" customFormat="1" outlineLevel="1" x14ac:dyDescent="0.25">
      <c r="A327" s="120">
        <f t="shared" si="119"/>
        <v>2</v>
      </c>
      <c r="B327" s="392">
        <v>43681</v>
      </c>
      <c r="C327" s="231" t="s">
        <v>669</v>
      </c>
      <c r="D327" s="76"/>
      <c r="E327" s="231"/>
      <c r="F327" s="336"/>
      <c r="G327" s="231"/>
      <c r="H327" s="76"/>
      <c r="I327" s="232">
        <v>669</v>
      </c>
      <c r="J327" s="76"/>
      <c r="K327" s="76"/>
      <c r="L327" s="76">
        <f t="shared" si="120"/>
        <v>608.17999999999995</v>
      </c>
      <c r="M327" s="76"/>
      <c r="N327" s="76"/>
      <c r="O327" s="76"/>
      <c r="P327" s="76"/>
      <c r="Q327" s="76">
        <f t="shared" si="126"/>
        <v>60.82000000000005</v>
      </c>
      <c r="R327" s="76">
        <f t="shared" si="127"/>
        <v>608.17999999999995</v>
      </c>
      <c r="S327" s="76">
        <f t="shared" si="128"/>
        <v>669</v>
      </c>
      <c r="T327" s="129"/>
      <c r="U327" s="120" t="str">
        <f t="shared" si="129"/>
        <v>DP:43681</v>
      </c>
      <c r="V327" s="265">
        <f t="shared" si="130"/>
        <v>43698</v>
      </c>
    </row>
    <row r="328" spans="1:26" s="22" customFormat="1" outlineLevel="1" x14ac:dyDescent="0.25">
      <c r="A328" s="120">
        <f t="shared" si="119"/>
        <v>3</v>
      </c>
      <c r="B328" s="392">
        <v>43709</v>
      </c>
      <c r="C328" s="231" t="s">
        <v>669</v>
      </c>
      <c r="D328" s="76"/>
      <c r="E328" s="231"/>
      <c r="F328" s="336"/>
      <c r="G328" s="231"/>
      <c r="H328" s="76"/>
      <c r="I328" s="232">
        <v>575</v>
      </c>
      <c r="J328" s="76"/>
      <c r="K328" s="76"/>
      <c r="L328" s="76">
        <f t="shared" si="120"/>
        <v>522.73</v>
      </c>
      <c r="M328" s="76"/>
      <c r="N328" s="76"/>
      <c r="O328" s="76"/>
      <c r="P328" s="76"/>
      <c r="Q328" s="76">
        <f t="shared" si="126"/>
        <v>52.269999999999982</v>
      </c>
      <c r="R328" s="76">
        <f t="shared" si="127"/>
        <v>522.73</v>
      </c>
      <c r="S328" s="76">
        <f t="shared" si="128"/>
        <v>575</v>
      </c>
      <c r="T328" s="129"/>
      <c r="U328" s="120" t="str">
        <f t="shared" si="129"/>
        <v>DP:43709</v>
      </c>
      <c r="V328" s="265">
        <f t="shared" si="130"/>
        <v>43729</v>
      </c>
    </row>
    <row r="329" spans="1:26" s="22" customFormat="1" outlineLevel="1" x14ac:dyDescent="0.25">
      <c r="A329" s="120">
        <f t="shared" si="119"/>
        <v>4</v>
      </c>
      <c r="B329" s="392">
        <v>43737</v>
      </c>
      <c r="C329" s="231" t="s">
        <v>669</v>
      </c>
      <c r="D329" s="76"/>
      <c r="E329" s="231"/>
      <c r="F329" s="336"/>
      <c r="G329" s="231"/>
      <c r="H329" s="76"/>
      <c r="I329" s="232">
        <v>600</v>
      </c>
      <c r="J329" s="76"/>
      <c r="K329" s="76"/>
      <c r="L329" s="76">
        <f t="shared" si="120"/>
        <v>545.45000000000005</v>
      </c>
      <c r="M329" s="76"/>
      <c r="N329" s="76"/>
      <c r="O329" s="76"/>
      <c r="P329" s="76"/>
      <c r="Q329" s="76">
        <f t="shared" si="126"/>
        <v>54.549999999999955</v>
      </c>
      <c r="R329" s="76">
        <f t="shared" si="127"/>
        <v>545.45000000000005</v>
      </c>
      <c r="S329" s="76">
        <f t="shared" si="128"/>
        <v>600</v>
      </c>
      <c r="T329" s="129"/>
      <c r="U329" s="120" t="str">
        <f t="shared" si="129"/>
        <v>DP:43737</v>
      </c>
      <c r="V329" s="265">
        <f t="shared" si="130"/>
        <v>43729</v>
      </c>
    </row>
    <row r="330" spans="1:26" s="22" customFormat="1" outlineLevel="1" x14ac:dyDescent="0.25">
      <c r="A330" s="120">
        <f t="shared" si="119"/>
        <v>0</v>
      </c>
      <c r="B330" s="392"/>
      <c r="C330" s="231" t="s">
        <v>669</v>
      </c>
      <c r="D330" s="76"/>
      <c r="E330" s="231"/>
      <c r="F330" s="336"/>
      <c r="G330" s="231"/>
      <c r="H330" s="76"/>
      <c r="I330" s="232"/>
      <c r="J330" s="76"/>
      <c r="K330" s="76"/>
      <c r="L330" s="76">
        <f t="shared" si="120"/>
        <v>0</v>
      </c>
      <c r="M330" s="76"/>
      <c r="N330" s="76"/>
      <c r="O330" s="76"/>
      <c r="P330" s="76"/>
      <c r="Q330" s="76">
        <f t="shared" si="126"/>
        <v>0</v>
      </c>
      <c r="R330" s="76">
        <f t="shared" ref="R330:R366" si="131">SUM($K330:$L330)</f>
        <v>0</v>
      </c>
      <c r="S330" s="76">
        <f t="shared" ref="S330:S366" si="132">SUM(K330:L330)+O330+Q330</f>
        <v>0</v>
      </c>
      <c r="T330" s="129"/>
      <c r="U330" s="120" t="str">
        <f t="shared" ref="U330:U341" si="133">C330 &amp;":"&amp; B330</f>
        <v>DP:</v>
      </c>
      <c r="V330" s="265">
        <f t="shared" ref="V330:V345" si="134">DATE(YEAR(B330+1),MONTH(B330+1),VLOOKUP(C330,payEmpNames,4))</f>
        <v>21</v>
      </c>
    </row>
    <row r="331" spans="1:26" s="22" customFormat="1" outlineLevel="1" x14ac:dyDescent="0.25">
      <c r="A331" s="120">
        <f t="shared" si="119"/>
        <v>5</v>
      </c>
      <c r="B331" s="392">
        <v>43773</v>
      </c>
      <c r="C331" s="231" t="s">
        <v>669</v>
      </c>
      <c r="D331" s="76"/>
      <c r="E331" s="231"/>
      <c r="F331" s="336"/>
      <c r="G331" s="231"/>
      <c r="H331" s="76"/>
      <c r="I331" s="232"/>
      <c r="J331" s="76"/>
      <c r="K331" s="76"/>
      <c r="L331" s="76">
        <f t="shared" si="120"/>
        <v>0</v>
      </c>
      <c r="M331" s="76"/>
      <c r="N331" s="76"/>
      <c r="O331" s="76"/>
      <c r="P331" s="76"/>
      <c r="Q331" s="76">
        <f t="shared" si="126"/>
        <v>0</v>
      </c>
      <c r="R331" s="76">
        <f t="shared" si="131"/>
        <v>0</v>
      </c>
      <c r="S331" s="76">
        <f t="shared" si="132"/>
        <v>0</v>
      </c>
      <c r="T331" s="129"/>
      <c r="U331" s="120" t="str">
        <f t="shared" si="133"/>
        <v>DP:43773</v>
      </c>
      <c r="V331" s="265">
        <f t="shared" si="134"/>
        <v>43790</v>
      </c>
    </row>
    <row r="332" spans="1:26" s="22" customFormat="1" outlineLevel="1" x14ac:dyDescent="0.25">
      <c r="A332" s="120">
        <f t="shared" si="119"/>
        <v>6</v>
      </c>
      <c r="B332" s="392">
        <v>43801</v>
      </c>
      <c r="C332" s="231" t="s">
        <v>669</v>
      </c>
      <c r="D332" s="76"/>
      <c r="E332" s="231"/>
      <c r="F332" s="336"/>
      <c r="G332" s="231"/>
      <c r="H332" s="76"/>
      <c r="I332" s="232"/>
      <c r="J332" s="76"/>
      <c r="K332" s="76"/>
      <c r="L332" s="76">
        <f t="shared" si="120"/>
        <v>0</v>
      </c>
      <c r="M332" s="76"/>
      <c r="N332" s="76"/>
      <c r="O332" s="76"/>
      <c r="P332" s="76"/>
      <c r="Q332" s="76">
        <f t="shared" ref="Q332:Q366" si="135">H332+I332-L332</f>
        <v>0</v>
      </c>
      <c r="R332" s="76">
        <f t="shared" si="131"/>
        <v>0</v>
      </c>
      <c r="S332" s="76">
        <f t="shared" si="132"/>
        <v>0</v>
      </c>
      <c r="T332" s="129"/>
      <c r="U332" s="120" t="str">
        <f t="shared" si="133"/>
        <v>DP:43801</v>
      </c>
      <c r="V332" s="265">
        <f t="shared" si="134"/>
        <v>43820</v>
      </c>
    </row>
    <row r="333" spans="1:26" s="22" customFormat="1" outlineLevel="1" x14ac:dyDescent="0.25">
      <c r="A333" s="120">
        <f t="shared" si="119"/>
        <v>8</v>
      </c>
      <c r="B333" s="392">
        <v>43871</v>
      </c>
      <c r="C333" s="231" t="s">
        <v>669</v>
      </c>
      <c r="D333" s="76"/>
      <c r="E333" s="231"/>
      <c r="F333" s="336"/>
      <c r="G333" s="231"/>
      <c r="H333" s="76"/>
      <c r="I333" s="232"/>
      <c r="J333" s="76"/>
      <c r="K333" s="76"/>
      <c r="L333" s="76">
        <f t="shared" si="120"/>
        <v>0</v>
      </c>
      <c r="M333" s="76"/>
      <c r="N333" s="76"/>
      <c r="O333" s="76"/>
      <c r="P333" s="76"/>
      <c r="Q333" s="76">
        <f t="shared" si="135"/>
        <v>0</v>
      </c>
      <c r="R333" s="76">
        <f t="shared" si="131"/>
        <v>0</v>
      </c>
      <c r="S333" s="76">
        <f t="shared" si="132"/>
        <v>0</v>
      </c>
      <c r="T333" s="129"/>
      <c r="U333" s="120" t="str">
        <f t="shared" si="133"/>
        <v>DP:43871</v>
      </c>
      <c r="V333" s="265">
        <f t="shared" si="134"/>
        <v>43882</v>
      </c>
    </row>
    <row r="334" spans="1:26" s="22" customFormat="1" outlineLevel="1" x14ac:dyDescent="0.25">
      <c r="A334" s="120">
        <f t="shared" si="119"/>
        <v>8</v>
      </c>
      <c r="B334" s="392">
        <v>43861</v>
      </c>
      <c r="C334" s="231" t="s">
        <v>669</v>
      </c>
      <c r="D334" s="76"/>
      <c r="E334" s="231"/>
      <c r="F334" s="336"/>
      <c r="G334" s="231"/>
      <c r="H334" s="76"/>
      <c r="I334" s="232"/>
      <c r="J334" s="76"/>
      <c r="K334" s="76"/>
      <c r="L334" s="76">
        <f t="shared" si="120"/>
        <v>0</v>
      </c>
      <c r="M334" s="76"/>
      <c r="N334" s="76"/>
      <c r="O334" s="76"/>
      <c r="P334" s="76"/>
      <c r="Q334" s="76">
        <f t="shared" si="135"/>
        <v>0</v>
      </c>
      <c r="R334" s="76">
        <f t="shared" si="131"/>
        <v>0</v>
      </c>
      <c r="S334" s="76">
        <f t="shared" si="132"/>
        <v>0</v>
      </c>
      <c r="T334" s="129"/>
      <c r="U334" s="120" t="str">
        <f t="shared" si="133"/>
        <v>DP:43861</v>
      </c>
      <c r="V334" s="265">
        <f t="shared" si="134"/>
        <v>43882</v>
      </c>
    </row>
    <row r="335" spans="1:26" s="22" customFormat="1" outlineLevel="1" x14ac:dyDescent="0.25">
      <c r="A335" s="120">
        <f t="shared" si="119"/>
        <v>9</v>
      </c>
      <c r="B335" s="392">
        <v>43900</v>
      </c>
      <c r="C335" s="231" t="s">
        <v>669</v>
      </c>
      <c r="D335" s="76"/>
      <c r="E335" s="231"/>
      <c r="F335" s="336"/>
      <c r="G335" s="231"/>
      <c r="H335" s="76"/>
      <c r="I335" s="232"/>
      <c r="J335" s="76"/>
      <c r="K335" s="76"/>
      <c r="L335" s="76">
        <f t="shared" si="120"/>
        <v>0</v>
      </c>
      <c r="M335" s="76"/>
      <c r="N335" s="76"/>
      <c r="O335" s="76"/>
      <c r="P335" s="76"/>
      <c r="Q335" s="76">
        <f t="shared" si="135"/>
        <v>0</v>
      </c>
      <c r="R335" s="76">
        <f t="shared" si="131"/>
        <v>0</v>
      </c>
      <c r="S335" s="76">
        <f t="shared" si="132"/>
        <v>0</v>
      </c>
      <c r="T335" s="129"/>
      <c r="U335" s="120" t="str">
        <f t="shared" si="133"/>
        <v>DP:43900</v>
      </c>
      <c r="V335" s="265">
        <f t="shared" si="134"/>
        <v>43911</v>
      </c>
    </row>
    <row r="336" spans="1:26" s="22" customFormat="1" outlineLevel="1" x14ac:dyDescent="0.25">
      <c r="A336" s="120">
        <f t="shared" si="119"/>
        <v>10</v>
      </c>
      <c r="B336" s="392">
        <v>43928</v>
      </c>
      <c r="C336" s="231" t="s">
        <v>669</v>
      </c>
      <c r="D336" s="76"/>
      <c r="E336" s="231"/>
      <c r="F336" s="336"/>
      <c r="G336" s="231"/>
      <c r="H336" s="76"/>
      <c r="I336" s="232"/>
      <c r="J336" s="76"/>
      <c r="K336" s="76"/>
      <c r="L336" s="76">
        <f t="shared" si="120"/>
        <v>0</v>
      </c>
      <c r="M336" s="76"/>
      <c r="N336" s="76"/>
      <c r="O336" s="76"/>
      <c r="P336" s="76"/>
      <c r="Q336" s="76">
        <f t="shared" si="135"/>
        <v>0</v>
      </c>
      <c r="R336" s="76">
        <f t="shared" si="131"/>
        <v>0</v>
      </c>
      <c r="S336" s="76">
        <f t="shared" si="132"/>
        <v>0</v>
      </c>
      <c r="T336" s="129"/>
      <c r="U336" s="120" t="str">
        <f t="shared" si="133"/>
        <v>DP:43928</v>
      </c>
      <c r="V336" s="265">
        <f t="shared" si="134"/>
        <v>43942</v>
      </c>
    </row>
    <row r="337" spans="1:26" s="22" customFormat="1" outlineLevel="1" x14ac:dyDescent="0.25">
      <c r="A337" s="120">
        <f t="shared" si="119"/>
        <v>11</v>
      </c>
      <c r="B337" s="392">
        <v>43970</v>
      </c>
      <c r="C337" s="231" t="s">
        <v>669</v>
      </c>
      <c r="D337" s="76"/>
      <c r="E337" s="231"/>
      <c r="F337" s="336"/>
      <c r="G337" s="231"/>
      <c r="H337" s="76"/>
      <c r="I337" s="232"/>
      <c r="J337" s="76"/>
      <c r="K337" s="76"/>
      <c r="L337" s="76">
        <f t="shared" si="120"/>
        <v>0</v>
      </c>
      <c r="M337" s="76"/>
      <c r="N337" s="76"/>
      <c r="O337" s="76"/>
      <c r="P337" s="76"/>
      <c r="Q337" s="76">
        <f t="shared" si="135"/>
        <v>0</v>
      </c>
      <c r="R337" s="76">
        <f t="shared" si="131"/>
        <v>0</v>
      </c>
      <c r="S337" s="76">
        <f t="shared" si="132"/>
        <v>0</v>
      </c>
      <c r="T337" s="129"/>
      <c r="U337" s="120" t="str">
        <f t="shared" si="133"/>
        <v>DP:43970</v>
      </c>
      <c r="V337" s="265">
        <f t="shared" si="134"/>
        <v>43972</v>
      </c>
    </row>
    <row r="338" spans="1:26" s="22" customFormat="1" outlineLevel="1" x14ac:dyDescent="0.25">
      <c r="A338" s="120">
        <f t="shared" si="119"/>
        <v>12</v>
      </c>
      <c r="B338" s="392">
        <v>43982</v>
      </c>
      <c r="C338" s="231" t="s">
        <v>669</v>
      </c>
      <c r="D338" s="76"/>
      <c r="E338" s="231"/>
      <c r="F338" s="336"/>
      <c r="G338" s="231"/>
      <c r="H338" s="76"/>
      <c r="I338" s="232"/>
      <c r="J338" s="76"/>
      <c r="K338" s="76"/>
      <c r="L338" s="76">
        <f t="shared" si="120"/>
        <v>0</v>
      </c>
      <c r="M338" s="76"/>
      <c r="N338" s="76"/>
      <c r="O338" s="76"/>
      <c r="P338" s="76"/>
      <c r="Q338" s="76">
        <f t="shared" si="135"/>
        <v>0</v>
      </c>
      <c r="R338" s="76">
        <f t="shared" si="131"/>
        <v>0</v>
      </c>
      <c r="S338" s="76">
        <f t="shared" si="132"/>
        <v>0</v>
      </c>
      <c r="T338" s="129"/>
      <c r="U338" s="120" t="str">
        <f t="shared" si="133"/>
        <v>DP:43982</v>
      </c>
      <c r="V338" s="265">
        <f t="shared" si="134"/>
        <v>44003</v>
      </c>
      <c r="X338" s="35"/>
      <c r="Y338" s="35"/>
      <c r="Z338" s="35"/>
    </row>
    <row r="339" spans="1:26" s="22" customFormat="1" outlineLevel="1" x14ac:dyDescent="0.25">
      <c r="A339" s="120">
        <f t="shared" si="119"/>
        <v>2</v>
      </c>
      <c r="B339" s="392">
        <v>43681</v>
      </c>
      <c r="C339" s="231" t="s">
        <v>678</v>
      </c>
      <c r="D339" s="76"/>
      <c r="E339" s="231"/>
      <c r="F339" s="231"/>
      <c r="G339" s="231"/>
      <c r="H339" s="76"/>
      <c r="I339" s="232">
        <v>680</v>
      </c>
      <c r="J339" s="76"/>
      <c r="K339" s="76"/>
      <c r="L339" s="76">
        <f t="shared" si="120"/>
        <v>618.17999999999995</v>
      </c>
      <c r="M339" s="76"/>
      <c r="N339" s="76"/>
      <c r="O339" s="76"/>
      <c r="P339" s="76"/>
      <c r="Q339" s="76">
        <f t="shared" si="135"/>
        <v>61.82000000000005</v>
      </c>
      <c r="R339" s="76">
        <f t="shared" si="131"/>
        <v>618.17999999999995</v>
      </c>
      <c r="S339" s="76">
        <f t="shared" si="132"/>
        <v>680</v>
      </c>
      <c r="T339" s="129"/>
      <c r="U339" s="120" t="str">
        <f t="shared" si="133"/>
        <v>ANK:43681</v>
      </c>
      <c r="V339" s="265">
        <f t="shared" si="134"/>
        <v>43698</v>
      </c>
      <c r="X339"/>
      <c r="Y339"/>
      <c r="Z339"/>
    </row>
    <row r="340" spans="1:26" s="22" customFormat="1" outlineLevel="1" x14ac:dyDescent="0.25">
      <c r="A340" s="120">
        <f t="shared" si="119"/>
        <v>3</v>
      </c>
      <c r="B340" s="392">
        <v>43709</v>
      </c>
      <c r="C340" s="231" t="s">
        <v>678</v>
      </c>
      <c r="D340" s="76"/>
      <c r="E340" s="231"/>
      <c r="F340" s="231"/>
      <c r="G340" s="231"/>
      <c r="H340" s="76"/>
      <c r="I340" s="232">
        <v>551</v>
      </c>
      <c r="J340" s="76"/>
      <c r="K340" s="76"/>
      <c r="L340" s="76">
        <f t="shared" si="120"/>
        <v>500.91</v>
      </c>
      <c r="M340" s="76"/>
      <c r="N340" s="76"/>
      <c r="O340" s="76"/>
      <c r="P340" s="76"/>
      <c r="Q340" s="76">
        <f t="shared" si="135"/>
        <v>50.089999999999975</v>
      </c>
      <c r="R340" s="76">
        <f t="shared" si="131"/>
        <v>500.91</v>
      </c>
      <c r="S340" s="76">
        <f t="shared" si="132"/>
        <v>551</v>
      </c>
      <c r="T340" s="129"/>
      <c r="U340" s="120" t="str">
        <f t="shared" si="133"/>
        <v>ANK:43709</v>
      </c>
      <c r="V340" s="265">
        <f t="shared" si="134"/>
        <v>43729</v>
      </c>
      <c r="X340"/>
      <c r="Y340"/>
      <c r="Z340"/>
    </row>
    <row r="341" spans="1:26" s="22" customFormat="1" outlineLevel="1" x14ac:dyDescent="0.25">
      <c r="A341" s="120">
        <f t="shared" si="119"/>
        <v>4</v>
      </c>
      <c r="B341" s="392">
        <v>43737</v>
      </c>
      <c r="C341" s="231" t="s">
        <v>678</v>
      </c>
      <c r="D341" s="76"/>
      <c r="E341" s="231"/>
      <c r="F341" s="231"/>
      <c r="G341" s="231"/>
      <c r="H341" s="76"/>
      <c r="I341" s="232">
        <v>526</v>
      </c>
      <c r="J341" s="76"/>
      <c r="K341" s="76"/>
      <c r="L341" s="76">
        <f t="shared" si="120"/>
        <v>478.18</v>
      </c>
      <c r="M341" s="76"/>
      <c r="N341" s="76"/>
      <c r="O341" s="76"/>
      <c r="P341" s="76"/>
      <c r="Q341" s="76">
        <f t="shared" si="135"/>
        <v>47.819999999999993</v>
      </c>
      <c r="R341" s="76">
        <f t="shared" si="131"/>
        <v>478.18</v>
      </c>
      <c r="S341" s="76">
        <f t="shared" si="132"/>
        <v>526</v>
      </c>
      <c r="T341" s="129"/>
      <c r="U341" s="120" t="str">
        <f t="shared" si="133"/>
        <v>ANK:43737</v>
      </c>
      <c r="V341" s="265">
        <f t="shared" si="134"/>
        <v>43729</v>
      </c>
      <c r="X341"/>
      <c r="Y341"/>
      <c r="Z341"/>
    </row>
    <row r="342" spans="1:26" s="22" customFormat="1" outlineLevel="1" x14ac:dyDescent="0.25">
      <c r="A342" s="120">
        <f t="shared" ref="A342:A366" si="136">GETPAYMONTH(B342)</f>
        <v>0</v>
      </c>
      <c r="B342" s="392"/>
      <c r="C342" s="231" t="s">
        <v>678</v>
      </c>
      <c r="D342" s="76"/>
      <c r="E342" s="231"/>
      <c r="F342" s="231"/>
      <c r="G342" s="231"/>
      <c r="H342" s="76"/>
      <c r="I342" s="232"/>
      <c r="J342" s="76"/>
      <c r="K342" s="76"/>
      <c r="L342" s="76">
        <f t="shared" ref="L342:L366" si="137">ROUND($I342/11*10,2)</f>
        <v>0</v>
      </c>
      <c r="M342" s="76"/>
      <c r="N342" s="76"/>
      <c r="O342" s="76"/>
      <c r="P342" s="76"/>
      <c r="Q342" s="76">
        <f t="shared" si="135"/>
        <v>0</v>
      </c>
      <c r="R342" s="76">
        <f t="shared" si="131"/>
        <v>0</v>
      </c>
      <c r="S342" s="76">
        <f t="shared" si="132"/>
        <v>0</v>
      </c>
      <c r="T342" s="129"/>
      <c r="U342" s="120" t="str">
        <f t="shared" ref="U342:U366" si="138">C342 &amp;":"&amp; B342</f>
        <v>ANK:</v>
      </c>
      <c r="V342" s="265">
        <f t="shared" si="134"/>
        <v>21</v>
      </c>
      <c r="X342"/>
      <c r="Y342"/>
      <c r="Z342"/>
    </row>
    <row r="343" spans="1:26" s="22" customFormat="1" outlineLevel="1" x14ac:dyDescent="0.25">
      <c r="A343" s="120">
        <f t="shared" si="136"/>
        <v>5</v>
      </c>
      <c r="B343" s="392">
        <v>43773</v>
      </c>
      <c r="C343" s="231" t="s">
        <v>678</v>
      </c>
      <c r="D343" s="76"/>
      <c r="E343" s="231"/>
      <c r="F343" s="231"/>
      <c r="G343" s="231"/>
      <c r="H343" s="76"/>
      <c r="I343" s="232"/>
      <c r="J343" s="76"/>
      <c r="K343" s="76"/>
      <c r="L343" s="76">
        <f t="shared" si="137"/>
        <v>0</v>
      </c>
      <c r="M343" s="76"/>
      <c r="N343" s="76"/>
      <c r="O343" s="76"/>
      <c r="P343" s="76"/>
      <c r="Q343" s="76">
        <f t="shared" si="135"/>
        <v>0</v>
      </c>
      <c r="R343" s="76">
        <f t="shared" si="131"/>
        <v>0</v>
      </c>
      <c r="S343" s="76">
        <f t="shared" si="132"/>
        <v>0</v>
      </c>
      <c r="T343" s="129"/>
      <c r="U343" s="120" t="str">
        <f t="shared" si="138"/>
        <v>ANK:43773</v>
      </c>
      <c r="V343" s="265">
        <f t="shared" si="134"/>
        <v>43790</v>
      </c>
      <c r="X343"/>
      <c r="Y343"/>
      <c r="Z343"/>
    </row>
    <row r="344" spans="1:26" s="22" customFormat="1" outlineLevel="1" x14ac:dyDescent="0.25">
      <c r="A344" s="120">
        <f t="shared" si="136"/>
        <v>6</v>
      </c>
      <c r="B344" s="392">
        <v>43801</v>
      </c>
      <c r="C344" s="231" t="s">
        <v>678</v>
      </c>
      <c r="D344" s="76"/>
      <c r="E344" s="231"/>
      <c r="F344" s="231"/>
      <c r="G344" s="231"/>
      <c r="H344" s="76"/>
      <c r="I344" s="232"/>
      <c r="J344" s="76"/>
      <c r="K344" s="76"/>
      <c r="L344" s="76">
        <f t="shared" si="137"/>
        <v>0</v>
      </c>
      <c r="M344" s="76"/>
      <c r="N344" s="76"/>
      <c r="O344" s="76"/>
      <c r="P344" s="76"/>
      <c r="Q344" s="76">
        <f t="shared" si="135"/>
        <v>0</v>
      </c>
      <c r="R344" s="76">
        <f t="shared" si="131"/>
        <v>0</v>
      </c>
      <c r="S344" s="76">
        <f t="shared" si="132"/>
        <v>0</v>
      </c>
      <c r="T344" s="129"/>
      <c r="U344" s="120" t="str">
        <f t="shared" si="138"/>
        <v>ANK:43801</v>
      </c>
      <c r="V344" s="265">
        <f t="shared" si="134"/>
        <v>43820</v>
      </c>
      <c r="X344"/>
      <c r="Y344"/>
      <c r="Z344"/>
    </row>
    <row r="345" spans="1:26" s="22" customFormat="1" outlineLevel="1" x14ac:dyDescent="0.25">
      <c r="A345" s="120">
        <f t="shared" si="136"/>
        <v>8</v>
      </c>
      <c r="B345" s="392">
        <v>43871</v>
      </c>
      <c r="C345" s="231" t="s">
        <v>678</v>
      </c>
      <c r="D345" s="76"/>
      <c r="E345" s="231"/>
      <c r="F345" s="231"/>
      <c r="G345" s="231"/>
      <c r="H345" s="76"/>
      <c r="I345" s="232"/>
      <c r="J345" s="76"/>
      <c r="K345" s="76"/>
      <c r="L345" s="76">
        <f t="shared" si="137"/>
        <v>0</v>
      </c>
      <c r="M345" s="76"/>
      <c r="N345" s="76"/>
      <c r="O345" s="76"/>
      <c r="P345" s="76"/>
      <c r="Q345" s="76">
        <f t="shared" si="135"/>
        <v>0</v>
      </c>
      <c r="R345" s="76">
        <f t="shared" si="131"/>
        <v>0</v>
      </c>
      <c r="S345" s="76">
        <f t="shared" si="132"/>
        <v>0</v>
      </c>
      <c r="T345" s="129"/>
      <c r="U345" s="120" t="str">
        <f t="shared" si="138"/>
        <v>ANK:43871</v>
      </c>
      <c r="V345" s="265">
        <f t="shared" si="134"/>
        <v>43882</v>
      </c>
      <c r="X345"/>
      <c r="Y345"/>
      <c r="Z345"/>
    </row>
    <row r="346" spans="1:26" s="22" customFormat="1" outlineLevel="1" x14ac:dyDescent="0.25">
      <c r="A346" s="120">
        <f t="shared" si="136"/>
        <v>8</v>
      </c>
      <c r="B346" s="392">
        <v>43861</v>
      </c>
      <c r="C346" s="231" t="s">
        <v>678</v>
      </c>
      <c r="D346" s="76"/>
      <c r="E346" s="231"/>
      <c r="F346" s="231"/>
      <c r="G346" s="231"/>
      <c r="H346" s="76"/>
      <c r="I346" s="232"/>
      <c r="J346" s="76"/>
      <c r="K346" s="76"/>
      <c r="L346" s="76">
        <f t="shared" si="137"/>
        <v>0</v>
      </c>
      <c r="M346" s="76"/>
      <c r="N346" s="76"/>
      <c r="O346" s="76"/>
      <c r="P346" s="76"/>
      <c r="Q346" s="76">
        <f t="shared" si="135"/>
        <v>0</v>
      </c>
      <c r="R346" s="76">
        <f t="shared" si="131"/>
        <v>0</v>
      </c>
      <c r="S346" s="76">
        <f t="shared" si="132"/>
        <v>0</v>
      </c>
      <c r="T346" s="129"/>
      <c r="U346" s="120" t="str">
        <f t="shared" si="138"/>
        <v>ANK:43861</v>
      </c>
      <c r="V346" s="265">
        <f t="shared" ref="V346:V350" si="139">DATE(YEAR(B346+1),MONTH(B346+1),VLOOKUP(C346,payEmpNames,4))</f>
        <v>43882</v>
      </c>
      <c r="X346"/>
      <c r="Y346"/>
      <c r="Z346"/>
    </row>
    <row r="347" spans="1:26" s="22" customFormat="1" outlineLevel="1" x14ac:dyDescent="0.25">
      <c r="A347" s="120">
        <f t="shared" si="136"/>
        <v>9</v>
      </c>
      <c r="B347" s="392">
        <v>43900</v>
      </c>
      <c r="C347" s="231" t="s">
        <v>678</v>
      </c>
      <c r="D347" s="76"/>
      <c r="E347" s="231"/>
      <c r="F347" s="231"/>
      <c r="G347" s="231"/>
      <c r="H347" s="76"/>
      <c r="I347" s="232"/>
      <c r="J347" s="76"/>
      <c r="K347" s="76"/>
      <c r="L347" s="76">
        <f t="shared" si="137"/>
        <v>0</v>
      </c>
      <c r="M347" s="76"/>
      <c r="N347" s="76"/>
      <c r="O347" s="76"/>
      <c r="P347" s="76"/>
      <c r="Q347" s="76">
        <f t="shared" si="135"/>
        <v>0</v>
      </c>
      <c r="R347" s="76">
        <f t="shared" si="131"/>
        <v>0</v>
      </c>
      <c r="S347" s="76">
        <f t="shared" si="132"/>
        <v>0</v>
      </c>
      <c r="T347" s="129"/>
      <c r="U347" s="120" t="str">
        <f t="shared" si="138"/>
        <v>ANK:43900</v>
      </c>
      <c r="V347" s="265">
        <f t="shared" si="139"/>
        <v>43911</v>
      </c>
      <c r="X347"/>
      <c r="Y347"/>
      <c r="Z347"/>
    </row>
    <row r="348" spans="1:26" s="22" customFormat="1" outlineLevel="1" x14ac:dyDescent="0.25">
      <c r="A348" s="120">
        <f t="shared" si="136"/>
        <v>10</v>
      </c>
      <c r="B348" s="392">
        <v>43928</v>
      </c>
      <c r="C348" s="231" t="s">
        <v>678</v>
      </c>
      <c r="D348" s="76"/>
      <c r="E348" s="231"/>
      <c r="F348" s="231"/>
      <c r="G348" s="231"/>
      <c r="H348" s="76"/>
      <c r="I348" s="232"/>
      <c r="J348" s="76"/>
      <c r="K348" s="76"/>
      <c r="L348" s="76">
        <f t="shared" si="137"/>
        <v>0</v>
      </c>
      <c r="M348" s="76"/>
      <c r="N348" s="76"/>
      <c r="O348" s="76"/>
      <c r="P348" s="76"/>
      <c r="Q348" s="76">
        <f t="shared" si="135"/>
        <v>0</v>
      </c>
      <c r="R348" s="76">
        <f t="shared" si="131"/>
        <v>0</v>
      </c>
      <c r="S348" s="76">
        <f t="shared" si="132"/>
        <v>0</v>
      </c>
      <c r="T348" s="129"/>
      <c r="U348" s="120" t="str">
        <f t="shared" si="138"/>
        <v>ANK:43928</v>
      </c>
      <c r="V348" s="265">
        <f t="shared" si="139"/>
        <v>43942</v>
      </c>
      <c r="X348"/>
      <c r="Y348"/>
      <c r="Z348"/>
    </row>
    <row r="349" spans="1:26" s="22" customFormat="1" outlineLevel="1" x14ac:dyDescent="0.25">
      <c r="A349" s="120">
        <f t="shared" si="136"/>
        <v>11</v>
      </c>
      <c r="B349" s="392">
        <v>43970</v>
      </c>
      <c r="C349" s="231" t="s">
        <v>678</v>
      </c>
      <c r="D349" s="76"/>
      <c r="E349" s="231"/>
      <c r="F349" s="231"/>
      <c r="G349" s="231"/>
      <c r="H349" s="76"/>
      <c r="I349" s="232"/>
      <c r="J349" s="76"/>
      <c r="K349" s="76"/>
      <c r="L349" s="76">
        <f t="shared" si="137"/>
        <v>0</v>
      </c>
      <c r="M349" s="76"/>
      <c r="N349" s="76"/>
      <c r="O349" s="76"/>
      <c r="P349" s="76"/>
      <c r="Q349" s="76">
        <f t="shared" si="135"/>
        <v>0</v>
      </c>
      <c r="R349" s="76">
        <f t="shared" si="131"/>
        <v>0</v>
      </c>
      <c r="S349" s="76">
        <f t="shared" si="132"/>
        <v>0</v>
      </c>
      <c r="T349" s="129"/>
      <c r="U349" s="120" t="str">
        <f t="shared" si="138"/>
        <v>ANK:43970</v>
      </c>
      <c r="V349" s="265">
        <f t="shared" si="139"/>
        <v>43972</v>
      </c>
      <c r="X349"/>
      <c r="Y349"/>
      <c r="Z349"/>
    </row>
    <row r="350" spans="1:26" s="22" customFormat="1" outlineLevel="1" x14ac:dyDescent="0.25">
      <c r="A350" s="120">
        <f t="shared" si="136"/>
        <v>12</v>
      </c>
      <c r="B350" s="392">
        <v>43982</v>
      </c>
      <c r="C350" s="231" t="s">
        <v>678</v>
      </c>
      <c r="D350" s="76"/>
      <c r="E350" s="231"/>
      <c r="F350" s="231"/>
      <c r="G350" s="231"/>
      <c r="H350" s="76"/>
      <c r="I350" s="232"/>
      <c r="J350" s="76"/>
      <c r="K350" s="76"/>
      <c r="L350" s="76">
        <f t="shared" si="137"/>
        <v>0</v>
      </c>
      <c r="M350" s="76"/>
      <c r="N350" s="76"/>
      <c r="O350" s="76"/>
      <c r="P350" s="76"/>
      <c r="Q350" s="76">
        <f t="shared" si="135"/>
        <v>0</v>
      </c>
      <c r="R350" s="76">
        <f t="shared" si="131"/>
        <v>0</v>
      </c>
      <c r="S350" s="76">
        <f t="shared" si="132"/>
        <v>0</v>
      </c>
      <c r="T350" s="129"/>
      <c r="U350" s="120" t="str">
        <f t="shared" si="138"/>
        <v>ANK:43982</v>
      </c>
      <c r="V350" s="265">
        <f t="shared" si="139"/>
        <v>44003</v>
      </c>
      <c r="X350"/>
      <c r="Y350"/>
      <c r="Z350"/>
    </row>
    <row r="351" spans="1:26" outlineLevel="1" x14ac:dyDescent="0.25">
      <c r="A351" s="120">
        <f t="shared" si="136"/>
        <v>1</v>
      </c>
      <c r="B351" s="392">
        <v>43646</v>
      </c>
      <c r="C351" s="231" t="s">
        <v>622</v>
      </c>
      <c r="D351" s="76"/>
      <c r="E351" s="231"/>
      <c r="F351" s="231"/>
      <c r="G351" s="231"/>
      <c r="H351" s="76"/>
      <c r="I351" s="232">
        <v>178.9</v>
      </c>
      <c r="J351" s="76"/>
      <c r="K351" s="76"/>
      <c r="L351" s="76">
        <f t="shared" si="137"/>
        <v>162.63999999999999</v>
      </c>
      <c r="M351" s="76"/>
      <c r="N351" s="76"/>
      <c r="O351" s="76"/>
      <c r="P351" s="76"/>
      <c r="Q351" s="76">
        <f t="shared" si="135"/>
        <v>16.260000000000019</v>
      </c>
      <c r="R351" s="76">
        <f t="shared" si="131"/>
        <v>162.63999999999999</v>
      </c>
      <c r="S351" s="76">
        <f t="shared" si="132"/>
        <v>178.9</v>
      </c>
      <c r="T351" s="129"/>
      <c r="U351" s="120" t="str">
        <f t="shared" si="138"/>
        <v>GEO:43646</v>
      </c>
      <c r="V351" s="265">
        <f t="shared" ref="V351:V366" si="140">DATE(YEAR(B351+1),MONTH(B351+1),VLOOKUP(C351,payEmpNames,4))</f>
        <v>43667</v>
      </c>
    </row>
    <row r="352" spans="1:26" outlineLevel="1" x14ac:dyDescent="0.25">
      <c r="A352" s="120">
        <f t="shared" si="136"/>
        <v>2</v>
      </c>
      <c r="B352" s="392">
        <v>43677</v>
      </c>
      <c r="C352" s="231" t="s">
        <v>622</v>
      </c>
      <c r="D352" s="76"/>
      <c r="E352" s="231"/>
      <c r="F352" s="231"/>
      <c r="G352" s="231"/>
      <c r="H352" s="76"/>
      <c r="I352" s="232">
        <v>178.9</v>
      </c>
      <c r="J352" s="76"/>
      <c r="K352" s="76"/>
      <c r="L352" s="76">
        <f t="shared" si="137"/>
        <v>162.63999999999999</v>
      </c>
      <c r="M352" s="76"/>
      <c r="N352" s="76"/>
      <c r="O352" s="76"/>
      <c r="P352" s="76"/>
      <c r="Q352" s="76">
        <f t="shared" si="135"/>
        <v>16.260000000000019</v>
      </c>
      <c r="R352" s="76">
        <f t="shared" si="131"/>
        <v>162.63999999999999</v>
      </c>
      <c r="S352" s="76">
        <f t="shared" si="132"/>
        <v>178.9</v>
      </c>
      <c r="T352" s="129"/>
      <c r="U352" s="120" t="str">
        <f t="shared" si="138"/>
        <v>GEO:43677</v>
      </c>
      <c r="V352" s="265">
        <f t="shared" si="140"/>
        <v>43698</v>
      </c>
    </row>
    <row r="353" spans="1:26" outlineLevel="1" x14ac:dyDescent="0.25">
      <c r="A353" s="120">
        <f t="shared" si="136"/>
        <v>3</v>
      </c>
      <c r="B353" s="392">
        <v>43708</v>
      </c>
      <c r="C353" s="231" t="s">
        <v>622</v>
      </c>
      <c r="D353" s="76"/>
      <c r="E353" s="231"/>
      <c r="F353" s="231"/>
      <c r="G353" s="231"/>
      <c r="H353" s="76"/>
      <c r="I353" s="232">
        <v>178.9</v>
      </c>
      <c r="J353" s="76"/>
      <c r="K353" s="76"/>
      <c r="L353" s="76">
        <f t="shared" si="137"/>
        <v>162.63999999999999</v>
      </c>
      <c r="M353" s="76"/>
      <c r="N353" s="76"/>
      <c r="O353" s="76"/>
      <c r="P353" s="76"/>
      <c r="Q353" s="76">
        <f t="shared" si="135"/>
        <v>16.260000000000019</v>
      </c>
      <c r="R353" s="76">
        <f t="shared" si="131"/>
        <v>162.63999999999999</v>
      </c>
      <c r="S353" s="76">
        <f t="shared" si="132"/>
        <v>178.9</v>
      </c>
      <c r="T353" s="129"/>
      <c r="U353" s="120" t="str">
        <f t="shared" si="138"/>
        <v>GEO:43708</v>
      </c>
      <c r="V353" s="265">
        <f t="shared" si="140"/>
        <v>43729</v>
      </c>
    </row>
    <row r="354" spans="1:26" outlineLevel="1" x14ac:dyDescent="0.25">
      <c r="A354" s="120">
        <f t="shared" si="136"/>
        <v>4</v>
      </c>
      <c r="B354" s="392">
        <v>43738</v>
      </c>
      <c r="C354" s="231" t="s">
        <v>622</v>
      </c>
      <c r="D354" s="76"/>
      <c r="E354" s="231"/>
      <c r="F354" s="231"/>
      <c r="G354" s="231"/>
      <c r="H354" s="76"/>
      <c r="I354" s="232">
        <v>178.9</v>
      </c>
      <c r="J354" s="76"/>
      <c r="K354" s="76"/>
      <c r="L354" s="76">
        <f t="shared" si="137"/>
        <v>162.63999999999999</v>
      </c>
      <c r="M354" s="76"/>
      <c r="N354" s="76"/>
      <c r="O354" s="76"/>
      <c r="P354" s="76"/>
      <c r="Q354" s="76">
        <f t="shared" si="135"/>
        <v>16.260000000000019</v>
      </c>
      <c r="R354" s="76">
        <f t="shared" si="131"/>
        <v>162.63999999999999</v>
      </c>
      <c r="S354" s="76">
        <f t="shared" si="132"/>
        <v>178.9</v>
      </c>
      <c r="T354" s="129"/>
      <c r="U354" s="120" t="str">
        <f t="shared" si="138"/>
        <v>GEO:43738</v>
      </c>
      <c r="V354" s="265">
        <f t="shared" si="140"/>
        <v>43759</v>
      </c>
    </row>
    <row r="355" spans="1:26" outlineLevel="1" x14ac:dyDescent="0.25">
      <c r="A355" s="120">
        <f t="shared" si="136"/>
        <v>5</v>
      </c>
      <c r="B355" s="392">
        <v>43769</v>
      </c>
      <c r="C355" s="231" t="s">
        <v>622</v>
      </c>
      <c r="D355" s="76"/>
      <c r="E355" s="231"/>
      <c r="F355" s="231"/>
      <c r="G355" s="231"/>
      <c r="H355" s="76"/>
      <c r="I355" s="232"/>
      <c r="J355" s="76"/>
      <c r="K355" s="76"/>
      <c r="L355" s="76">
        <f t="shared" si="137"/>
        <v>0</v>
      </c>
      <c r="M355" s="76"/>
      <c r="N355" s="76"/>
      <c r="O355" s="76"/>
      <c r="P355" s="76"/>
      <c r="Q355" s="76">
        <f t="shared" si="135"/>
        <v>0</v>
      </c>
      <c r="R355" s="76">
        <f t="shared" si="131"/>
        <v>0</v>
      </c>
      <c r="S355" s="76">
        <f t="shared" si="132"/>
        <v>0</v>
      </c>
      <c r="T355" s="129"/>
      <c r="U355" s="120" t="str">
        <f t="shared" si="138"/>
        <v>GEO:43769</v>
      </c>
      <c r="V355" s="265">
        <f t="shared" si="140"/>
        <v>43790</v>
      </c>
    </row>
    <row r="356" spans="1:26" outlineLevel="1" x14ac:dyDescent="0.25">
      <c r="A356" s="120">
        <f t="shared" si="136"/>
        <v>6</v>
      </c>
      <c r="B356" s="392">
        <v>43799</v>
      </c>
      <c r="C356" s="231" t="s">
        <v>622</v>
      </c>
      <c r="D356" s="76"/>
      <c r="E356" s="231"/>
      <c r="F356" s="231"/>
      <c r="G356" s="231"/>
      <c r="H356" s="76"/>
      <c r="I356" s="232"/>
      <c r="J356" s="76"/>
      <c r="K356" s="76"/>
      <c r="L356" s="76">
        <f t="shared" si="137"/>
        <v>0</v>
      </c>
      <c r="M356" s="76"/>
      <c r="N356" s="76"/>
      <c r="O356" s="76"/>
      <c r="P356" s="76"/>
      <c r="Q356" s="76">
        <f t="shared" si="135"/>
        <v>0</v>
      </c>
      <c r="R356" s="76">
        <f t="shared" si="131"/>
        <v>0</v>
      </c>
      <c r="S356" s="76">
        <f t="shared" si="132"/>
        <v>0</v>
      </c>
      <c r="T356" s="129"/>
      <c r="U356" s="120" t="str">
        <f t="shared" si="138"/>
        <v>GEO:43799</v>
      </c>
      <c r="V356" s="265">
        <f t="shared" si="140"/>
        <v>43820</v>
      </c>
    </row>
    <row r="357" spans="1:26" outlineLevel="1" x14ac:dyDescent="0.25">
      <c r="A357" s="120">
        <f t="shared" si="136"/>
        <v>7</v>
      </c>
      <c r="B357" s="392">
        <v>43830</v>
      </c>
      <c r="C357" s="231" t="s">
        <v>622</v>
      </c>
      <c r="D357" s="76"/>
      <c r="E357" s="231"/>
      <c r="F357" s="231"/>
      <c r="G357" s="231"/>
      <c r="H357" s="76"/>
      <c r="I357" s="232"/>
      <c r="J357" s="76"/>
      <c r="K357" s="76"/>
      <c r="L357" s="76">
        <f t="shared" si="137"/>
        <v>0</v>
      </c>
      <c r="M357" s="76"/>
      <c r="N357" s="76"/>
      <c r="O357" s="76"/>
      <c r="P357" s="76"/>
      <c r="Q357" s="76">
        <f t="shared" si="135"/>
        <v>0</v>
      </c>
      <c r="R357" s="76">
        <f t="shared" si="131"/>
        <v>0</v>
      </c>
      <c r="S357" s="76">
        <f t="shared" si="132"/>
        <v>0</v>
      </c>
      <c r="T357" s="129"/>
      <c r="U357" s="120" t="str">
        <f t="shared" si="138"/>
        <v>GEO:43830</v>
      </c>
      <c r="V357" s="265">
        <f t="shared" si="140"/>
        <v>43851</v>
      </c>
    </row>
    <row r="358" spans="1:26" outlineLevel="1" x14ac:dyDescent="0.25">
      <c r="A358" s="120">
        <f t="shared" si="136"/>
        <v>8</v>
      </c>
      <c r="B358" s="392">
        <v>43861</v>
      </c>
      <c r="C358" s="231" t="s">
        <v>622</v>
      </c>
      <c r="D358" s="76"/>
      <c r="E358" s="231"/>
      <c r="F358" s="231"/>
      <c r="G358" s="231"/>
      <c r="H358" s="76"/>
      <c r="I358" s="232"/>
      <c r="J358" s="76"/>
      <c r="K358" s="76"/>
      <c r="L358" s="76">
        <f t="shared" si="137"/>
        <v>0</v>
      </c>
      <c r="M358" s="76"/>
      <c r="N358" s="76"/>
      <c r="O358" s="76"/>
      <c r="P358" s="76"/>
      <c r="Q358" s="76">
        <f t="shared" si="135"/>
        <v>0</v>
      </c>
      <c r="R358" s="76">
        <f t="shared" si="131"/>
        <v>0</v>
      </c>
      <c r="S358" s="76">
        <f t="shared" si="132"/>
        <v>0</v>
      </c>
      <c r="T358" s="129"/>
      <c r="U358" s="120" t="str">
        <f t="shared" si="138"/>
        <v>GEO:43861</v>
      </c>
      <c r="V358" s="265">
        <f t="shared" si="140"/>
        <v>43882</v>
      </c>
    </row>
    <row r="359" spans="1:26" outlineLevel="1" x14ac:dyDescent="0.25">
      <c r="A359" s="120">
        <f t="shared" si="136"/>
        <v>9</v>
      </c>
      <c r="B359" s="392">
        <v>43889</v>
      </c>
      <c r="C359" s="231" t="s">
        <v>622</v>
      </c>
      <c r="D359" s="76"/>
      <c r="E359" s="231"/>
      <c r="F359" s="231"/>
      <c r="G359" s="231"/>
      <c r="H359" s="76"/>
      <c r="I359" s="232"/>
      <c r="J359" s="76"/>
      <c r="K359" s="76"/>
      <c r="L359" s="76">
        <f t="shared" si="137"/>
        <v>0</v>
      </c>
      <c r="M359" s="76"/>
      <c r="N359" s="76"/>
      <c r="O359" s="76"/>
      <c r="P359" s="76"/>
      <c r="Q359" s="76">
        <f t="shared" si="135"/>
        <v>0</v>
      </c>
      <c r="R359" s="76">
        <f t="shared" si="131"/>
        <v>0</v>
      </c>
      <c r="S359" s="76">
        <f t="shared" si="132"/>
        <v>0</v>
      </c>
      <c r="T359" s="129"/>
      <c r="U359" s="120" t="str">
        <f t="shared" si="138"/>
        <v>GEO:43889</v>
      </c>
      <c r="V359" s="265">
        <f t="shared" si="140"/>
        <v>43882</v>
      </c>
    </row>
    <row r="360" spans="1:26" outlineLevel="1" x14ac:dyDescent="0.25">
      <c r="A360" s="120">
        <f>GETPAYMONTH(B360)</f>
        <v>10</v>
      </c>
      <c r="B360" s="392">
        <v>43921</v>
      </c>
      <c r="C360" s="231" t="s">
        <v>622</v>
      </c>
      <c r="D360" s="76"/>
      <c r="E360" s="231"/>
      <c r="F360" s="231"/>
      <c r="G360" s="231"/>
      <c r="H360" s="76"/>
      <c r="I360" s="232"/>
      <c r="J360" s="76"/>
      <c r="K360" s="76"/>
      <c r="L360" s="76">
        <f t="shared" si="137"/>
        <v>0</v>
      </c>
      <c r="M360" s="76"/>
      <c r="N360" s="76"/>
      <c r="O360" s="76"/>
      <c r="P360" s="76"/>
      <c r="Q360" s="76">
        <f t="shared" si="135"/>
        <v>0</v>
      </c>
      <c r="R360" s="76">
        <f t="shared" si="131"/>
        <v>0</v>
      </c>
      <c r="S360" s="76">
        <f t="shared" si="132"/>
        <v>0</v>
      </c>
      <c r="T360" s="129"/>
      <c r="U360" s="120" t="str">
        <f>C360 &amp;":"&amp; B360</f>
        <v>GEO:43921</v>
      </c>
      <c r="V360" s="265">
        <f>DATE(YEAR(B360+1),MONTH(B360+1),VLOOKUP(C360,payEmpNames,4))</f>
        <v>43942</v>
      </c>
    </row>
    <row r="361" spans="1:26" outlineLevel="1" x14ac:dyDescent="0.25">
      <c r="A361" s="120">
        <f>GETPAYMONTH(B361)</f>
        <v>11</v>
      </c>
      <c r="B361" s="392">
        <v>43951</v>
      </c>
      <c r="C361" s="231" t="s">
        <v>622</v>
      </c>
      <c r="D361" s="76"/>
      <c r="E361" s="231"/>
      <c r="F361" s="231"/>
      <c r="G361" s="231"/>
      <c r="H361" s="76"/>
      <c r="I361" s="232"/>
      <c r="J361" s="76"/>
      <c r="K361" s="76"/>
      <c r="L361" s="76">
        <f t="shared" si="137"/>
        <v>0</v>
      </c>
      <c r="M361" s="76"/>
      <c r="N361" s="76"/>
      <c r="O361" s="76"/>
      <c r="P361" s="76"/>
      <c r="Q361" s="76">
        <f t="shared" si="135"/>
        <v>0</v>
      </c>
      <c r="R361" s="76">
        <f t="shared" si="131"/>
        <v>0</v>
      </c>
      <c r="S361" s="76">
        <f t="shared" si="132"/>
        <v>0</v>
      </c>
      <c r="T361" s="129"/>
      <c r="U361" s="120" t="str">
        <f>C361 &amp;":"&amp; B361</f>
        <v>GEO:43951</v>
      </c>
      <c r="V361" s="265">
        <f>DATE(YEAR(B361+1),MONTH(B361+1),VLOOKUP(C361,payEmpNames,4))</f>
        <v>43972</v>
      </c>
      <c r="X361" s="35"/>
      <c r="Y361" s="35"/>
      <c r="Z361" s="35"/>
    </row>
    <row r="362" spans="1:26" outlineLevel="1" x14ac:dyDescent="0.25">
      <c r="A362" s="120">
        <f>GETPAYMONTH(B362)</f>
        <v>12</v>
      </c>
      <c r="B362" s="392">
        <v>43982</v>
      </c>
      <c r="C362" s="231" t="s">
        <v>622</v>
      </c>
      <c r="D362" s="76"/>
      <c r="E362" s="231"/>
      <c r="F362" s="231"/>
      <c r="G362" s="231"/>
      <c r="H362" s="76"/>
      <c r="I362" s="232"/>
      <c r="J362" s="76"/>
      <c r="K362" s="76"/>
      <c r="L362" s="76">
        <f t="shared" si="137"/>
        <v>0</v>
      </c>
      <c r="M362" s="76"/>
      <c r="N362" s="76"/>
      <c r="O362" s="76"/>
      <c r="P362" s="76"/>
      <c r="Q362" s="76">
        <f t="shared" si="135"/>
        <v>0</v>
      </c>
      <c r="R362" s="76">
        <f t="shared" si="131"/>
        <v>0</v>
      </c>
      <c r="S362" s="76">
        <f t="shared" si="132"/>
        <v>0</v>
      </c>
      <c r="T362" s="129"/>
      <c r="U362" s="120" t="str">
        <f>C362 &amp;":"&amp; B362</f>
        <v>GEO:43982</v>
      </c>
      <c r="V362" s="265">
        <f>DATE(YEAR(B362+1),MONTH(B362+1),VLOOKUP(C362,payEmpNames,4))</f>
        <v>44003</v>
      </c>
      <c r="X362" s="35"/>
      <c r="Y362" s="35"/>
      <c r="Z362" s="35"/>
    </row>
    <row r="363" spans="1:26" outlineLevel="1" x14ac:dyDescent="0.25">
      <c r="A363" s="120">
        <f t="shared" si="136"/>
        <v>0</v>
      </c>
      <c r="B363" s="392"/>
      <c r="C363" s="231"/>
      <c r="D363" s="76"/>
      <c r="E363" s="231"/>
      <c r="F363" s="231"/>
      <c r="G363" s="231"/>
      <c r="H363" s="76"/>
      <c r="I363" s="232"/>
      <c r="J363" s="76"/>
      <c r="K363" s="76"/>
      <c r="L363" s="76">
        <f t="shared" si="137"/>
        <v>0</v>
      </c>
      <c r="M363" s="76"/>
      <c r="N363" s="76"/>
      <c r="O363" s="76"/>
      <c r="P363" s="76"/>
      <c r="Q363" s="76">
        <f t="shared" si="135"/>
        <v>0</v>
      </c>
      <c r="R363" s="76">
        <f t="shared" si="131"/>
        <v>0</v>
      </c>
      <c r="S363" s="76">
        <f t="shared" si="132"/>
        <v>0</v>
      </c>
      <c r="T363" s="129"/>
      <c r="U363" s="120" t="str">
        <f t="shared" si="138"/>
        <v>:</v>
      </c>
      <c r="V363" s="265" t="e">
        <f t="shared" si="140"/>
        <v>#N/A</v>
      </c>
    </row>
    <row r="364" spans="1:26" outlineLevel="1" x14ac:dyDescent="0.25">
      <c r="A364" s="120">
        <f t="shared" si="136"/>
        <v>0</v>
      </c>
      <c r="B364" s="392"/>
      <c r="C364" s="231"/>
      <c r="D364" s="76"/>
      <c r="E364" s="231"/>
      <c r="F364" s="231"/>
      <c r="G364" s="231"/>
      <c r="H364" s="76"/>
      <c r="I364" s="232"/>
      <c r="J364" s="76"/>
      <c r="K364" s="76"/>
      <c r="L364" s="76">
        <f t="shared" si="137"/>
        <v>0</v>
      </c>
      <c r="M364" s="76"/>
      <c r="N364" s="76"/>
      <c r="O364" s="76"/>
      <c r="P364" s="76"/>
      <c r="Q364" s="76">
        <f t="shared" si="135"/>
        <v>0</v>
      </c>
      <c r="R364" s="76">
        <f t="shared" si="131"/>
        <v>0</v>
      </c>
      <c r="S364" s="76">
        <f t="shared" si="132"/>
        <v>0</v>
      </c>
      <c r="T364" s="129"/>
      <c r="U364" s="120" t="str">
        <f t="shared" si="138"/>
        <v>:</v>
      </c>
      <c r="V364" s="265" t="e">
        <f t="shared" si="140"/>
        <v>#N/A</v>
      </c>
      <c r="X364" s="35"/>
      <c r="Y364" s="35"/>
      <c r="Z364" s="35"/>
    </row>
    <row r="365" spans="1:26" outlineLevel="1" x14ac:dyDescent="0.25">
      <c r="A365" s="120">
        <f t="shared" si="136"/>
        <v>0</v>
      </c>
      <c r="B365" s="392"/>
      <c r="C365" s="231"/>
      <c r="D365" s="76"/>
      <c r="E365" s="231"/>
      <c r="F365" s="231"/>
      <c r="G365" s="231"/>
      <c r="H365" s="76"/>
      <c r="I365" s="232"/>
      <c r="J365" s="76"/>
      <c r="K365" s="76"/>
      <c r="L365" s="76">
        <f t="shared" si="137"/>
        <v>0</v>
      </c>
      <c r="M365" s="76"/>
      <c r="N365" s="76"/>
      <c r="O365" s="76"/>
      <c r="P365" s="76"/>
      <c r="Q365" s="76">
        <f t="shared" si="135"/>
        <v>0</v>
      </c>
      <c r="R365" s="76">
        <f t="shared" si="131"/>
        <v>0</v>
      </c>
      <c r="S365" s="76">
        <f t="shared" si="132"/>
        <v>0</v>
      </c>
      <c r="T365" s="129"/>
      <c r="U365" s="120" t="str">
        <f t="shared" si="138"/>
        <v>:</v>
      </c>
      <c r="V365" s="265" t="e">
        <f t="shared" si="140"/>
        <v>#N/A</v>
      </c>
      <c r="X365" s="35"/>
      <c r="Y365" s="35"/>
      <c r="Z365" s="35"/>
    </row>
    <row r="366" spans="1:26" x14ac:dyDescent="0.25">
      <c r="A366" s="120">
        <f t="shared" si="136"/>
        <v>0</v>
      </c>
      <c r="B366" s="231"/>
      <c r="C366" s="231"/>
      <c r="D366" s="76"/>
      <c r="E366" s="231"/>
      <c r="F366" s="231"/>
      <c r="G366" s="231"/>
      <c r="H366" s="76"/>
      <c r="I366" s="232"/>
      <c r="J366" s="76"/>
      <c r="K366" s="76"/>
      <c r="L366" s="76">
        <f t="shared" si="137"/>
        <v>0</v>
      </c>
      <c r="M366" s="76"/>
      <c r="N366" s="76"/>
      <c r="O366" s="76"/>
      <c r="P366" s="76"/>
      <c r="Q366" s="76">
        <f t="shared" si="135"/>
        <v>0</v>
      </c>
      <c r="R366" s="76">
        <f t="shared" si="131"/>
        <v>0</v>
      </c>
      <c r="S366" s="76">
        <f t="shared" si="132"/>
        <v>0</v>
      </c>
      <c r="T366" s="129"/>
      <c r="U366" s="120" t="str">
        <f t="shared" si="138"/>
        <v>:</v>
      </c>
      <c r="V366" s="265" t="e">
        <f t="shared" si="140"/>
        <v>#N/A</v>
      </c>
      <c r="X366" s="35"/>
      <c r="Y366" s="35"/>
      <c r="Z366" s="35"/>
    </row>
    <row r="367" spans="1:26" s="35" customFormat="1" x14ac:dyDescent="0.25">
      <c r="A367" s="131"/>
      <c r="B367" s="235"/>
      <c r="C367" s="235"/>
      <c r="D367" s="235"/>
      <c r="E367" s="235"/>
      <c r="F367" s="235"/>
      <c r="G367" s="235"/>
      <c r="H367" s="235"/>
      <c r="I367" s="132"/>
      <c r="J367" s="132"/>
      <c r="K367" s="132"/>
      <c r="L367" s="132"/>
      <c r="M367" s="132"/>
      <c r="N367" s="132"/>
      <c r="O367" s="132"/>
      <c r="P367" s="132"/>
      <c r="Q367" s="132"/>
      <c r="R367" s="132"/>
      <c r="S367" s="132"/>
      <c r="T367" s="129"/>
    </row>
    <row r="368" spans="1:26" x14ac:dyDescent="0.25">
      <c r="F368"/>
      <c r="T368" s="129"/>
    </row>
    <row r="369" spans="1:21" x14ac:dyDescent="0.25">
      <c r="A369" s="254"/>
      <c r="B369" s="255"/>
      <c r="C369" s="256" t="str">
        <f>EmpID</f>
        <v>*</v>
      </c>
      <c r="D369" s="255" t="s">
        <v>518</v>
      </c>
      <c r="E369" s="219"/>
      <c r="F369" s="379"/>
      <c r="G369" s="256"/>
      <c r="H369" s="256"/>
      <c r="T369" s="129"/>
      <c r="U369" s="66" t="s">
        <v>465</v>
      </c>
    </row>
    <row r="370" spans="1:21" ht="13.8" thickBot="1" x14ac:dyDescent="0.3">
      <c r="A370" s="266"/>
      <c r="B370" s="219" t="s">
        <v>648</v>
      </c>
      <c r="C370" s="256" t="str">
        <f>EmpID</f>
        <v>*</v>
      </c>
      <c r="D370" s="219" t="s">
        <v>519</v>
      </c>
      <c r="E370" s="219" t="s">
        <v>642</v>
      </c>
      <c r="F370" s="379"/>
      <c r="G370" s="256"/>
      <c r="H370" s="256"/>
      <c r="T370" s="129"/>
      <c r="U370" s="156" t="s">
        <v>508</v>
      </c>
    </row>
    <row r="371" spans="1:21" ht="12.75" customHeight="1" x14ac:dyDescent="0.25">
      <c r="A371" s="267">
        <v>1</v>
      </c>
      <c r="B371" s="393">
        <v>43625</v>
      </c>
      <c r="C371" s="75" t="s">
        <v>55</v>
      </c>
      <c r="D371" s="268" t="s">
        <v>659</v>
      </c>
      <c r="E371" s="74">
        <v>5</v>
      </c>
      <c r="F371" s="74"/>
      <c r="G371" s="74"/>
      <c r="H371" s="75">
        <v>320122</v>
      </c>
      <c r="J371" s="138"/>
      <c r="T371" s="129"/>
      <c r="U371" s="120" t="str">
        <f t="shared" ref="U371:U434" si="141">C371 &amp;":"&amp; A371</f>
        <v>MAM:1</v>
      </c>
    </row>
    <row r="372" spans="1:21" ht="12.75" customHeight="1" x14ac:dyDescent="0.25">
      <c r="A372" s="120">
        <f t="shared" ref="A372:A431" si="142">GETPAYMONTH(DATE(YEAR(B372),MONTH(B372-4)+1,1))</f>
        <v>1</v>
      </c>
      <c r="B372" s="392">
        <v>43632</v>
      </c>
      <c r="C372" s="77" t="s">
        <v>55</v>
      </c>
      <c r="D372" s="231" t="s">
        <v>659</v>
      </c>
      <c r="E372" s="76">
        <v>4</v>
      </c>
      <c r="F372" s="76"/>
      <c r="G372" s="76"/>
      <c r="H372" s="77">
        <v>320122</v>
      </c>
      <c r="J372" s="138"/>
      <c r="T372" s="129"/>
      <c r="U372" s="120" t="str">
        <f t="shared" si="141"/>
        <v>MAM:1</v>
      </c>
    </row>
    <row r="373" spans="1:21" ht="12.75" customHeight="1" x14ac:dyDescent="0.25">
      <c r="A373" s="120">
        <f t="shared" si="142"/>
        <v>1</v>
      </c>
      <c r="B373" s="392">
        <v>43639</v>
      </c>
      <c r="C373" s="77" t="s">
        <v>55</v>
      </c>
      <c r="D373" s="231" t="s">
        <v>659</v>
      </c>
      <c r="E373" s="76">
        <v>5</v>
      </c>
      <c r="F373" s="76"/>
      <c r="G373" s="76"/>
      <c r="H373" s="77">
        <v>320123</v>
      </c>
      <c r="J373" s="138"/>
      <c r="T373" s="129"/>
      <c r="U373" s="120" t="str">
        <f t="shared" si="141"/>
        <v>MAM:1</v>
      </c>
    </row>
    <row r="374" spans="1:21" ht="12.75" customHeight="1" x14ac:dyDescent="0.25">
      <c r="A374" s="123">
        <f t="shared" si="142"/>
        <v>1</v>
      </c>
      <c r="B374" s="394">
        <v>43646</v>
      </c>
      <c r="C374" s="79" t="s">
        <v>55</v>
      </c>
      <c r="D374" s="269" t="s">
        <v>659</v>
      </c>
      <c r="E374" s="78">
        <v>5</v>
      </c>
      <c r="F374" s="78"/>
      <c r="G374" s="78"/>
      <c r="H374" s="79">
        <v>320123</v>
      </c>
      <c r="J374" s="138"/>
      <c r="T374" s="129"/>
      <c r="U374" s="120" t="str">
        <f t="shared" si="141"/>
        <v>MAM:1</v>
      </c>
    </row>
    <row r="375" spans="1:21" ht="12.75" customHeight="1" x14ac:dyDescent="0.25">
      <c r="A375" s="267">
        <f t="shared" si="142"/>
        <v>2</v>
      </c>
      <c r="B375" s="393">
        <v>43653</v>
      </c>
      <c r="C375" s="75" t="s">
        <v>55</v>
      </c>
      <c r="D375" s="268" t="s">
        <v>659</v>
      </c>
      <c r="E375" s="74">
        <v>1</v>
      </c>
      <c r="F375" s="74"/>
      <c r="G375" s="74"/>
      <c r="H375" s="75">
        <v>320124</v>
      </c>
      <c r="J375" s="138"/>
      <c r="T375" s="129"/>
      <c r="U375" s="120" t="str">
        <f t="shared" si="141"/>
        <v>MAM:2</v>
      </c>
    </row>
    <row r="376" spans="1:21" ht="12.75" customHeight="1" x14ac:dyDescent="0.25">
      <c r="A376" s="120">
        <f t="shared" si="142"/>
        <v>2</v>
      </c>
      <c r="B376" s="392">
        <v>43660</v>
      </c>
      <c r="C376" s="77" t="s">
        <v>55</v>
      </c>
      <c r="D376" s="231" t="s">
        <v>659</v>
      </c>
      <c r="E376" s="76">
        <v>1</v>
      </c>
      <c r="F376" s="76"/>
      <c r="G376" s="76"/>
      <c r="H376" s="77">
        <v>320124</v>
      </c>
      <c r="J376" s="138"/>
      <c r="T376" s="129"/>
      <c r="U376" s="120" t="str">
        <f t="shared" si="141"/>
        <v>MAM:2</v>
      </c>
    </row>
    <row r="377" spans="1:21" ht="12.75" customHeight="1" x14ac:dyDescent="0.25">
      <c r="A377" s="120">
        <f t="shared" si="142"/>
        <v>2</v>
      </c>
      <c r="B377" s="392">
        <v>43667</v>
      </c>
      <c r="C377" s="77" t="s">
        <v>55</v>
      </c>
      <c r="D377" s="231" t="s">
        <v>659</v>
      </c>
      <c r="E377" s="76"/>
      <c r="F377" s="76"/>
      <c r="G377" s="76"/>
      <c r="H377" s="77"/>
      <c r="I377" t="s">
        <v>813</v>
      </c>
      <c r="J377" s="138"/>
      <c r="T377" s="129"/>
      <c r="U377" s="120" t="str">
        <f t="shared" si="141"/>
        <v>MAM:2</v>
      </c>
    </row>
    <row r="378" spans="1:21" ht="12.75" customHeight="1" x14ac:dyDescent="0.25">
      <c r="A378" s="123">
        <f t="shared" si="142"/>
        <v>2</v>
      </c>
      <c r="B378" s="394">
        <v>43674</v>
      </c>
      <c r="C378" s="79" t="s">
        <v>55</v>
      </c>
      <c r="D378" s="269" t="s">
        <v>659</v>
      </c>
      <c r="E378" s="78">
        <v>1.5</v>
      </c>
      <c r="F378" s="78"/>
      <c r="G378" s="78"/>
      <c r="H378" s="79">
        <v>320125</v>
      </c>
      <c r="J378" s="138"/>
      <c r="T378" s="129"/>
      <c r="U378" s="120" t="str">
        <f t="shared" si="141"/>
        <v>MAM:2</v>
      </c>
    </row>
    <row r="379" spans="1:21" ht="12.75" customHeight="1" x14ac:dyDescent="0.25">
      <c r="A379" s="267">
        <f t="shared" si="142"/>
        <v>2</v>
      </c>
      <c r="B379" s="393">
        <v>43653</v>
      </c>
      <c r="C379" s="75" t="s">
        <v>55</v>
      </c>
      <c r="D379" s="268" t="s">
        <v>504</v>
      </c>
      <c r="E379" s="74">
        <v>3.5</v>
      </c>
      <c r="F379" s="74"/>
      <c r="G379" s="74"/>
      <c r="H379" s="75">
        <v>270301</v>
      </c>
      <c r="J379" s="138"/>
      <c r="T379" s="129"/>
      <c r="U379" s="120" t="str">
        <f t="shared" si="141"/>
        <v>MAM:2</v>
      </c>
    </row>
    <row r="380" spans="1:21" ht="12.75" customHeight="1" x14ac:dyDescent="0.25">
      <c r="A380" s="120">
        <f t="shared" si="142"/>
        <v>2</v>
      </c>
      <c r="B380" s="392">
        <v>43660</v>
      </c>
      <c r="C380" s="77" t="s">
        <v>55</v>
      </c>
      <c r="D380" s="231" t="s">
        <v>504</v>
      </c>
      <c r="E380" s="76">
        <v>4</v>
      </c>
      <c r="F380" s="76"/>
      <c r="G380" s="76"/>
      <c r="H380" s="77">
        <v>270302</v>
      </c>
      <c r="J380" s="138"/>
      <c r="T380" s="129"/>
      <c r="U380" s="120" t="str">
        <f t="shared" si="141"/>
        <v>MAM:2</v>
      </c>
    </row>
    <row r="381" spans="1:21" ht="12.75" customHeight="1" x14ac:dyDescent="0.25">
      <c r="A381" s="120">
        <f t="shared" si="142"/>
        <v>2</v>
      </c>
      <c r="B381" s="392">
        <v>43667</v>
      </c>
      <c r="C381" s="77" t="s">
        <v>55</v>
      </c>
      <c r="D381" s="231" t="s">
        <v>504</v>
      </c>
      <c r="E381" s="76"/>
      <c r="F381" s="76"/>
      <c r="G381" s="76"/>
      <c r="H381" s="77"/>
      <c r="I381" t="s">
        <v>813</v>
      </c>
      <c r="J381" s="138"/>
      <c r="T381" s="129"/>
      <c r="U381" s="120" t="str">
        <f t="shared" si="141"/>
        <v>MAM:2</v>
      </c>
    </row>
    <row r="382" spans="1:21" ht="12.75" customHeight="1" x14ac:dyDescent="0.25">
      <c r="A382" s="395">
        <f t="shared" si="142"/>
        <v>2</v>
      </c>
      <c r="B382" s="399">
        <v>43674</v>
      </c>
      <c r="C382" s="400" t="s">
        <v>55</v>
      </c>
      <c r="D382" s="401" t="s">
        <v>504</v>
      </c>
      <c r="E382" s="396">
        <v>4</v>
      </c>
      <c r="F382" s="396"/>
      <c r="G382" s="396"/>
      <c r="H382" s="400">
        <v>270303</v>
      </c>
      <c r="J382" s="138"/>
      <c r="T382" s="129"/>
      <c r="U382" s="120" t="str">
        <f t="shared" si="141"/>
        <v>MAM:2</v>
      </c>
    </row>
    <row r="383" spans="1:21" ht="12.75" customHeight="1" x14ac:dyDescent="0.25">
      <c r="A383" s="123">
        <f t="shared" si="142"/>
        <v>2</v>
      </c>
      <c r="B383" s="394">
        <v>43681</v>
      </c>
      <c r="C383" s="79" t="s">
        <v>55</v>
      </c>
      <c r="D383" s="269" t="s">
        <v>659</v>
      </c>
      <c r="E383" s="78">
        <f>1-0.5</f>
        <v>0.5</v>
      </c>
      <c r="F383" s="78"/>
      <c r="G383" s="78"/>
      <c r="H383" s="79">
        <v>320126</v>
      </c>
      <c r="J383" s="138"/>
      <c r="T383" s="129"/>
      <c r="U383" s="120" t="str">
        <f t="shared" si="141"/>
        <v>MAM:2</v>
      </c>
    </row>
    <row r="384" spans="1:21" ht="12.75" customHeight="1" x14ac:dyDescent="0.25">
      <c r="A384" s="120">
        <f t="shared" si="142"/>
        <v>3</v>
      </c>
      <c r="B384" s="392">
        <v>43688</v>
      </c>
      <c r="C384" s="77" t="s">
        <v>55</v>
      </c>
      <c r="D384" s="231" t="s">
        <v>659</v>
      </c>
      <c r="E384" s="76">
        <v>2</v>
      </c>
      <c r="F384" s="76"/>
      <c r="G384" s="76"/>
      <c r="H384" s="77">
        <v>320126</v>
      </c>
      <c r="I384" t="s">
        <v>814</v>
      </c>
      <c r="J384" s="138"/>
      <c r="T384" s="129"/>
      <c r="U384" s="120" t="str">
        <f t="shared" si="141"/>
        <v>MAM:3</v>
      </c>
    </row>
    <row r="385" spans="1:21" ht="12.75" customHeight="1" x14ac:dyDescent="0.25">
      <c r="A385" s="120">
        <f t="shared" si="142"/>
        <v>3</v>
      </c>
      <c r="B385" s="392">
        <v>43695</v>
      </c>
      <c r="C385" s="77" t="s">
        <v>55</v>
      </c>
      <c r="D385" s="231" t="s">
        <v>659</v>
      </c>
      <c r="E385" s="76">
        <v>1.5</v>
      </c>
      <c r="F385" s="76"/>
      <c r="G385" s="76"/>
      <c r="H385" s="77">
        <v>320127</v>
      </c>
      <c r="J385" s="138"/>
      <c r="T385" s="129"/>
      <c r="U385" s="120" t="str">
        <f t="shared" si="141"/>
        <v>MAM:3</v>
      </c>
    </row>
    <row r="386" spans="1:21" ht="12.75" customHeight="1" x14ac:dyDescent="0.25">
      <c r="A386" s="120">
        <f t="shared" si="142"/>
        <v>3</v>
      </c>
      <c r="B386" s="392">
        <v>43702</v>
      </c>
      <c r="C386" s="77" t="s">
        <v>55</v>
      </c>
      <c r="D386" s="231" t="s">
        <v>659</v>
      </c>
      <c r="E386" s="76">
        <v>1</v>
      </c>
      <c r="F386" s="76"/>
      <c r="G386" s="76"/>
      <c r="H386" s="77">
        <v>320127</v>
      </c>
      <c r="J386" s="138"/>
      <c r="T386" s="129"/>
      <c r="U386" s="120" t="str">
        <f t="shared" si="141"/>
        <v>MAM:3</v>
      </c>
    </row>
    <row r="387" spans="1:21" ht="12.75" customHeight="1" x14ac:dyDescent="0.25">
      <c r="A387" s="123">
        <f t="shared" si="142"/>
        <v>3</v>
      </c>
      <c r="B387" s="394">
        <v>43709</v>
      </c>
      <c r="C387" s="79" t="s">
        <v>55</v>
      </c>
      <c r="D387" s="269" t="s">
        <v>659</v>
      </c>
      <c r="E387" s="78">
        <v>3</v>
      </c>
      <c r="F387" s="78"/>
      <c r="G387" s="78"/>
      <c r="H387" s="79">
        <v>320128</v>
      </c>
      <c r="I387" t="s">
        <v>873</v>
      </c>
      <c r="J387" s="138"/>
      <c r="T387" s="129"/>
      <c r="U387" s="120" t="str">
        <f t="shared" si="141"/>
        <v>MAM:3</v>
      </c>
    </row>
    <row r="388" spans="1:21" ht="12.75" customHeight="1" x14ac:dyDescent="0.25">
      <c r="A388" s="267">
        <v>3</v>
      </c>
      <c r="B388" s="393">
        <v>43681</v>
      </c>
      <c r="C388" s="75" t="s">
        <v>55</v>
      </c>
      <c r="D388" s="268" t="s">
        <v>504</v>
      </c>
      <c r="E388" s="74">
        <v>4</v>
      </c>
      <c r="F388" s="74"/>
      <c r="G388" s="74"/>
      <c r="H388" s="75">
        <v>270304</v>
      </c>
      <c r="J388" s="138"/>
      <c r="T388" s="129"/>
      <c r="U388" s="120" t="str">
        <f t="shared" si="141"/>
        <v>MAM:3</v>
      </c>
    </row>
    <row r="389" spans="1:21" ht="12.75" customHeight="1" x14ac:dyDescent="0.25">
      <c r="A389" s="120">
        <f t="shared" si="142"/>
        <v>3</v>
      </c>
      <c r="B389" s="392">
        <v>43688</v>
      </c>
      <c r="C389" s="77" t="s">
        <v>55</v>
      </c>
      <c r="D389" s="231" t="s">
        <v>504</v>
      </c>
      <c r="E389" s="76">
        <v>4</v>
      </c>
      <c r="F389" s="76"/>
      <c r="G389" s="76"/>
      <c r="H389" s="77">
        <v>270305</v>
      </c>
      <c r="J389" s="138"/>
      <c r="T389" s="129"/>
      <c r="U389" s="120" t="str">
        <f t="shared" si="141"/>
        <v>MAM:3</v>
      </c>
    </row>
    <row r="390" spans="1:21" ht="12.75" customHeight="1" x14ac:dyDescent="0.25">
      <c r="A390" s="120">
        <f t="shared" si="142"/>
        <v>3</v>
      </c>
      <c r="B390" s="392">
        <v>43695</v>
      </c>
      <c r="C390" s="77" t="s">
        <v>55</v>
      </c>
      <c r="D390" s="231" t="s">
        <v>504</v>
      </c>
      <c r="E390" s="76">
        <v>3.5</v>
      </c>
      <c r="F390" s="76"/>
      <c r="G390" s="76"/>
      <c r="H390" s="77">
        <v>270306</v>
      </c>
      <c r="J390" s="138"/>
      <c r="T390" s="129"/>
      <c r="U390" s="120" t="str">
        <f t="shared" si="141"/>
        <v>MAM:3</v>
      </c>
    </row>
    <row r="391" spans="1:21" ht="12.75" customHeight="1" x14ac:dyDescent="0.25">
      <c r="A391" s="120">
        <f t="shared" si="142"/>
        <v>3</v>
      </c>
      <c r="B391" s="392">
        <v>43702</v>
      </c>
      <c r="C391" s="77" t="s">
        <v>55</v>
      </c>
      <c r="D391" s="231" t="s">
        <v>504</v>
      </c>
      <c r="E391" s="76">
        <v>4</v>
      </c>
      <c r="F391" s="76"/>
      <c r="G391" s="76"/>
      <c r="H391" s="77">
        <v>270307</v>
      </c>
      <c r="J391" s="138"/>
      <c r="T391" s="129"/>
      <c r="U391" s="120" t="str">
        <f t="shared" si="141"/>
        <v>MAM:3</v>
      </c>
    </row>
    <row r="392" spans="1:21" ht="12.75" customHeight="1" x14ac:dyDescent="0.25">
      <c r="A392" s="123">
        <f t="shared" si="142"/>
        <v>3</v>
      </c>
      <c r="B392" s="394">
        <v>43709</v>
      </c>
      <c r="C392" s="79" t="s">
        <v>55</v>
      </c>
      <c r="D392" s="269" t="s">
        <v>504</v>
      </c>
      <c r="E392" s="78">
        <f>3.5+0.5</f>
        <v>4</v>
      </c>
      <c r="F392" s="78"/>
      <c r="G392" s="78"/>
      <c r="H392" s="79">
        <v>270308</v>
      </c>
      <c r="J392" s="138"/>
      <c r="T392" s="129"/>
      <c r="U392" s="120" t="str">
        <f t="shared" si="141"/>
        <v>MAM:3</v>
      </c>
    </row>
    <row r="393" spans="1:21" ht="12.75" customHeight="1" x14ac:dyDescent="0.25">
      <c r="A393" s="267">
        <f t="shared" si="142"/>
        <v>4</v>
      </c>
      <c r="B393" s="393">
        <v>43716</v>
      </c>
      <c r="C393" s="75" t="s">
        <v>55</v>
      </c>
      <c r="D393" s="268" t="s">
        <v>504</v>
      </c>
      <c r="E393" s="74">
        <v>5</v>
      </c>
      <c r="F393" s="74"/>
      <c r="G393" s="74"/>
      <c r="H393" s="75">
        <v>270309</v>
      </c>
      <c r="J393" s="138"/>
      <c r="T393" s="129"/>
      <c r="U393" s="120" t="str">
        <f t="shared" si="141"/>
        <v>MAM:4</v>
      </c>
    </row>
    <row r="394" spans="1:21" ht="12.75" customHeight="1" x14ac:dyDescent="0.25">
      <c r="A394" s="120">
        <f t="shared" si="142"/>
        <v>4</v>
      </c>
      <c r="B394" s="392">
        <v>43723</v>
      </c>
      <c r="C394" s="77" t="s">
        <v>55</v>
      </c>
      <c r="D394" s="231" t="s">
        <v>504</v>
      </c>
      <c r="E394" s="76">
        <v>5</v>
      </c>
      <c r="F394" s="76"/>
      <c r="G394" s="76"/>
      <c r="H394" s="77">
        <v>270310</v>
      </c>
      <c r="J394" s="138"/>
      <c r="T394" s="129"/>
      <c r="U394" s="120" t="str">
        <f t="shared" si="141"/>
        <v>MAM:4</v>
      </c>
    </row>
    <row r="395" spans="1:21" ht="12.75" customHeight="1" x14ac:dyDescent="0.25">
      <c r="A395" s="120">
        <f t="shared" si="142"/>
        <v>4</v>
      </c>
      <c r="B395" s="392">
        <v>43730</v>
      </c>
      <c r="C395" s="77" t="s">
        <v>55</v>
      </c>
      <c r="D395" s="231" t="s">
        <v>504</v>
      </c>
      <c r="E395" s="76">
        <v>5</v>
      </c>
      <c r="F395" s="76"/>
      <c r="G395" s="76"/>
      <c r="H395" s="77">
        <v>270311</v>
      </c>
      <c r="J395" s="138"/>
      <c r="T395" s="129"/>
      <c r="U395" s="120" t="str">
        <f t="shared" si="141"/>
        <v>MAM:4</v>
      </c>
    </row>
    <row r="396" spans="1:21" ht="12.75" customHeight="1" x14ac:dyDescent="0.25">
      <c r="A396" s="123">
        <f t="shared" si="142"/>
        <v>4</v>
      </c>
      <c r="B396" s="394">
        <v>43737</v>
      </c>
      <c r="C396" s="79" t="s">
        <v>55</v>
      </c>
      <c r="D396" s="269" t="s">
        <v>504</v>
      </c>
      <c r="E396" s="78">
        <v>5</v>
      </c>
      <c r="F396" s="78"/>
      <c r="G396" s="78"/>
      <c r="H396" s="79">
        <v>270312</v>
      </c>
      <c r="J396" s="138"/>
      <c r="T396" s="129"/>
      <c r="U396" s="120" t="str">
        <f t="shared" si="141"/>
        <v>MAM:4</v>
      </c>
    </row>
    <row r="397" spans="1:21" ht="12.75" customHeight="1" x14ac:dyDescent="0.25">
      <c r="A397" s="267">
        <f t="shared" si="142"/>
        <v>5</v>
      </c>
      <c r="B397" s="393">
        <v>43744</v>
      </c>
      <c r="C397" s="75" t="s">
        <v>55</v>
      </c>
      <c r="D397" s="268" t="s">
        <v>504</v>
      </c>
      <c r="E397" s="74">
        <v>5</v>
      </c>
      <c r="F397" s="74"/>
      <c r="G397" s="74"/>
      <c r="H397" s="75">
        <v>270313</v>
      </c>
      <c r="J397" s="138"/>
      <c r="T397" s="129"/>
      <c r="U397" s="120" t="str">
        <f t="shared" si="141"/>
        <v>MAM:5</v>
      </c>
    </row>
    <row r="398" spans="1:21" ht="12.75" customHeight="1" x14ac:dyDescent="0.25">
      <c r="A398" s="120">
        <f t="shared" si="142"/>
        <v>5</v>
      </c>
      <c r="B398" s="392">
        <v>43751</v>
      </c>
      <c r="C398" s="77" t="s">
        <v>55</v>
      </c>
      <c r="D398" s="231" t="s">
        <v>504</v>
      </c>
      <c r="E398" s="76">
        <v>4</v>
      </c>
      <c r="F398" s="76"/>
      <c r="G398" s="76"/>
      <c r="H398" s="77">
        <v>270314</v>
      </c>
      <c r="I398" t="s">
        <v>926</v>
      </c>
      <c r="J398" s="138"/>
      <c r="T398" s="129"/>
      <c r="U398" s="120" t="str">
        <f t="shared" si="141"/>
        <v>MAM:5</v>
      </c>
    </row>
    <row r="399" spans="1:21" ht="12.75" customHeight="1" x14ac:dyDescent="0.25">
      <c r="A399" s="120">
        <f t="shared" si="142"/>
        <v>5</v>
      </c>
      <c r="B399" s="392">
        <v>43758</v>
      </c>
      <c r="C399" s="77" t="s">
        <v>55</v>
      </c>
      <c r="D399" s="231"/>
      <c r="E399" s="76"/>
      <c r="F399" s="76"/>
      <c r="G399" s="76"/>
      <c r="H399" s="77"/>
      <c r="J399" s="138"/>
      <c r="T399" s="129"/>
      <c r="U399" s="120" t="str">
        <f t="shared" si="141"/>
        <v>MAM:5</v>
      </c>
    </row>
    <row r="400" spans="1:21" ht="12.75" customHeight="1" x14ac:dyDescent="0.25">
      <c r="A400" s="120">
        <f t="shared" si="142"/>
        <v>5</v>
      </c>
      <c r="B400" s="392">
        <v>43765</v>
      </c>
      <c r="C400" s="77" t="s">
        <v>55</v>
      </c>
      <c r="D400" s="231"/>
      <c r="E400" s="76"/>
      <c r="F400" s="76"/>
      <c r="G400" s="76"/>
      <c r="H400" s="77"/>
      <c r="J400" s="138"/>
      <c r="T400" s="129"/>
      <c r="U400" s="120" t="str">
        <f t="shared" si="141"/>
        <v>MAM:5</v>
      </c>
    </row>
    <row r="401" spans="1:21" ht="12.75" customHeight="1" x14ac:dyDescent="0.25">
      <c r="A401" s="123">
        <f t="shared" si="142"/>
        <v>5</v>
      </c>
      <c r="B401" s="394">
        <v>43772</v>
      </c>
      <c r="C401" s="79" t="s">
        <v>55</v>
      </c>
      <c r="D401" s="269"/>
      <c r="E401" s="78"/>
      <c r="F401" s="78"/>
      <c r="G401" s="78"/>
      <c r="H401" s="79"/>
      <c r="J401" s="138"/>
      <c r="T401" s="129"/>
      <c r="U401" s="120" t="str">
        <f t="shared" si="141"/>
        <v>MAM:5</v>
      </c>
    </row>
    <row r="402" spans="1:21" ht="12.75" customHeight="1" x14ac:dyDescent="0.25">
      <c r="A402" s="267">
        <f t="shared" si="142"/>
        <v>6</v>
      </c>
      <c r="B402" s="393">
        <v>43779</v>
      </c>
      <c r="C402" s="75" t="s">
        <v>55</v>
      </c>
      <c r="D402" s="268"/>
      <c r="E402" s="74"/>
      <c r="F402" s="74"/>
      <c r="G402" s="74"/>
      <c r="H402" s="75"/>
      <c r="J402" s="138"/>
      <c r="T402" s="129"/>
      <c r="U402" s="120" t="str">
        <f t="shared" si="141"/>
        <v>MAM:6</v>
      </c>
    </row>
    <row r="403" spans="1:21" ht="12.75" customHeight="1" x14ac:dyDescent="0.25">
      <c r="A403" s="120">
        <f t="shared" si="142"/>
        <v>6</v>
      </c>
      <c r="B403" s="392">
        <v>43786</v>
      </c>
      <c r="C403" s="77" t="s">
        <v>55</v>
      </c>
      <c r="D403" s="231"/>
      <c r="E403" s="76"/>
      <c r="F403" s="76"/>
      <c r="G403" s="76"/>
      <c r="H403" s="77"/>
      <c r="J403" s="138"/>
      <c r="T403" s="129"/>
      <c r="U403" s="120" t="str">
        <f t="shared" si="141"/>
        <v>MAM:6</v>
      </c>
    </row>
    <row r="404" spans="1:21" ht="12.75" customHeight="1" x14ac:dyDescent="0.25">
      <c r="A404" s="120">
        <f t="shared" si="142"/>
        <v>6</v>
      </c>
      <c r="B404" s="392">
        <v>43793</v>
      </c>
      <c r="C404" s="77" t="s">
        <v>55</v>
      </c>
      <c r="D404" s="231"/>
      <c r="E404" s="76"/>
      <c r="F404" s="76"/>
      <c r="G404" s="76"/>
      <c r="H404" s="77"/>
      <c r="J404" s="138"/>
      <c r="T404" s="129"/>
      <c r="U404" s="120" t="str">
        <f t="shared" si="141"/>
        <v>MAM:6</v>
      </c>
    </row>
    <row r="405" spans="1:21" ht="12.75" customHeight="1" x14ac:dyDescent="0.25">
      <c r="A405" s="123">
        <f t="shared" si="142"/>
        <v>6</v>
      </c>
      <c r="B405" s="394">
        <v>43800</v>
      </c>
      <c r="C405" s="79" t="s">
        <v>55</v>
      </c>
      <c r="D405" s="269"/>
      <c r="E405" s="78"/>
      <c r="F405" s="78"/>
      <c r="G405" s="78"/>
      <c r="H405" s="79"/>
      <c r="J405" s="138"/>
      <c r="T405" s="129"/>
      <c r="U405" s="120" t="str">
        <f t="shared" si="141"/>
        <v>MAM:6</v>
      </c>
    </row>
    <row r="406" spans="1:21" ht="12.75" customHeight="1" x14ac:dyDescent="0.25">
      <c r="A406" s="267">
        <f t="shared" si="142"/>
        <v>7</v>
      </c>
      <c r="B406" s="393">
        <v>43807</v>
      </c>
      <c r="C406" s="75" t="s">
        <v>55</v>
      </c>
      <c r="D406" s="268"/>
      <c r="E406" s="74"/>
      <c r="F406" s="74"/>
      <c r="G406" s="74"/>
      <c r="H406" s="75"/>
      <c r="J406" s="138"/>
      <c r="T406" s="129"/>
      <c r="U406" s="120" t="str">
        <f t="shared" si="141"/>
        <v>MAM:7</v>
      </c>
    </row>
    <row r="407" spans="1:21" ht="12.75" customHeight="1" x14ac:dyDescent="0.25">
      <c r="A407" s="120">
        <f t="shared" si="142"/>
        <v>7</v>
      </c>
      <c r="B407" s="392">
        <v>43814</v>
      </c>
      <c r="C407" s="77" t="s">
        <v>55</v>
      </c>
      <c r="D407" s="231"/>
      <c r="E407" s="76"/>
      <c r="F407" s="76"/>
      <c r="G407" s="76"/>
      <c r="H407" s="77"/>
      <c r="J407" s="138"/>
      <c r="T407" s="129"/>
      <c r="U407" s="120" t="str">
        <f t="shared" si="141"/>
        <v>MAM:7</v>
      </c>
    </row>
    <row r="408" spans="1:21" ht="12.75" customHeight="1" x14ac:dyDescent="0.25">
      <c r="A408" s="120">
        <f t="shared" si="142"/>
        <v>7</v>
      </c>
      <c r="B408" s="392">
        <v>43821</v>
      </c>
      <c r="C408" s="77" t="s">
        <v>55</v>
      </c>
      <c r="D408" s="231"/>
      <c r="E408" s="76"/>
      <c r="F408" s="76"/>
      <c r="G408" s="76"/>
      <c r="H408" s="77"/>
      <c r="J408" s="138"/>
      <c r="T408" s="129"/>
      <c r="U408" s="120" t="str">
        <f t="shared" si="141"/>
        <v>MAM:7</v>
      </c>
    </row>
    <row r="409" spans="1:21" ht="12.75" customHeight="1" x14ac:dyDescent="0.25">
      <c r="A409" s="123">
        <f t="shared" si="142"/>
        <v>7</v>
      </c>
      <c r="B409" s="394">
        <v>43828</v>
      </c>
      <c r="C409" s="79" t="s">
        <v>55</v>
      </c>
      <c r="D409" s="269"/>
      <c r="E409" s="78"/>
      <c r="F409" s="78"/>
      <c r="G409" s="78"/>
      <c r="H409" s="79"/>
      <c r="I409" s="328"/>
      <c r="J409" s="138"/>
      <c r="T409" s="129"/>
      <c r="U409" s="120" t="str">
        <f t="shared" si="141"/>
        <v>MAM:7</v>
      </c>
    </row>
    <row r="410" spans="1:21" ht="12.75" customHeight="1" x14ac:dyDescent="0.25">
      <c r="A410" s="267">
        <f t="shared" si="142"/>
        <v>8</v>
      </c>
      <c r="B410" s="393">
        <v>43835</v>
      </c>
      <c r="C410" s="75" t="s">
        <v>55</v>
      </c>
      <c r="D410" s="268"/>
      <c r="E410" s="74"/>
      <c r="F410" s="74"/>
      <c r="G410" s="74"/>
      <c r="H410" s="75"/>
      <c r="I410" s="328"/>
      <c r="J410" s="138"/>
      <c r="T410" s="129"/>
      <c r="U410" s="120" t="str">
        <f t="shared" si="141"/>
        <v>MAM:8</v>
      </c>
    </row>
    <row r="411" spans="1:21" ht="12.75" customHeight="1" x14ac:dyDescent="0.25">
      <c r="A411" s="120">
        <f t="shared" si="142"/>
        <v>8</v>
      </c>
      <c r="B411" s="392">
        <v>43842</v>
      </c>
      <c r="C411" s="77" t="s">
        <v>55</v>
      </c>
      <c r="D411" s="231"/>
      <c r="E411" s="76"/>
      <c r="F411" s="76"/>
      <c r="G411" s="76"/>
      <c r="H411" s="77"/>
      <c r="I411" s="328"/>
      <c r="J411" s="138"/>
      <c r="T411" s="129"/>
      <c r="U411" s="120" t="str">
        <f t="shared" si="141"/>
        <v>MAM:8</v>
      </c>
    </row>
    <row r="412" spans="1:21" ht="12.75" customHeight="1" x14ac:dyDescent="0.25">
      <c r="A412" s="120">
        <f t="shared" si="142"/>
        <v>8</v>
      </c>
      <c r="B412" s="392">
        <v>43849</v>
      </c>
      <c r="C412" s="77" t="s">
        <v>55</v>
      </c>
      <c r="D412" s="231"/>
      <c r="E412" s="76"/>
      <c r="F412" s="76"/>
      <c r="G412" s="76"/>
      <c r="H412" s="77"/>
      <c r="I412" s="384"/>
      <c r="J412" s="138"/>
      <c r="T412" s="129"/>
      <c r="U412" s="120" t="str">
        <f t="shared" si="141"/>
        <v>MAM:8</v>
      </c>
    </row>
    <row r="413" spans="1:21" ht="12.75" customHeight="1" x14ac:dyDescent="0.25">
      <c r="A413" s="120">
        <f t="shared" si="142"/>
        <v>8</v>
      </c>
      <c r="B413" s="392">
        <v>43856</v>
      </c>
      <c r="C413" s="77" t="s">
        <v>55</v>
      </c>
      <c r="D413" s="231"/>
      <c r="E413" s="76"/>
      <c r="F413" s="76"/>
      <c r="G413" s="76"/>
      <c r="H413" s="77"/>
      <c r="J413" s="138"/>
      <c r="T413" s="129"/>
      <c r="U413" s="120" t="str">
        <f t="shared" si="141"/>
        <v>MAM:8</v>
      </c>
    </row>
    <row r="414" spans="1:21" ht="12.75" customHeight="1" x14ac:dyDescent="0.25">
      <c r="A414" s="123">
        <f t="shared" si="142"/>
        <v>8</v>
      </c>
      <c r="B414" s="394">
        <v>43863</v>
      </c>
      <c r="C414" s="79" t="s">
        <v>55</v>
      </c>
      <c r="D414" s="269"/>
      <c r="E414" s="78"/>
      <c r="F414" s="78"/>
      <c r="G414" s="78"/>
      <c r="H414" s="79"/>
      <c r="I414" s="328"/>
      <c r="J414" s="138"/>
      <c r="T414" s="129"/>
      <c r="U414" s="120" t="str">
        <f t="shared" si="141"/>
        <v>MAM:8</v>
      </c>
    </row>
    <row r="415" spans="1:21" ht="12.75" customHeight="1" x14ac:dyDescent="0.25">
      <c r="A415" s="267">
        <f t="shared" si="142"/>
        <v>9</v>
      </c>
      <c r="B415" s="393">
        <v>43870</v>
      </c>
      <c r="C415" s="75" t="s">
        <v>55</v>
      </c>
      <c r="D415" s="268"/>
      <c r="E415" s="74"/>
      <c r="F415" s="74"/>
      <c r="G415" s="74"/>
      <c r="H415" s="75"/>
      <c r="I415" s="328"/>
      <c r="J415" s="138"/>
      <c r="T415" s="129"/>
      <c r="U415" s="120" t="str">
        <f t="shared" si="141"/>
        <v>MAM:9</v>
      </c>
    </row>
    <row r="416" spans="1:21" ht="12.75" customHeight="1" x14ac:dyDescent="0.25">
      <c r="A416" s="120">
        <f t="shared" si="142"/>
        <v>9</v>
      </c>
      <c r="B416" s="392">
        <v>43877</v>
      </c>
      <c r="C416" s="77" t="s">
        <v>55</v>
      </c>
      <c r="D416" s="231"/>
      <c r="E416" s="76"/>
      <c r="F416" s="76"/>
      <c r="G416" s="76"/>
      <c r="H416" s="77"/>
      <c r="J416" s="138"/>
      <c r="T416" s="129"/>
      <c r="U416" s="120" t="str">
        <f t="shared" si="141"/>
        <v>MAM:9</v>
      </c>
    </row>
    <row r="417" spans="1:21" ht="12.75" customHeight="1" x14ac:dyDescent="0.25">
      <c r="A417" s="120">
        <f t="shared" si="142"/>
        <v>9</v>
      </c>
      <c r="B417" s="392">
        <v>43884</v>
      </c>
      <c r="C417" s="77" t="s">
        <v>55</v>
      </c>
      <c r="D417" s="231"/>
      <c r="E417" s="76"/>
      <c r="F417" s="76"/>
      <c r="G417" s="76"/>
      <c r="H417" s="77"/>
      <c r="J417" s="138"/>
      <c r="T417" s="129"/>
      <c r="U417" s="120" t="str">
        <f t="shared" si="141"/>
        <v>MAM:9</v>
      </c>
    </row>
    <row r="418" spans="1:21" ht="12.75" customHeight="1" x14ac:dyDescent="0.25">
      <c r="A418" s="123">
        <f t="shared" si="142"/>
        <v>9</v>
      </c>
      <c r="B418" s="394">
        <v>43891</v>
      </c>
      <c r="C418" s="79" t="s">
        <v>55</v>
      </c>
      <c r="D418" s="269"/>
      <c r="E418" s="78"/>
      <c r="F418" s="78"/>
      <c r="G418" s="78"/>
      <c r="H418" s="79"/>
      <c r="J418" s="138"/>
      <c r="T418" s="129"/>
      <c r="U418" s="120" t="str">
        <f t="shared" si="141"/>
        <v>MAM:9</v>
      </c>
    </row>
    <row r="419" spans="1:21" ht="12.75" customHeight="1" x14ac:dyDescent="0.25">
      <c r="A419" s="267">
        <f t="shared" si="142"/>
        <v>10</v>
      </c>
      <c r="B419" s="393">
        <v>43898</v>
      </c>
      <c r="C419" s="75" t="s">
        <v>55</v>
      </c>
      <c r="D419" s="268"/>
      <c r="E419" s="74"/>
      <c r="F419" s="74"/>
      <c r="G419" s="74"/>
      <c r="H419" s="75"/>
      <c r="J419" s="138"/>
      <c r="T419" s="129"/>
      <c r="U419" s="120" t="str">
        <f t="shared" si="141"/>
        <v>MAM:10</v>
      </c>
    </row>
    <row r="420" spans="1:21" ht="12.75" customHeight="1" x14ac:dyDescent="0.25">
      <c r="A420" s="120">
        <f t="shared" si="142"/>
        <v>10</v>
      </c>
      <c r="B420" s="392">
        <v>43905</v>
      </c>
      <c r="C420" s="77" t="s">
        <v>55</v>
      </c>
      <c r="D420" s="231"/>
      <c r="E420" s="76"/>
      <c r="F420" s="76"/>
      <c r="G420" s="76"/>
      <c r="H420" s="77"/>
      <c r="J420" s="138"/>
      <c r="T420" s="129"/>
      <c r="U420" s="120" t="str">
        <f t="shared" si="141"/>
        <v>MAM:10</v>
      </c>
    </row>
    <row r="421" spans="1:21" ht="12.75" customHeight="1" x14ac:dyDescent="0.25">
      <c r="A421" s="120">
        <f t="shared" si="142"/>
        <v>10</v>
      </c>
      <c r="B421" s="392">
        <v>43912</v>
      </c>
      <c r="C421" s="77" t="s">
        <v>55</v>
      </c>
      <c r="D421" s="231"/>
      <c r="E421" s="76"/>
      <c r="F421" s="76"/>
      <c r="G421" s="76"/>
      <c r="H421" s="77"/>
      <c r="J421" s="138"/>
      <c r="T421" s="129"/>
      <c r="U421" s="120" t="str">
        <f t="shared" si="141"/>
        <v>MAM:10</v>
      </c>
    </row>
    <row r="422" spans="1:21" ht="12.75" customHeight="1" x14ac:dyDescent="0.25">
      <c r="A422" s="123">
        <f t="shared" si="142"/>
        <v>10</v>
      </c>
      <c r="B422" s="394">
        <v>43919</v>
      </c>
      <c r="C422" s="79" t="s">
        <v>55</v>
      </c>
      <c r="D422" s="269"/>
      <c r="E422" s="78"/>
      <c r="F422" s="78"/>
      <c r="G422" s="78"/>
      <c r="H422" s="79"/>
      <c r="I422" s="328"/>
      <c r="J422" s="138"/>
      <c r="T422" s="129"/>
      <c r="U422" s="120" t="str">
        <f t="shared" si="141"/>
        <v>MAM:10</v>
      </c>
    </row>
    <row r="423" spans="1:21" ht="12.75" customHeight="1" x14ac:dyDescent="0.25">
      <c r="A423" s="267">
        <f t="shared" si="142"/>
        <v>11</v>
      </c>
      <c r="B423" s="393">
        <v>43926</v>
      </c>
      <c r="C423" s="75" t="s">
        <v>55</v>
      </c>
      <c r="D423" s="268"/>
      <c r="E423" s="74"/>
      <c r="F423" s="74"/>
      <c r="G423" s="74"/>
      <c r="H423" s="75"/>
      <c r="I423" s="328"/>
      <c r="J423" s="138"/>
      <c r="T423" s="129"/>
      <c r="U423" s="120" t="str">
        <f t="shared" si="141"/>
        <v>MAM:11</v>
      </c>
    </row>
    <row r="424" spans="1:21" ht="12.75" customHeight="1" x14ac:dyDescent="0.25">
      <c r="A424" s="120">
        <f t="shared" si="142"/>
        <v>11</v>
      </c>
      <c r="B424" s="392">
        <v>43933</v>
      </c>
      <c r="C424" s="77" t="s">
        <v>55</v>
      </c>
      <c r="D424" s="231"/>
      <c r="E424" s="76"/>
      <c r="F424" s="76"/>
      <c r="G424" s="76"/>
      <c r="H424" s="77"/>
      <c r="I424" s="328"/>
      <c r="J424" s="138"/>
      <c r="T424" s="129"/>
      <c r="U424" s="120" t="str">
        <f t="shared" si="141"/>
        <v>MAM:11</v>
      </c>
    </row>
    <row r="425" spans="1:21" ht="12.75" customHeight="1" x14ac:dyDescent="0.25">
      <c r="A425" s="120">
        <f t="shared" si="142"/>
        <v>11</v>
      </c>
      <c r="B425" s="392">
        <v>43940</v>
      </c>
      <c r="C425" s="77" t="s">
        <v>55</v>
      </c>
      <c r="D425" s="231"/>
      <c r="E425" s="76"/>
      <c r="F425" s="76"/>
      <c r="G425" s="76"/>
      <c r="H425" s="77"/>
      <c r="J425" s="138"/>
      <c r="T425" s="129"/>
      <c r="U425" s="120" t="str">
        <f t="shared" si="141"/>
        <v>MAM:11</v>
      </c>
    </row>
    <row r="426" spans="1:21" ht="12.75" customHeight="1" x14ac:dyDescent="0.25">
      <c r="A426" s="123">
        <f t="shared" si="142"/>
        <v>11</v>
      </c>
      <c r="B426" s="394">
        <v>43947</v>
      </c>
      <c r="C426" s="79" t="s">
        <v>55</v>
      </c>
      <c r="D426" s="269"/>
      <c r="E426" s="78"/>
      <c r="F426" s="78"/>
      <c r="G426" s="78"/>
      <c r="H426" s="79"/>
      <c r="J426" s="138"/>
      <c r="T426" s="129"/>
      <c r="U426" s="120" t="str">
        <f t="shared" si="141"/>
        <v>MAM:11</v>
      </c>
    </row>
    <row r="427" spans="1:21" ht="12.75" customHeight="1" x14ac:dyDescent="0.25">
      <c r="A427" s="267">
        <f t="shared" si="142"/>
        <v>11</v>
      </c>
      <c r="B427" s="393">
        <v>43954</v>
      </c>
      <c r="C427" s="75" t="s">
        <v>55</v>
      </c>
      <c r="D427" s="268"/>
      <c r="E427" s="74"/>
      <c r="F427" s="74"/>
      <c r="G427" s="74"/>
      <c r="H427" s="75"/>
      <c r="I427" s="328"/>
      <c r="J427" s="138"/>
      <c r="T427" s="129"/>
      <c r="U427" s="120" t="str">
        <f t="shared" si="141"/>
        <v>MAM:11</v>
      </c>
    </row>
    <row r="428" spans="1:21" ht="12.75" customHeight="1" x14ac:dyDescent="0.25">
      <c r="A428" s="120">
        <f t="shared" si="142"/>
        <v>12</v>
      </c>
      <c r="B428" s="392">
        <v>43961</v>
      </c>
      <c r="C428" s="77" t="s">
        <v>55</v>
      </c>
      <c r="D428" s="231"/>
      <c r="E428" s="76"/>
      <c r="F428" s="76"/>
      <c r="G428" s="76"/>
      <c r="H428" s="77"/>
      <c r="J428" s="138"/>
      <c r="T428" s="129"/>
      <c r="U428" s="120" t="str">
        <f t="shared" si="141"/>
        <v>MAM:12</v>
      </c>
    </row>
    <row r="429" spans="1:21" ht="12.75" customHeight="1" x14ac:dyDescent="0.25">
      <c r="A429" s="120">
        <f t="shared" si="142"/>
        <v>12</v>
      </c>
      <c r="B429" s="392">
        <v>43968</v>
      </c>
      <c r="C429" s="77" t="s">
        <v>55</v>
      </c>
      <c r="D429" s="231"/>
      <c r="E429" s="76"/>
      <c r="F429" s="76"/>
      <c r="G429" s="76"/>
      <c r="H429" s="77"/>
      <c r="J429" s="138"/>
      <c r="L429" s="22"/>
      <c r="T429" s="129"/>
      <c r="U429" s="120" t="str">
        <f t="shared" si="141"/>
        <v>MAM:12</v>
      </c>
    </row>
    <row r="430" spans="1:21" ht="12.75" customHeight="1" x14ac:dyDescent="0.25">
      <c r="A430" s="120">
        <f t="shared" si="142"/>
        <v>12</v>
      </c>
      <c r="B430" s="392">
        <v>43975</v>
      </c>
      <c r="C430" s="77" t="s">
        <v>55</v>
      </c>
      <c r="D430" s="231"/>
      <c r="E430" s="76"/>
      <c r="F430" s="76"/>
      <c r="G430" s="76"/>
      <c r="H430" s="77"/>
      <c r="J430" s="138"/>
      <c r="T430" s="129"/>
      <c r="U430" s="120" t="str">
        <f t="shared" si="141"/>
        <v>MAM:12</v>
      </c>
    </row>
    <row r="431" spans="1:21" ht="12.75" customHeight="1" x14ac:dyDescent="0.25">
      <c r="A431" s="123">
        <f t="shared" si="142"/>
        <v>12</v>
      </c>
      <c r="B431" s="394">
        <v>43982</v>
      </c>
      <c r="C431" s="79" t="s">
        <v>55</v>
      </c>
      <c r="D431" s="269"/>
      <c r="E431" s="78"/>
      <c r="F431" s="78"/>
      <c r="G431" s="78"/>
      <c r="H431" s="79"/>
      <c r="J431" s="138"/>
      <c r="L431" s="22"/>
      <c r="T431" s="129"/>
      <c r="U431" s="120" t="str">
        <f t="shared" si="141"/>
        <v>MAM:12</v>
      </c>
    </row>
    <row r="432" spans="1:21" ht="12.75" customHeight="1" x14ac:dyDescent="0.25">
      <c r="A432" s="120">
        <v>1</v>
      </c>
      <c r="B432" s="392">
        <v>43625</v>
      </c>
      <c r="C432" s="77" t="s">
        <v>57</v>
      </c>
      <c r="D432" s="231"/>
      <c r="E432" s="76">
        <v>5</v>
      </c>
      <c r="F432" s="76"/>
      <c r="G432" s="76"/>
      <c r="H432" s="77">
        <v>551011</v>
      </c>
      <c r="I432" t="s">
        <v>689</v>
      </c>
      <c r="J432" s="138"/>
      <c r="T432" s="129"/>
      <c r="U432" s="120" t="str">
        <f t="shared" si="141"/>
        <v>CRP:1</v>
      </c>
    </row>
    <row r="433" spans="1:21" ht="12.75" customHeight="1" x14ac:dyDescent="0.25">
      <c r="A433" s="120">
        <f t="shared" ref="A433:A496" si="143">GETPAYMONTH(DATE(YEAR(B433),MONTH(B433-4)+1,1))</f>
        <v>1</v>
      </c>
      <c r="B433" s="392">
        <v>43632</v>
      </c>
      <c r="C433" s="77" t="s">
        <v>57</v>
      </c>
      <c r="D433" s="231"/>
      <c r="E433" s="76">
        <v>6</v>
      </c>
      <c r="F433" s="76"/>
      <c r="G433" s="76"/>
      <c r="H433" s="77">
        <v>551012</v>
      </c>
      <c r="I433" t="s">
        <v>690</v>
      </c>
      <c r="J433" s="138"/>
      <c r="K433" s="22"/>
      <c r="T433" s="129"/>
      <c r="U433" s="120" t="str">
        <f t="shared" si="141"/>
        <v>CRP:1</v>
      </c>
    </row>
    <row r="434" spans="1:21" ht="12.75" customHeight="1" x14ac:dyDescent="0.25">
      <c r="A434" s="120">
        <f t="shared" si="143"/>
        <v>1</v>
      </c>
      <c r="B434" s="392">
        <v>43639</v>
      </c>
      <c r="C434" s="77" t="s">
        <v>57</v>
      </c>
      <c r="D434" s="231"/>
      <c r="E434" s="76">
        <v>5</v>
      </c>
      <c r="F434" s="76"/>
      <c r="G434" s="76"/>
      <c r="H434" s="77">
        <v>551012</v>
      </c>
      <c r="J434" s="138"/>
      <c r="T434" s="129"/>
      <c r="U434" s="120" t="str">
        <f t="shared" si="141"/>
        <v>CRP:1</v>
      </c>
    </row>
    <row r="435" spans="1:21" ht="12.75" customHeight="1" x14ac:dyDescent="0.25">
      <c r="A435" s="120">
        <f t="shared" si="143"/>
        <v>1</v>
      </c>
      <c r="B435" s="392">
        <v>43646</v>
      </c>
      <c r="C435" s="77" t="s">
        <v>57</v>
      </c>
      <c r="D435" s="231"/>
      <c r="E435" s="76">
        <v>5</v>
      </c>
      <c r="F435" s="76"/>
      <c r="G435" s="76"/>
      <c r="H435" s="77">
        <v>551013</v>
      </c>
      <c r="J435" s="138"/>
      <c r="T435" s="129"/>
      <c r="U435" s="120" t="str">
        <f t="shared" ref="U435:U473" si="144">C435 &amp;":"&amp; A435</f>
        <v>CRP:1</v>
      </c>
    </row>
    <row r="436" spans="1:21" ht="12.75" customHeight="1" x14ac:dyDescent="0.25">
      <c r="A436" s="123">
        <f t="shared" si="143"/>
        <v>1</v>
      </c>
      <c r="B436" s="394">
        <v>43646</v>
      </c>
      <c r="C436" s="79" t="s">
        <v>58</v>
      </c>
      <c r="D436" s="269"/>
      <c r="E436" s="316">
        <f>SUM(E432:E435)</f>
        <v>21</v>
      </c>
      <c r="F436" s="316"/>
      <c r="G436" s="316"/>
      <c r="H436" s="315"/>
      <c r="J436" s="138"/>
      <c r="U436" s="120" t="str">
        <f t="shared" si="144"/>
        <v>SM:1</v>
      </c>
    </row>
    <row r="437" spans="1:21" ht="12.75" customHeight="1" x14ac:dyDescent="0.25">
      <c r="A437" s="120">
        <f t="shared" si="143"/>
        <v>2</v>
      </c>
      <c r="B437" s="392">
        <v>43653</v>
      </c>
      <c r="C437" s="77" t="s">
        <v>57</v>
      </c>
      <c r="D437" s="231"/>
      <c r="E437" s="74">
        <v>4</v>
      </c>
      <c r="F437" s="74"/>
      <c r="G437" s="74"/>
      <c r="H437" s="75">
        <v>551013</v>
      </c>
      <c r="I437" s="383" t="s">
        <v>696</v>
      </c>
      <c r="J437" s="138"/>
      <c r="U437" s="120" t="str">
        <f t="shared" si="144"/>
        <v>CRP:2</v>
      </c>
    </row>
    <row r="438" spans="1:21" ht="12.75" customHeight="1" x14ac:dyDescent="0.25">
      <c r="A438" s="120">
        <f t="shared" si="143"/>
        <v>2</v>
      </c>
      <c r="B438" s="392">
        <v>43660</v>
      </c>
      <c r="C438" s="77" t="s">
        <v>57</v>
      </c>
      <c r="D438" s="231"/>
      <c r="E438" s="76">
        <v>6</v>
      </c>
      <c r="F438" s="76"/>
      <c r="G438" s="76"/>
      <c r="H438" s="77">
        <v>551014</v>
      </c>
      <c r="I438" t="s">
        <v>690</v>
      </c>
      <c r="J438" s="138"/>
      <c r="U438" s="120" t="str">
        <f t="shared" si="144"/>
        <v>CRP:2</v>
      </c>
    </row>
    <row r="439" spans="1:21" ht="12.75" customHeight="1" x14ac:dyDescent="0.25">
      <c r="A439" s="120">
        <f t="shared" si="143"/>
        <v>2</v>
      </c>
      <c r="B439" s="392">
        <v>43667</v>
      </c>
      <c r="C439" s="77" t="s">
        <v>57</v>
      </c>
      <c r="D439" s="231"/>
      <c r="E439" s="76">
        <v>7</v>
      </c>
      <c r="F439" s="76"/>
      <c r="G439" s="76"/>
      <c r="H439" s="77">
        <v>551014</v>
      </c>
      <c r="J439" s="138"/>
      <c r="T439" s="129"/>
      <c r="U439" s="120" t="str">
        <f t="shared" si="144"/>
        <v>CRP:2</v>
      </c>
    </row>
    <row r="440" spans="1:21" ht="12.75" customHeight="1" x14ac:dyDescent="0.25">
      <c r="A440" s="120">
        <f t="shared" si="143"/>
        <v>2</v>
      </c>
      <c r="B440" s="392">
        <v>43674</v>
      </c>
      <c r="C440" s="77" t="s">
        <v>57</v>
      </c>
      <c r="D440" s="231"/>
      <c r="E440" s="396">
        <v>6.5</v>
      </c>
      <c r="F440" s="396"/>
      <c r="G440" s="396"/>
      <c r="H440" s="400">
        <v>551015</v>
      </c>
      <c r="I440" t="s">
        <v>810</v>
      </c>
      <c r="J440" s="138"/>
      <c r="U440" s="120" t="str">
        <f t="shared" si="144"/>
        <v>CRP:2</v>
      </c>
    </row>
    <row r="441" spans="1:21" ht="12.75" customHeight="1" x14ac:dyDescent="0.25">
      <c r="A441" s="120">
        <f>GETPAYMONTH(DATE(YEAR(B441),MONTH(B441-4)+1,1))</f>
        <v>2</v>
      </c>
      <c r="B441" s="392">
        <v>43681</v>
      </c>
      <c r="C441" s="77" t="s">
        <v>57</v>
      </c>
      <c r="D441" s="231"/>
      <c r="E441" s="78">
        <v>6.5</v>
      </c>
      <c r="F441" s="78"/>
      <c r="G441" s="78"/>
      <c r="H441" s="79">
        <v>551015</v>
      </c>
      <c r="I441" t="s">
        <v>811</v>
      </c>
      <c r="J441" s="138"/>
      <c r="U441" s="120" t="str">
        <f>C441 &amp;":"&amp; A441</f>
        <v>CRP:2</v>
      </c>
    </row>
    <row r="442" spans="1:21" ht="12.75" customHeight="1" x14ac:dyDescent="0.25">
      <c r="A442" s="123">
        <f t="shared" si="143"/>
        <v>2</v>
      </c>
      <c r="B442" s="394">
        <v>43674</v>
      </c>
      <c r="C442" s="79" t="s">
        <v>58</v>
      </c>
      <c r="D442" s="269"/>
      <c r="E442" s="78">
        <f>SUM(E437:E441)</f>
        <v>30</v>
      </c>
      <c r="F442" s="78"/>
      <c r="G442" s="78"/>
      <c r="H442" s="79"/>
      <c r="J442" s="138"/>
      <c r="U442" s="120" t="str">
        <f t="shared" si="144"/>
        <v>SM:2</v>
      </c>
    </row>
    <row r="443" spans="1:21" ht="12.75" customHeight="1" x14ac:dyDescent="0.25">
      <c r="A443" s="120">
        <f t="shared" si="143"/>
        <v>3</v>
      </c>
      <c r="B443" s="392">
        <v>43688</v>
      </c>
      <c r="C443" s="77" t="s">
        <v>57</v>
      </c>
      <c r="D443" s="231"/>
      <c r="E443" s="76">
        <v>7</v>
      </c>
      <c r="F443" s="76"/>
      <c r="G443" s="76"/>
      <c r="H443" s="77">
        <v>551016</v>
      </c>
      <c r="J443" s="138"/>
      <c r="T443" s="129"/>
      <c r="U443" s="120" t="str">
        <f t="shared" si="144"/>
        <v>CRP:3</v>
      </c>
    </row>
    <row r="444" spans="1:21" ht="12.75" customHeight="1" x14ac:dyDescent="0.25">
      <c r="A444" s="120">
        <f t="shared" si="143"/>
        <v>3</v>
      </c>
      <c r="B444" s="392">
        <v>43695</v>
      </c>
      <c r="C444" s="77" t="s">
        <v>57</v>
      </c>
      <c r="D444" s="231"/>
      <c r="E444" s="76">
        <v>5</v>
      </c>
      <c r="F444" s="76"/>
      <c r="G444" s="76"/>
      <c r="H444" s="77">
        <v>551016</v>
      </c>
      <c r="J444" s="138"/>
      <c r="U444" s="120" t="str">
        <f t="shared" si="144"/>
        <v>CRP:3</v>
      </c>
    </row>
    <row r="445" spans="1:21" ht="12.75" customHeight="1" x14ac:dyDescent="0.25">
      <c r="A445" s="120">
        <f t="shared" si="143"/>
        <v>3</v>
      </c>
      <c r="B445" s="392">
        <v>43702</v>
      </c>
      <c r="C445" s="77" t="s">
        <v>57</v>
      </c>
      <c r="D445" s="231"/>
      <c r="E445" s="76">
        <v>7</v>
      </c>
      <c r="F445" s="76"/>
      <c r="G445" s="76"/>
      <c r="H445" s="77">
        <v>551017</v>
      </c>
      <c r="J445" s="138"/>
      <c r="U445" s="120" t="str">
        <f t="shared" si="144"/>
        <v>CRP:3</v>
      </c>
    </row>
    <row r="446" spans="1:21" ht="12.75" customHeight="1" x14ac:dyDescent="0.25">
      <c r="A446" s="120">
        <f t="shared" si="143"/>
        <v>3</v>
      </c>
      <c r="B446" s="392">
        <v>43709</v>
      </c>
      <c r="C446" s="77" t="s">
        <v>57</v>
      </c>
      <c r="D446" s="231"/>
      <c r="E446" s="78">
        <v>7</v>
      </c>
      <c r="F446" s="78"/>
      <c r="G446" s="78"/>
      <c r="H446" s="79">
        <v>551017</v>
      </c>
      <c r="J446" s="138"/>
      <c r="T446" s="129"/>
      <c r="U446" s="120" t="str">
        <f t="shared" si="144"/>
        <v>CRP:3</v>
      </c>
    </row>
    <row r="447" spans="1:21" ht="12.75" customHeight="1" x14ac:dyDescent="0.25">
      <c r="A447" s="123">
        <f t="shared" si="143"/>
        <v>3</v>
      </c>
      <c r="B447" s="394">
        <v>43709</v>
      </c>
      <c r="C447" s="79" t="s">
        <v>58</v>
      </c>
      <c r="D447" s="269"/>
      <c r="E447" s="78">
        <f>SUM(E443:E446)</f>
        <v>26</v>
      </c>
      <c r="F447" s="78"/>
      <c r="G447" s="78"/>
      <c r="H447" s="79"/>
      <c r="J447" s="138"/>
      <c r="U447" s="120" t="str">
        <f t="shared" si="144"/>
        <v>SM:3</v>
      </c>
    </row>
    <row r="448" spans="1:21" ht="12.75" customHeight="1" x14ac:dyDescent="0.25">
      <c r="A448" s="120">
        <f t="shared" si="143"/>
        <v>4</v>
      </c>
      <c r="B448" s="392">
        <v>43716</v>
      </c>
      <c r="C448" s="77" t="s">
        <v>57</v>
      </c>
      <c r="D448" s="231"/>
      <c r="E448" s="76">
        <v>5</v>
      </c>
      <c r="F448" s="76"/>
      <c r="G448" s="76"/>
      <c r="H448" s="77">
        <v>551118</v>
      </c>
      <c r="I448" s="383" t="s">
        <v>897</v>
      </c>
      <c r="J448" s="138"/>
      <c r="U448" s="120" t="str">
        <f t="shared" si="144"/>
        <v>CRP:4</v>
      </c>
    </row>
    <row r="449" spans="1:21" ht="12.75" customHeight="1" x14ac:dyDescent="0.25">
      <c r="A449" s="120">
        <f t="shared" si="143"/>
        <v>4</v>
      </c>
      <c r="B449" s="392">
        <v>43723</v>
      </c>
      <c r="C449" s="77" t="s">
        <v>57</v>
      </c>
      <c r="D449" s="231"/>
      <c r="E449" s="76">
        <v>5</v>
      </c>
      <c r="F449" s="76"/>
      <c r="G449" s="76"/>
      <c r="H449" s="77">
        <v>551118</v>
      </c>
      <c r="J449" s="138"/>
      <c r="U449" s="120" t="str">
        <f t="shared" si="144"/>
        <v>CRP:4</v>
      </c>
    </row>
    <row r="450" spans="1:21" ht="12.75" customHeight="1" x14ac:dyDescent="0.25">
      <c r="A450" s="120">
        <f t="shared" si="143"/>
        <v>4</v>
      </c>
      <c r="B450" s="392">
        <v>43730</v>
      </c>
      <c r="C450" s="77" t="s">
        <v>57</v>
      </c>
      <c r="D450" s="231"/>
      <c r="E450" s="76">
        <v>6</v>
      </c>
      <c r="F450" s="76"/>
      <c r="G450" s="76"/>
      <c r="H450" s="77">
        <v>551119</v>
      </c>
      <c r="I450" s="383" t="s">
        <v>922</v>
      </c>
      <c r="J450" s="138"/>
      <c r="T450" s="129"/>
      <c r="U450" s="120" t="str">
        <f t="shared" si="144"/>
        <v>CRP:4</v>
      </c>
    </row>
    <row r="451" spans="1:21" ht="12.75" customHeight="1" x14ac:dyDescent="0.25">
      <c r="A451" s="120">
        <f t="shared" si="143"/>
        <v>4</v>
      </c>
      <c r="B451" s="392">
        <v>43737</v>
      </c>
      <c r="C451" s="77" t="s">
        <v>57</v>
      </c>
      <c r="D451" s="231"/>
      <c r="E451" s="78">
        <v>4</v>
      </c>
      <c r="F451" s="78"/>
      <c r="G451" s="78"/>
      <c r="H451" s="79">
        <v>551119</v>
      </c>
      <c r="I451" s="383" t="s">
        <v>696</v>
      </c>
      <c r="J451" s="138"/>
      <c r="U451" s="120" t="str">
        <f t="shared" si="144"/>
        <v>CRP:4</v>
      </c>
    </row>
    <row r="452" spans="1:21" ht="12.75" customHeight="1" x14ac:dyDescent="0.25">
      <c r="A452" s="123">
        <f t="shared" si="143"/>
        <v>4</v>
      </c>
      <c r="B452" s="394">
        <v>43737</v>
      </c>
      <c r="C452" s="79" t="s">
        <v>58</v>
      </c>
      <c r="D452" s="269"/>
      <c r="E452" s="78">
        <f>SUM(E448:E451)</f>
        <v>20</v>
      </c>
      <c r="F452" s="78"/>
      <c r="G452" s="78"/>
      <c r="H452" s="79"/>
      <c r="J452" s="138"/>
      <c r="U452" s="120" t="str">
        <f t="shared" si="144"/>
        <v>SM:4</v>
      </c>
    </row>
    <row r="453" spans="1:21" ht="12.75" customHeight="1" x14ac:dyDescent="0.25">
      <c r="A453" s="120">
        <f t="shared" si="143"/>
        <v>5</v>
      </c>
      <c r="B453" s="392">
        <v>43744</v>
      </c>
      <c r="C453" s="77" t="s">
        <v>57</v>
      </c>
      <c r="D453" s="231"/>
      <c r="E453" s="74"/>
      <c r="F453" s="74"/>
      <c r="G453" s="74"/>
      <c r="H453" s="75"/>
      <c r="I453" s="328"/>
      <c r="J453" s="138"/>
      <c r="U453" s="120" t="str">
        <f t="shared" si="144"/>
        <v>CRP:5</v>
      </c>
    </row>
    <row r="454" spans="1:21" ht="12.75" customHeight="1" x14ac:dyDescent="0.25">
      <c r="A454" s="120">
        <f t="shared" si="143"/>
        <v>5</v>
      </c>
      <c r="B454" s="392">
        <v>43751</v>
      </c>
      <c r="C454" s="77" t="s">
        <v>57</v>
      </c>
      <c r="D454" s="231"/>
      <c r="E454" s="76"/>
      <c r="F454" s="76"/>
      <c r="G454" s="76"/>
      <c r="H454" s="77"/>
      <c r="J454" s="138"/>
      <c r="T454" s="129"/>
      <c r="U454" s="120" t="str">
        <f t="shared" si="144"/>
        <v>CRP:5</v>
      </c>
    </row>
    <row r="455" spans="1:21" ht="12.75" customHeight="1" x14ac:dyDescent="0.25">
      <c r="A455" s="120">
        <f t="shared" si="143"/>
        <v>5</v>
      </c>
      <c r="B455" s="392">
        <v>43758</v>
      </c>
      <c r="C455" s="77" t="s">
        <v>57</v>
      </c>
      <c r="D455" s="231"/>
      <c r="E455" s="76"/>
      <c r="F455" s="76"/>
      <c r="G455" s="76"/>
      <c r="H455" s="77"/>
      <c r="J455" s="138"/>
      <c r="U455" s="120" t="str">
        <f t="shared" si="144"/>
        <v>CRP:5</v>
      </c>
    </row>
    <row r="456" spans="1:21" ht="12.75" customHeight="1" x14ac:dyDescent="0.25">
      <c r="A456" s="120">
        <f t="shared" si="143"/>
        <v>5</v>
      </c>
      <c r="B456" s="392">
        <v>43765</v>
      </c>
      <c r="C456" s="77" t="s">
        <v>57</v>
      </c>
      <c r="D456" s="231"/>
      <c r="E456" s="76"/>
      <c r="F456" s="76"/>
      <c r="G456" s="76"/>
      <c r="H456" s="77"/>
      <c r="J456" s="138"/>
      <c r="U456" s="120" t="str">
        <f t="shared" si="144"/>
        <v>CRP:5</v>
      </c>
    </row>
    <row r="457" spans="1:21" ht="12.75" customHeight="1" x14ac:dyDescent="0.25">
      <c r="A457" s="120">
        <f t="shared" si="143"/>
        <v>5</v>
      </c>
      <c r="B457" s="392">
        <v>43772</v>
      </c>
      <c r="C457" s="77" t="s">
        <v>57</v>
      </c>
      <c r="D457" s="231"/>
      <c r="E457" s="78"/>
      <c r="F457" s="78"/>
      <c r="G457" s="78"/>
      <c r="H457" s="79"/>
      <c r="J457" s="138"/>
      <c r="U457" s="120" t="str">
        <f>C457 &amp;":"&amp; A457</f>
        <v>CRP:5</v>
      </c>
    </row>
    <row r="458" spans="1:21" ht="12.75" customHeight="1" x14ac:dyDescent="0.25">
      <c r="A458" s="123">
        <f t="shared" si="143"/>
        <v>5</v>
      </c>
      <c r="B458" s="394">
        <v>43765</v>
      </c>
      <c r="C458" s="79" t="s">
        <v>58</v>
      </c>
      <c r="D458" s="269"/>
      <c r="E458" s="316">
        <f>SUM(E453:E457)</f>
        <v>0</v>
      </c>
      <c r="F458" s="316"/>
      <c r="G458" s="316"/>
      <c r="H458" s="315"/>
      <c r="J458" s="138"/>
      <c r="U458" s="120" t="str">
        <f t="shared" si="144"/>
        <v>SM:5</v>
      </c>
    </row>
    <row r="459" spans="1:21" ht="12.75" customHeight="1" x14ac:dyDescent="0.25">
      <c r="A459" s="120">
        <f t="shared" si="143"/>
        <v>6</v>
      </c>
      <c r="B459" s="392">
        <v>43779</v>
      </c>
      <c r="C459" s="77" t="s">
        <v>57</v>
      </c>
      <c r="D459" s="231"/>
      <c r="E459" s="76"/>
      <c r="F459" s="76"/>
      <c r="G459" s="76"/>
      <c r="H459" s="77"/>
      <c r="J459" s="138"/>
      <c r="T459" s="129"/>
      <c r="U459" s="120" t="str">
        <f t="shared" si="144"/>
        <v>CRP:6</v>
      </c>
    </row>
    <row r="460" spans="1:21" ht="12.75" customHeight="1" x14ac:dyDescent="0.25">
      <c r="A460" s="120">
        <f t="shared" si="143"/>
        <v>6</v>
      </c>
      <c r="B460" s="392">
        <v>43786</v>
      </c>
      <c r="C460" s="77" t="s">
        <v>57</v>
      </c>
      <c r="D460" s="231"/>
      <c r="E460" s="76"/>
      <c r="F460" s="76"/>
      <c r="G460" s="76"/>
      <c r="H460" s="77"/>
      <c r="I460" s="383"/>
      <c r="J460" s="138"/>
      <c r="U460" s="120" t="str">
        <f t="shared" si="144"/>
        <v>CRP:6</v>
      </c>
    </row>
    <row r="461" spans="1:21" ht="12.75" customHeight="1" x14ac:dyDescent="0.25">
      <c r="A461" s="120">
        <f t="shared" si="143"/>
        <v>6</v>
      </c>
      <c r="B461" s="392">
        <v>43793</v>
      </c>
      <c r="C461" s="77" t="s">
        <v>57</v>
      </c>
      <c r="D461" s="231"/>
      <c r="E461" s="76"/>
      <c r="F461" s="76"/>
      <c r="G461" s="76"/>
      <c r="H461" s="77"/>
      <c r="J461" s="138"/>
      <c r="U461" s="120" t="str">
        <f t="shared" si="144"/>
        <v>CRP:6</v>
      </c>
    </row>
    <row r="462" spans="1:21" ht="12.75" customHeight="1" x14ac:dyDescent="0.25">
      <c r="A462" s="120">
        <f>GETPAYMONTH(DATE(YEAR(B462),MONTH(B462-4)+1,1))</f>
        <v>6</v>
      </c>
      <c r="B462" s="392">
        <v>43800</v>
      </c>
      <c r="C462" s="77" t="s">
        <v>57</v>
      </c>
      <c r="D462" s="231"/>
      <c r="E462" s="78"/>
      <c r="F462" s="78"/>
      <c r="G462" s="78"/>
      <c r="H462" s="79"/>
      <c r="J462" s="138"/>
      <c r="U462" s="120" t="str">
        <f>C462 &amp;":"&amp; A462</f>
        <v>CRP:6</v>
      </c>
    </row>
    <row r="463" spans="1:21" ht="12.75" customHeight="1" x14ac:dyDescent="0.25">
      <c r="A463" s="123">
        <f t="shared" si="143"/>
        <v>6</v>
      </c>
      <c r="B463" s="394">
        <v>43800</v>
      </c>
      <c r="C463" s="79" t="s">
        <v>58</v>
      </c>
      <c r="D463" s="269"/>
      <c r="E463" s="316">
        <f>SUM(E459:E462)</f>
        <v>0</v>
      </c>
      <c r="F463" s="316"/>
      <c r="G463" s="316"/>
      <c r="H463" s="315"/>
      <c r="J463" s="138"/>
      <c r="T463" s="129"/>
      <c r="U463" s="120" t="str">
        <f t="shared" si="144"/>
        <v>SM:6</v>
      </c>
    </row>
    <row r="464" spans="1:21" ht="12.75" customHeight="1" x14ac:dyDescent="0.25">
      <c r="A464" s="120">
        <f t="shared" si="143"/>
        <v>7</v>
      </c>
      <c r="B464" s="392">
        <v>43807</v>
      </c>
      <c r="C464" s="77" t="s">
        <v>57</v>
      </c>
      <c r="D464" s="231"/>
      <c r="E464" s="76"/>
      <c r="F464" s="76"/>
      <c r="G464" s="76"/>
      <c r="H464" s="77"/>
      <c r="J464" s="138"/>
      <c r="U464" s="120" t="str">
        <f t="shared" si="144"/>
        <v>CRP:7</v>
      </c>
    </row>
    <row r="465" spans="1:21" ht="12.75" customHeight="1" x14ac:dyDescent="0.25">
      <c r="A465" s="120">
        <f t="shared" si="143"/>
        <v>7</v>
      </c>
      <c r="B465" s="392">
        <v>43814</v>
      </c>
      <c r="C465" s="77" t="s">
        <v>57</v>
      </c>
      <c r="D465" s="231"/>
      <c r="E465" s="76"/>
      <c r="F465" s="76"/>
      <c r="G465" s="76"/>
      <c r="H465" s="77"/>
      <c r="J465" s="138"/>
      <c r="U465" s="120" t="str">
        <f t="shared" si="144"/>
        <v>CRP:7</v>
      </c>
    </row>
    <row r="466" spans="1:21" ht="12.75" customHeight="1" x14ac:dyDescent="0.25">
      <c r="A466" s="120">
        <f t="shared" si="143"/>
        <v>7</v>
      </c>
      <c r="B466" s="392">
        <v>43821</v>
      </c>
      <c r="C466" s="77" t="s">
        <v>57</v>
      </c>
      <c r="D466" s="231"/>
      <c r="E466" s="76"/>
      <c r="F466" s="76"/>
      <c r="G466" s="76"/>
      <c r="H466" s="77"/>
      <c r="J466" s="138"/>
      <c r="U466" s="120" t="str">
        <f t="shared" si="144"/>
        <v>CRP:7</v>
      </c>
    </row>
    <row r="467" spans="1:21" ht="12.75" customHeight="1" x14ac:dyDescent="0.25">
      <c r="A467" s="120">
        <f t="shared" si="143"/>
        <v>7</v>
      </c>
      <c r="B467" s="392">
        <v>43828</v>
      </c>
      <c r="C467" s="77" t="s">
        <v>57</v>
      </c>
      <c r="D467" s="231"/>
      <c r="E467" s="78"/>
      <c r="F467" s="78"/>
      <c r="G467" s="78"/>
      <c r="H467" s="79"/>
      <c r="I467" s="328"/>
      <c r="J467" s="138"/>
      <c r="U467" s="120" t="str">
        <f t="shared" si="144"/>
        <v>CRP:7</v>
      </c>
    </row>
    <row r="468" spans="1:21" ht="12.75" customHeight="1" x14ac:dyDescent="0.25">
      <c r="A468" s="123">
        <f t="shared" si="143"/>
        <v>7</v>
      </c>
      <c r="B468" s="394">
        <v>43828</v>
      </c>
      <c r="C468" s="79" t="s">
        <v>58</v>
      </c>
      <c r="D468" s="269"/>
      <c r="E468" s="78">
        <f>SUM(E464:E467)</f>
        <v>0</v>
      </c>
      <c r="F468" s="78"/>
      <c r="G468" s="78"/>
      <c r="H468" s="79"/>
      <c r="J468" s="138"/>
      <c r="U468" s="120" t="str">
        <f t="shared" si="144"/>
        <v>SM:7</v>
      </c>
    </row>
    <row r="469" spans="1:21" ht="12.75" customHeight="1" x14ac:dyDescent="0.25">
      <c r="A469" s="120">
        <f t="shared" si="143"/>
        <v>8</v>
      </c>
      <c r="B469" s="392">
        <v>43836</v>
      </c>
      <c r="C469" s="77" t="s">
        <v>57</v>
      </c>
      <c r="D469" s="231"/>
      <c r="E469" s="74"/>
      <c r="F469" s="74"/>
      <c r="G469" s="74"/>
      <c r="H469" s="75"/>
      <c r="I469" s="328"/>
      <c r="J469" s="138"/>
      <c r="U469" s="120" t="str">
        <f t="shared" si="144"/>
        <v>CRP:8</v>
      </c>
    </row>
    <row r="470" spans="1:21" ht="12.75" customHeight="1" x14ac:dyDescent="0.25">
      <c r="A470" s="120">
        <f t="shared" si="143"/>
        <v>8</v>
      </c>
      <c r="B470" s="392">
        <v>43842</v>
      </c>
      <c r="C470" s="77" t="s">
        <v>57</v>
      </c>
      <c r="D470" s="231"/>
      <c r="E470" s="76"/>
      <c r="F470" s="76"/>
      <c r="G470" s="76"/>
      <c r="H470" s="77"/>
      <c r="J470" s="138"/>
      <c r="U470" s="120" t="str">
        <f t="shared" si="144"/>
        <v>CRP:8</v>
      </c>
    </row>
    <row r="471" spans="1:21" ht="12.75" customHeight="1" x14ac:dyDescent="0.25">
      <c r="A471" s="120">
        <f t="shared" si="143"/>
        <v>8</v>
      </c>
      <c r="B471" s="392">
        <v>43842</v>
      </c>
      <c r="C471" s="77" t="s">
        <v>57</v>
      </c>
      <c r="D471" s="231"/>
      <c r="E471" s="76"/>
      <c r="F471" s="76"/>
      <c r="G471" s="76"/>
      <c r="H471" s="77"/>
      <c r="I471" s="384"/>
      <c r="J471" s="138"/>
      <c r="U471" s="120" t="str">
        <f t="shared" si="144"/>
        <v>CRP:8</v>
      </c>
    </row>
    <row r="472" spans="1:21" ht="12.75" customHeight="1" x14ac:dyDescent="0.25">
      <c r="A472" s="120">
        <f t="shared" si="143"/>
        <v>8</v>
      </c>
      <c r="B472" s="392">
        <v>43849</v>
      </c>
      <c r="C472" s="77" t="s">
        <v>57</v>
      </c>
      <c r="D472" s="231"/>
      <c r="E472" s="76"/>
      <c r="F472" s="76"/>
      <c r="G472" s="76"/>
      <c r="H472" s="77"/>
      <c r="I472" s="384"/>
      <c r="J472" s="138"/>
      <c r="U472" s="120" t="str">
        <f t="shared" si="144"/>
        <v>CRP:8</v>
      </c>
    </row>
    <row r="473" spans="1:21" ht="12.75" customHeight="1" x14ac:dyDescent="0.25">
      <c r="A473" s="120">
        <f t="shared" si="143"/>
        <v>8</v>
      </c>
      <c r="B473" s="392">
        <v>43856</v>
      </c>
      <c r="C473" s="77" t="s">
        <v>57</v>
      </c>
      <c r="D473" s="231"/>
      <c r="E473" s="76"/>
      <c r="F473" s="76"/>
      <c r="G473" s="76"/>
      <c r="H473" s="77"/>
      <c r="I473" s="22"/>
      <c r="J473" s="138"/>
      <c r="U473" s="120" t="str">
        <f t="shared" si="144"/>
        <v>CRP:8</v>
      </c>
    </row>
    <row r="474" spans="1:21" ht="12.75" customHeight="1" x14ac:dyDescent="0.25">
      <c r="A474" s="120">
        <f>GETPAYMONTH(DATE(YEAR(B474),MONTH(B474-4)+1,1))</f>
        <v>8</v>
      </c>
      <c r="B474" s="392">
        <v>43863</v>
      </c>
      <c r="C474" s="77" t="s">
        <v>57</v>
      </c>
      <c r="D474" s="238"/>
      <c r="E474" s="78"/>
      <c r="F474" s="78"/>
      <c r="G474" s="78"/>
      <c r="H474" s="79"/>
      <c r="J474" s="138"/>
      <c r="U474" s="120" t="str">
        <f>C474 &amp;":"&amp; A474</f>
        <v>CRP:8</v>
      </c>
    </row>
    <row r="475" spans="1:21" ht="12.75" customHeight="1" x14ac:dyDescent="0.25">
      <c r="A475" s="123">
        <f>GETPAYMONTH(DATE(YEAR(B475),MONTH(B475-4)+1,1))</f>
        <v>8</v>
      </c>
      <c r="B475" s="394">
        <v>43863</v>
      </c>
      <c r="C475" s="79" t="s">
        <v>58</v>
      </c>
      <c r="D475" s="269"/>
      <c r="E475" s="78">
        <f>SUM(E469:E474)</f>
        <v>0</v>
      </c>
      <c r="F475" s="78"/>
      <c r="G475" s="78"/>
      <c r="H475" s="79"/>
      <c r="J475" s="138"/>
      <c r="U475" s="120" t="str">
        <f t="shared" ref="U475:U526" si="145">C475 &amp;":"&amp; A475</f>
        <v>SM:8</v>
      </c>
    </row>
    <row r="476" spans="1:21" ht="12.75" customHeight="1" x14ac:dyDescent="0.25">
      <c r="A476" s="120">
        <f t="shared" si="143"/>
        <v>9</v>
      </c>
      <c r="B476" s="392">
        <v>43870</v>
      </c>
      <c r="C476" s="77" t="s">
        <v>57</v>
      </c>
      <c r="D476" s="238"/>
      <c r="E476" s="76"/>
      <c r="F476" s="76"/>
      <c r="G476" s="76"/>
      <c r="H476" s="77"/>
      <c r="J476" s="138"/>
      <c r="U476" s="120" t="str">
        <f t="shared" si="145"/>
        <v>CRP:9</v>
      </c>
    </row>
    <row r="477" spans="1:21" ht="12.75" customHeight="1" x14ac:dyDescent="0.25">
      <c r="A477" s="120">
        <f t="shared" si="143"/>
        <v>9</v>
      </c>
      <c r="B477" s="392">
        <v>43877</v>
      </c>
      <c r="C477" s="77" t="s">
        <v>57</v>
      </c>
      <c r="D477" s="238"/>
      <c r="E477" s="76"/>
      <c r="F477" s="76"/>
      <c r="G477" s="76"/>
      <c r="H477" s="77"/>
      <c r="J477" s="138"/>
      <c r="U477" s="120" t="str">
        <f t="shared" si="145"/>
        <v>CRP:9</v>
      </c>
    </row>
    <row r="478" spans="1:21" ht="12.75" customHeight="1" x14ac:dyDescent="0.25">
      <c r="A478" s="120">
        <f t="shared" si="143"/>
        <v>9</v>
      </c>
      <c r="B478" s="392">
        <v>43884</v>
      </c>
      <c r="C478" s="77" t="s">
        <v>57</v>
      </c>
      <c r="D478" s="238"/>
      <c r="E478" s="76"/>
      <c r="F478" s="76"/>
      <c r="G478" s="76"/>
      <c r="H478" s="77"/>
      <c r="J478" s="138"/>
      <c r="U478" s="120" t="str">
        <f t="shared" si="145"/>
        <v>CRP:9</v>
      </c>
    </row>
    <row r="479" spans="1:21" ht="12.75" customHeight="1" x14ac:dyDescent="0.25">
      <c r="A479" s="120">
        <f t="shared" si="143"/>
        <v>9</v>
      </c>
      <c r="B479" s="392">
        <v>43891</v>
      </c>
      <c r="C479" s="77" t="s">
        <v>57</v>
      </c>
      <c r="D479" s="238"/>
      <c r="E479" s="78"/>
      <c r="F479" s="78"/>
      <c r="G479" s="78"/>
      <c r="H479" s="79"/>
      <c r="J479" s="138"/>
      <c r="U479" s="120" t="str">
        <f t="shared" si="145"/>
        <v>CRP:9</v>
      </c>
    </row>
    <row r="480" spans="1:21" ht="12.75" customHeight="1" x14ac:dyDescent="0.25">
      <c r="A480" s="123">
        <f t="shared" si="143"/>
        <v>9</v>
      </c>
      <c r="B480" s="394">
        <v>43891</v>
      </c>
      <c r="C480" s="79" t="s">
        <v>58</v>
      </c>
      <c r="D480" s="269"/>
      <c r="E480" s="78">
        <f>SUM(E476:E479)</f>
        <v>0</v>
      </c>
      <c r="F480" s="78"/>
      <c r="G480" s="78"/>
      <c r="H480" s="79"/>
      <c r="J480" s="138"/>
      <c r="U480" s="120" t="str">
        <f t="shared" si="145"/>
        <v>SM:9</v>
      </c>
    </row>
    <row r="481" spans="1:21" ht="12.75" customHeight="1" x14ac:dyDescent="0.25">
      <c r="A481" s="120">
        <f t="shared" si="143"/>
        <v>10</v>
      </c>
      <c r="B481" s="392">
        <v>43898</v>
      </c>
      <c r="C481" s="77" t="s">
        <v>57</v>
      </c>
      <c r="D481" s="238"/>
      <c r="E481" s="74"/>
      <c r="F481" s="74"/>
      <c r="G481" s="74"/>
      <c r="H481" s="75"/>
      <c r="J481" s="138"/>
      <c r="U481" s="120" t="str">
        <f t="shared" si="145"/>
        <v>CRP:10</v>
      </c>
    </row>
    <row r="482" spans="1:21" ht="12.75" customHeight="1" x14ac:dyDescent="0.25">
      <c r="A482" s="120">
        <f t="shared" si="143"/>
        <v>10</v>
      </c>
      <c r="B482" s="392">
        <v>43905</v>
      </c>
      <c r="C482" s="77" t="s">
        <v>57</v>
      </c>
      <c r="D482" s="231"/>
      <c r="E482" s="76"/>
      <c r="F482" s="76"/>
      <c r="G482" s="76"/>
      <c r="H482" s="77"/>
      <c r="J482" s="138"/>
      <c r="K482" s="62"/>
      <c r="U482" s="120" t="str">
        <f t="shared" si="145"/>
        <v>CRP:10</v>
      </c>
    </row>
    <row r="483" spans="1:21" ht="12.75" customHeight="1" x14ac:dyDescent="0.25">
      <c r="A483" s="120">
        <f t="shared" si="143"/>
        <v>10</v>
      </c>
      <c r="B483" s="392">
        <v>43912</v>
      </c>
      <c r="C483" s="77" t="s">
        <v>57</v>
      </c>
      <c r="D483" s="231"/>
      <c r="E483" s="76"/>
      <c r="F483" s="76"/>
      <c r="G483" s="76"/>
      <c r="H483" s="77"/>
      <c r="J483" s="138"/>
      <c r="U483" s="120" t="str">
        <f t="shared" si="145"/>
        <v>CRP:10</v>
      </c>
    </row>
    <row r="484" spans="1:21" ht="12.75" customHeight="1" x14ac:dyDescent="0.25">
      <c r="A484" s="120">
        <f t="shared" si="143"/>
        <v>10</v>
      </c>
      <c r="B484" s="392">
        <v>43919</v>
      </c>
      <c r="C484" s="77" t="s">
        <v>57</v>
      </c>
      <c r="D484" s="231"/>
      <c r="E484" s="78"/>
      <c r="F484" s="78"/>
      <c r="G484" s="78"/>
      <c r="H484" s="79"/>
      <c r="J484" s="138"/>
      <c r="U484" s="120" t="str">
        <f t="shared" si="145"/>
        <v>CRP:10</v>
      </c>
    </row>
    <row r="485" spans="1:21" ht="12.75" customHeight="1" x14ac:dyDescent="0.25">
      <c r="A485" s="123">
        <f>GETPAYMONTH(DATE(YEAR(B485),MONTH(B485-4)+1,1))</f>
        <v>10</v>
      </c>
      <c r="B485" s="394">
        <v>43919</v>
      </c>
      <c r="C485" s="79" t="s">
        <v>58</v>
      </c>
      <c r="D485" s="269"/>
      <c r="E485" s="78">
        <f>SUM(E481:E484)</f>
        <v>0</v>
      </c>
      <c r="F485" s="78"/>
      <c r="G485" s="78"/>
      <c r="H485" s="79"/>
      <c r="J485" s="138"/>
      <c r="U485" s="120" t="str">
        <f>C485 &amp;":"&amp; A485</f>
        <v>SM:10</v>
      </c>
    </row>
    <row r="486" spans="1:21" ht="12.75" customHeight="1" x14ac:dyDescent="0.25">
      <c r="A486" s="120">
        <f t="shared" si="143"/>
        <v>11</v>
      </c>
      <c r="B486" s="392">
        <v>43926</v>
      </c>
      <c r="C486" s="77" t="s">
        <v>57</v>
      </c>
      <c r="D486" s="231"/>
      <c r="E486" s="76"/>
      <c r="F486" s="76"/>
      <c r="G486" s="76"/>
      <c r="H486" s="77"/>
      <c r="J486" s="138"/>
      <c r="U486" s="120" t="str">
        <f t="shared" si="145"/>
        <v>CRP:11</v>
      </c>
    </row>
    <row r="487" spans="1:21" ht="12.75" customHeight="1" x14ac:dyDescent="0.25">
      <c r="A487" s="120">
        <f t="shared" si="143"/>
        <v>11</v>
      </c>
      <c r="B487" s="392">
        <v>43933</v>
      </c>
      <c r="C487" s="77" t="s">
        <v>57</v>
      </c>
      <c r="D487" s="231"/>
      <c r="E487" s="76"/>
      <c r="F487" s="76"/>
      <c r="G487" s="76"/>
      <c r="H487" s="77"/>
      <c r="J487" s="138"/>
      <c r="U487" s="120" t="str">
        <f t="shared" si="145"/>
        <v>CRP:11</v>
      </c>
    </row>
    <row r="488" spans="1:21" ht="12.75" customHeight="1" x14ac:dyDescent="0.25">
      <c r="A488" s="120">
        <f t="shared" si="143"/>
        <v>11</v>
      </c>
      <c r="B488" s="392">
        <v>43940</v>
      </c>
      <c r="C488" s="77" t="s">
        <v>57</v>
      </c>
      <c r="D488" s="231"/>
      <c r="E488" s="76"/>
      <c r="F488" s="76"/>
      <c r="G488" s="76"/>
      <c r="H488" s="77"/>
      <c r="J488" s="138"/>
      <c r="U488" s="120" t="str">
        <f t="shared" si="145"/>
        <v>CRP:11</v>
      </c>
    </row>
    <row r="489" spans="1:21" ht="12.75" customHeight="1" x14ac:dyDescent="0.25">
      <c r="A489" s="120">
        <f t="shared" si="143"/>
        <v>11</v>
      </c>
      <c r="B489" s="392">
        <v>43947</v>
      </c>
      <c r="C489" s="77" t="s">
        <v>57</v>
      </c>
      <c r="D489" s="231"/>
      <c r="E489" s="78"/>
      <c r="F489" s="78"/>
      <c r="G489" s="78"/>
      <c r="H489" s="79"/>
      <c r="J489" s="138"/>
      <c r="U489" s="120" t="str">
        <f t="shared" si="145"/>
        <v>CRP:11</v>
      </c>
    </row>
    <row r="490" spans="1:21" ht="12.75" customHeight="1" x14ac:dyDescent="0.25">
      <c r="A490" s="123">
        <f t="shared" si="143"/>
        <v>11</v>
      </c>
      <c r="B490" s="394">
        <v>43947</v>
      </c>
      <c r="C490" s="79" t="s">
        <v>58</v>
      </c>
      <c r="D490" s="269"/>
      <c r="E490" s="78">
        <f>SUM(E486:E489)</f>
        <v>0</v>
      </c>
      <c r="F490" s="78"/>
      <c r="G490" s="78"/>
      <c r="H490" s="79"/>
      <c r="J490" s="138"/>
      <c r="U490" s="120" t="str">
        <f t="shared" si="145"/>
        <v>SM:11</v>
      </c>
    </row>
    <row r="491" spans="1:21" ht="12.75" customHeight="1" x14ac:dyDescent="0.25">
      <c r="A491" s="120">
        <f t="shared" si="143"/>
        <v>11</v>
      </c>
      <c r="B491" s="392">
        <v>43954</v>
      </c>
      <c r="C491" s="77" t="s">
        <v>57</v>
      </c>
      <c r="D491" s="231"/>
      <c r="E491" s="74"/>
      <c r="F491" s="74"/>
      <c r="G491" s="74"/>
      <c r="H491" s="75"/>
      <c r="J491" s="138"/>
      <c r="K491" s="253"/>
      <c r="U491" s="120" t="str">
        <f t="shared" si="145"/>
        <v>CRP:11</v>
      </c>
    </row>
    <row r="492" spans="1:21" ht="12.75" customHeight="1" x14ac:dyDescent="0.25">
      <c r="A492" s="120">
        <f t="shared" si="143"/>
        <v>12</v>
      </c>
      <c r="B492" s="392">
        <v>43961</v>
      </c>
      <c r="C492" s="77" t="s">
        <v>57</v>
      </c>
      <c r="D492" s="231"/>
      <c r="E492" s="76"/>
      <c r="F492" s="76"/>
      <c r="G492" s="76"/>
      <c r="H492" s="77"/>
      <c r="J492" s="138"/>
      <c r="K492" s="253"/>
      <c r="U492" s="120" t="str">
        <f t="shared" si="145"/>
        <v>CRP:12</v>
      </c>
    </row>
    <row r="493" spans="1:21" ht="12.75" customHeight="1" x14ac:dyDescent="0.25">
      <c r="A493" s="120">
        <f t="shared" si="143"/>
        <v>12</v>
      </c>
      <c r="B493" s="392">
        <v>43968</v>
      </c>
      <c r="C493" s="77" t="s">
        <v>57</v>
      </c>
      <c r="D493" s="231"/>
      <c r="E493" s="76"/>
      <c r="F493" s="76"/>
      <c r="G493" s="76"/>
      <c r="H493" s="77"/>
      <c r="J493" s="138"/>
      <c r="K493" s="353"/>
      <c r="L493" s="161"/>
      <c r="M493" s="161"/>
      <c r="U493" s="120" t="str">
        <f t="shared" si="145"/>
        <v>CRP:12</v>
      </c>
    </row>
    <row r="494" spans="1:21" ht="12.75" customHeight="1" x14ac:dyDescent="0.25">
      <c r="A494" s="120">
        <f t="shared" si="143"/>
        <v>12</v>
      </c>
      <c r="B494" s="392">
        <v>43975</v>
      </c>
      <c r="C494" s="77" t="s">
        <v>57</v>
      </c>
      <c r="D494" s="231"/>
      <c r="E494" s="76"/>
      <c r="F494" s="76"/>
      <c r="G494" s="76"/>
      <c r="H494" s="77"/>
      <c r="J494" s="138"/>
      <c r="K494" s="253"/>
      <c r="U494" s="120" t="str">
        <f t="shared" si="145"/>
        <v>CRP:12</v>
      </c>
    </row>
    <row r="495" spans="1:21" ht="12.75" customHeight="1" x14ac:dyDescent="0.25">
      <c r="A495" s="120">
        <f t="shared" si="143"/>
        <v>12</v>
      </c>
      <c r="B495" s="392">
        <v>43982</v>
      </c>
      <c r="C495" s="77" t="s">
        <v>57</v>
      </c>
      <c r="D495" s="231"/>
      <c r="E495" s="78"/>
      <c r="F495" s="78"/>
      <c r="G495" s="78"/>
      <c r="H495" s="79"/>
      <c r="J495" s="138"/>
      <c r="K495" s="253"/>
      <c r="U495" s="120" t="str">
        <f t="shared" si="145"/>
        <v>CRP:12</v>
      </c>
    </row>
    <row r="496" spans="1:21" ht="12.75" customHeight="1" x14ac:dyDescent="0.25">
      <c r="A496" s="123">
        <f t="shared" si="143"/>
        <v>12</v>
      </c>
      <c r="B496" s="394">
        <v>43982</v>
      </c>
      <c r="C496" s="79" t="s">
        <v>58</v>
      </c>
      <c r="D496" s="269"/>
      <c r="E496" s="78">
        <f>SUM(E491:E495)</f>
        <v>0</v>
      </c>
      <c r="F496" s="78"/>
      <c r="G496" s="78"/>
      <c r="H496" s="79"/>
      <c r="J496" s="138"/>
      <c r="K496" s="253"/>
      <c r="U496" s="120" t="str">
        <f t="shared" si="145"/>
        <v>SM:12</v>
      </c>
    </row>
    <row r="497" spans="1:21" ht="12.75" customHeight="1" x14ac:dyDescent="0.25">
      <c r="A497" s="120">
        <v>1</v>
      </c>
      <c r="B497" s="392">
        <v>43625</v>
      </c>
      <c r="C497" s="77" t="s">
        <v>657</v>
      </c>
      <c r="D497" s="231">
        <v>43640</v>
      </c>
      <c r="E497" s="76">
        <v>5</v>
      </c>
      <c r="F497" s="76"/>
      <c r="G497" s="76"/>
      <c r="H497" s="77">
        <v>590143</v>
      </c>
      <c r="J497" s="138"/>
      <c r="T497" s="129"/>
      <c r="U497" s="120" t="str">
        <f t="shared" si="145"/>
        <v>VAK:1</v>
      </c>
    </row>
    <row r="498" spans="1:21" ht="12.75" customHeight="1" x14ac:dyDescent="0.25">
      <c r="A498" s="120">
        <f t="shared" ref="A498:A526" si="146">GETPAYMONTH(DATE(YEAR(B498),MONTH(B498-4)+1,1))</f>
        <v>1</v>
      </c>
      <c r="B498" s="392">
        <v>43632</v>
      </c>
      <c r="C498" s="77" t="s">
        <v>657</v>
      </c>
      <c r="D498" s="231">
        <v>43647</v>
      </c>
      <c r="E498" s="76">
        <v>5.5</v>
      </c>
      <c r="F498" s="76"/>
      <c r="G498" s="76"/>
      <c r="H498" s="77">
        <v>590144</v>
      </c>
      <c r="J498" s="138"/>
      <c r="K498" s="22"/>
      <c r="T498" s="129"/>
      <c r="U498" s="120" t="str">
        <f t="shared" si="145"/>
        <v>VAK:1</v>
      </c>
    </row>
    <row r="499" spans="1:21" ht="12.75" customHeight="1" x14ac:dyDescent="0.25">
      <c r="A499" s="120">
        <f t="shared" si="146"/>
        <v>1</v>
      </c>
      <c r="B499" s="392">
        <v>43639</v>
      </c>
      <c r="C499" s="77" t="s">
        <v>657</v>
      </c>
      <c r="D499" s="231">
        <v>43654</v>
      </c>
      <c r="E499" s="76">
        <v>5</v>
      </c>
      <c r="F499" s="76"/>
      <c r="G499" s="76"/>
      <c r="H499" s="77">
        <v>590145</v>
      </c>
      <c r="J499" s="138"/>
      <c r="T499" s="129"/>
      <c r="U499" s="120" t="str">
        <f t="shared" si="145"/>
        <v>VAK:1</v>
      </c>
    </row>
    <row r="500" spans="1:21" ht="12.75" customHeight="1" x14ac:dyDescent="0.25">
      <c r="A500" s="120">
        <f t="shared" si="146"/>
        <v>1</v>
      </c>
      <c r="B500" s="392">
        <v>43646</v>
      </c>
      <c r="C500" s="77" t="s">
        <v>657</v>
      </c>
      <c r="D500" s="231">
        <v>43661</v>
      </c>
      <c r="E500" s="76">
        <v>5</v>
      </c>
      <c r="F500" s="76"/>
      <c r="G500" s="76"/>
      <c r="H500" s="77">
        <v>590146</v>
      </c>
      <c r="J500" s="138"/>
      <c r="T500" s="129"/>
      <c r="U500" s="120" t="str">
        <f t="shared" si="145"/>
        <v>VAK:1</v>
      </c>
    </row>
    <row r="501" spans="1:21" ht="12.75" customHeight="1" x14ac:dyDescent="0.25">
      <c r="A501" s="123">
        <f t="shared" si="146"/>
        <v>1</v>
      </c>
      <c r="B501" s="394">
        <v>43646</v>
      </c>
      <c r="C501" s="79" t="s">
        <v>658</v>
      </c>
      <c r="D501" s="269"/>
      <c r="E501" s="316">
        <f>SUM(E497:E500)</f>
        <v>20.5</v>
      </c>
      <c r="F501" s="316"/>
      <c r="G501" s="316"/>
      <c r="H501" s="315"/>
      <c r="J501" s="138"/>
      <c r="U501" s="120" t="str">
        <f t="shared" si="145"/>
        <v>ASW:1</v>
      </c>
    </row>
    <row r="502" spans="1:21" ht="12.75" customHeight="1" x14ac:dyDescent="0.25">
      <c r="A502" s="120">
        <f t="shared" si="146"/>
        <v>2</v>
      </c>
      <c r="B502" s="392">
        <v>43653</v>
      </c>
      <c r="C502" s="77" t="s">
        <v>657</v>
      </c>
      <c r="D502" s="231">
        <v>43668</v>
      </c>
      <c r="E502" s="74">
        <v>5</v>
      </c>
      <c r="F502" s="74"/>
      <c r="G502" s="74"/>
      <c r="H502" s="75">
        <v>590247</v>
      </c>
      <c r="J502" s="138"/>
      <c r="U502" s="120" t="str">
        <f t="shared" si="145"/>
        <v>VAK:2</v>
      </c>
    </row>
    <row r="503" spans="1:21" ht="12.75" customHeight="1" x14ac:dyDescent="0.25">
      <c r="A503" s="120">
        <f t="shared" si="146"/>
        <v>2</v>
      </c>
      <c r="B503" s="392">
        <v>43660</v>
      </c>
      <c r="C503" s="77" t="s">
        <v>657</v>
      </c>
      <c r="D503" s="231">
        <v>43675</v>
      </c>
      <c r="E503" s="76">
        <v>5</v>
      </c>
      <c r="F503" s="76"/>
      <c r="G503" s="76"/>
      <c r="H503" s="77">
        <v>590248</v>
      </c>
      <c r="J503" s="138"/>
      <c r="U503" s="120" t="str">
        <f t="shared" si="145"/>
        <v>VAK:2</v>
      </c>
    </row>
    <row r="504" spans="1:21" ht="12.75" customHeight="1" x14ac:dyDescent="0.25">
      <c r="A504" s="120">
        <f t="shared" si="146"/>
        <v>2</v>
      </c>
      <c r="B504" s="392">
        <v>43667</v>
      </c>
      <c r="C504" s="77" t="s">
        <v>657</v>
      </c>
      <c r="D504" s="231">
        <v>43682</v>
      </c>
      <c r="E504" s="76">
        <v>5</v>
      </c>
      <c r="F504" s="76"/>
      <c r="G504" s="76"/>
      <c r="H504" s="77">
        <v>590249</v>
      </c>
      <c r="J504" s="138"/>
      <c r="T504" s="129"/>
      <c r="U504" s="120" t="str">
        <f t="shared" si="145"/>
        <v>VAK:2</v>
      </c>
    </row>
    <row r="505" spans="1:21" ht="12.75" customHeight="1" x14ac:dyDescent="0.25">
      <c r="A505" s="120">
        <f t="shared" si="146"/>
        <v>2</v>
      </c>
      <c r="B505" s="392">
        <v>43674</v>
      </c>
      <c r="C505" s="77" t="s">
        <v>657</v>
      </c>
      <c r="D505" s="231">
        <v>43689</v>
      </c>
      <c r="E505" s="396">
        <v>5</v>
      </c>
      <c r="F505" s="396"/>
      <c r="G505" s="396"/>
      <c r="H505" s="400">
        <v>590250</v>
      </c>
      <c r="J505" s="138"/>
      <c r="U505" s="120" t="str">
        <f t="shared" si="145"/>
        <v>VAK:2</v>
      </c>
    </row>
    <row r="506" spans="1:21" ht="12.75" customHeight="1" x14ac:dyDescent="0.25">
      <c r="A506" s="120">
        <f>GETPAYMONTH(DATE(YEAR(B506),MONTH(B506-4)+1,1))</f>
        <v>2</v>
      </c>
      <c r="B506" s="392">
        <v>43681</v>
      </c>
      <c r="C506" s="77" t="s">
        <v>657</v>
      </c>
      <c r="D506" s="231">
        <v>43696</v>
      </c>
      <c r="E506" s="78">
        <v>5</v>
      </c>
      <c r="F506" s="78"/>
      <c r="G506" s="78"/>
      <c r="H506" s="79">
        <v>590251</v>
      </c>
      <c r="J506" s="138"/>
      <c r="U506" s="120" t="str">
        <f>C506 &amp;":"&amp; A506</f>
        <v>VAK:2</v>
      </c>
    </row>
    <row r="507" spans="1:21" ht="12.75" customHeight="1" x14ac:dyDescent="0.25">
      <c r="A507" s="123">
        <f t="shared" si="146"/>
        <v>2</v>
      </c>
      <c r="B507" s="394">
        <v>43674</v>
      </c>
      <c r="C507" s="79" t="s">
        <v>658</v>
      </c>
      <c r="D507" s="269"/>
      <c r="E507" s="78">
        <f>SUM(E502:E506)</f>
        <v>25</v>
      </c>
      <c r="F507" s="78"/>
      <c r="G507" s="78"/>
      <c r="H507" s="79"/>
      <c r="J507" s="138"/>
      <c r="U507" s="120" t="str">
        <f t="shared" si="145"/>
        <v>ASW:2</v>
      </c>
    </row>
    <row r="508" spans="1:21" ht="12.75" customHeight="1" x14ac:dyDescent="0.25">
      <c r="A508" s="120">
        <f t="shared" si="146"/>
        <v>3</v>
      </c>
      <c r="B508" s="392">
        <v>43688</v>
      </c>
      <c r="C508" s="77" t="s">
        <v>657</v>
      </c>
      <c r="D508" s="231">
        <v>43703</v>
      </c>
      <c r="E508" s="76">
        <v>5</v>
      </c>
      <c r="F508" s="76"/>
      <c r="G508" s="76"/>
      <c r="H508" s="77">
        <v>590252</v>
      </c>
      <c r="I508" s="328"/>
      <c r="J508" s="138"/>
      <c r="T508" s="129"/>
      <c r="U508" s="120" t="str">
        <f t="shared" si="145"/>
        <v>VAK:3</v>
      </c>
    </row>
    <row r="509" spans="1:21" ht="12.75" customHeight="1" x14ac:dyDescent="0.25">
      <c r="A509" s="120">
        <f t="shared" si="146"/>
        <v>3</v>
      </c>
      <c r="B509" s="392">
        <v>43695</v>
      </c>
      <c r="C509" s="77" t="s">
        <v>657</v>
      </c>
      <c r="D509" s="231">
        <v>43710</v>
      </c>
      <c r="E509" s="76">
        <v>5</v>
      </c>
      <c r="F509" s="76"/>
      <c r="G509" s="76"/>
      <c r="H509" s="77">
        <v>590253</v>
      </c>
      <c r="I509" s="328"/>
      <c r="J509" s="138"/>
      <c r="U509" s="120" t="str">
        <f t="shared" si="145"/>
        <v>VAK:3</v>
      </c>
    </row>
    <row r="510" spans="1:21" ht="12.75" customHeight="1" x14ac:dyDescent="0.25">
      <c r="A510" s="120">
        <f t="shared" si="146"/>
        <v>3</v>
      </c>
      <c r="B510" s="392">
        <v>43702</v>
      </c>
      <c r="C510" s="77" t="s">
        <v>657</v>
      </c>
      <c r="D510" s="231">
        <v>43717</v>
      </c>
      <c r="E510" s="76">
        <v>5</v>
      </c>
      <c r="F510" s="76"/>
      <c r="G510" s="76"/>
      <c r="H510" s="77">
        <v>590254</v>
      </c>
      <c r="J510" s="138"/>
      <c r="U510" s="120" t="str">
        <f t="shared" si="145"/>
        <v>VAK:3</v>
      </c>
    </row>
    <row r="511" spans="1:21" ht="12.75" customHeight="1" x14ac:dyDescent="0.25">
      <c r="A511" s="120">
        <f t="shared" si="146"/>
        <v>3</v>
      </c>
      <c r="B511" s="392">
        <v>43709</v>
      </c>
      <c r="C511" s="77" t="s">
        <v>657</v>
      </c>
      <c r="D511" s="231">
        <v>43724</v>
      </c>
      <c r="E511" s="78">
        <v>5</v>
      </c>
      <c r="F511" s="78"/>
      <c r="G511" s="78"/>
      <c r="H511" s="79">
        <v>590255</v>
      </c>
      <c r="J511" s="138"/>
      <c r="T511" s="129"/>
      <c r="U511" s="120" t="str">
        <f t="shared" si="145"/>
        <v>VAK:3</v>
      </c>
    </row>
    <row r="512" spans="1:21" ht="12.75" customHeight="1" x14ac:dyDescent="0.25">
      <c r="A512" s="123">
        <f t="shared" si="146"/>
        <v>3</v>
      </c>
      <c r="B512" s="394">
        <v>43709</v>
      </c>
      <c r="C512" s="79" t="s">
        <v>658</v>
      </c>
      <c r="D512" s="269"/>
      <c r="E512" s="78">
        <f>SUM(E508:E511)</f>
        <v>20</v>
      </c>
      <c r="F512" s="78"/>
      <c r="G512" s="78"/>
      <c r="H512" s="79"/>
      <c r="J512" s="138"/>
      <c r="U512" s="120" t="str">
        <f t="shared" si="145"/>
        <v>ASW:3</v>
      </c>
    </row>
    <row r="513" spans="1:21" ht="12.75" customHeight="1" x14ac:dyDescent="0.25">
      <c r="A513" s="120">
        <f t="shared" si="146"/>
        <v>4</v>
      </c>
      <c r="B513" s="392">
        <v>43716</v>
      </c>
      <c r="C513" s="77" t="s">
        <v>657</v>
      </c>
      <c r="D513" s="231">
        <v>43731</v>
      </c>
      <c r="E513" s="76">
        <v>5</v>
      </c>
      <c r="F513" s="76"/>
      <c r="G513" s="76"/>
      <c r="H513" s="77">
        <v>590256</v>
      </c>
      <c r="J513" s="138"/>
      <c r="U513" s="120" t="str">
        <f t="shared" si="145"/>
        <v>VAK:4</v>
      </c>
    </row>
    <row r="514" spans="1:21" ht="12.75" customHeight="1" x14ac:dyDescent="0.25">
      <c r="A514" s="120">
        <f t="shared" si="146"/>
        <v>4</v>
      </c>
      <c r="B514" s="392">
        <v>43723</v>
      </c>
      <c r="C514" s="77" t="s">
        <v>657</v>
      </c>
      <c r="D514" s="231">
        <v>43738</v>
      </c>
      <c r="E514" s="76">
        <v>5</v>
      </c>
      <c r="F514" s="76"/>
      <c r="G514" s="76"/>
      <c r="H514" s="77">
        <v>590257</v>
      </c>
      <c r="J514" s="138"/>
      <c r="U514" s="120" t="str">
        <f t="shared" si="145"/>
        <v>VAK:4</v>
      </c>
    </row>
    <row r="515" spans="1:21" ht="12.75" customHeight="1" x14ac:dyDescent="0.25">
      <c r="A515" s="120">
        <f t="shared" si="146"/>
        <v>4</v>
      </c>
      <c r="B515" s="392">
        <v>43730</v>
      </c>
      <c r="C515" s="77" t="s">
        <v>657</v>
      </c>
      <c r="D515" s="231">
        <v>43745</v>
      </c>
      <c r="E515" s="76">
        <v>5</v>
      </c>
      <c r="F515" s="76"/>
      <c r="G515" s="76"/>
      <c r="H515" s="77">
        <v>590258</v>
      </c>
      <c r="J515" s="138"/>
      <c r="T515" s="129"/>
      <c r="U515" s="120" t="str">
        <f t="shared" si="145"/>
        <v>VAK:4</v>
      </c>
    </row>
    <row r="516" spans="1:21" ht="12.75" customHeight="1" x14ac:dyDescent="0.25">
      <c r="A516" s="120">
        <f t="shared" si="146"/>
        <v>4</v>
      </c>
      <c r="B516" s="392">
        <v>43737</v>
      </c>
      <c r="C516" s="77" t="s">
        <v>657</v>
      </c>
      <c r="D516" s="231">
        <v>43752</v>
      </c>
      <c r="E516" s="78">
        <v>5</v>
      </c>
      <c r="F516" s="78"/>
      <c r="G516" s="78"/>
      <c r="H516" s="79">
        <v>590259</v>
      </c>
      <c r="J516" s="138"/>
      <c r="U516" s="120" t="str">
        <f t="shared" si="145"/>
        <v>VAK:4</v>
      </c>
    </row>
    <row r="517" spans="1:21" ht="12.75" customHeight="1" x14ac:dyDescent="0.25">
      <c r="A517" s="123">
        <f t="shared" si="146"/>
        <v>4</v>
      </c>
      <c r="B517" s="394">
        <v>43737</v>
      </c>
      <c r="C517" s="79" t="s">
        <v>658</v>
      </c>
      <c r="D517" s="269"/>
      <c r="E517" s="78">
        <f>SUM(E513:E516)</f>
        <v>20</v>
      </c>
      <c r="F517" s="78"/>
      <c r="G517" s="78"/>
      <c r="H517" s="79"/>
      <c r="J517" s="138"/>
      <c r="U517" s="120" t="str">
        <f t="shared" si="145"/>
        <v>ASW:4</v>
      </c>
    </row>
    <row r="518" spans="1:21" ht="12.75" customHeight="1" x14ac:dyDescent="0.25">
      <c r="A518" s="120">
        <f t="shared" si="146"/>
        <v>5</v>
      </c>
      <c r="B518" s="392">
        <v>43744</v>
      </c>
      <c r="C518" s="77" t="s">
        <v>657</v>
      </c>
      <c r="D518" s="231"/>
      <c r="E518" s="74"/>
      <c r="F518" s="74"/>
      <c r="G518" s="74"/>
      <c r="H518" s="75"/>
      <c r="J518" s="138"/>
      <c r="U518" s="120" t="str">
        <f t="shared" si="145"/>
        <v>VAK:5</v>
      </c>
    </row>
    <row r="519" spans="1:21" ht="12.75" customHeight="1" x14ac:dyDescent="0.25">
      <c r="A519" s="120">
        <f t="shared" si="146"/>
        <v>5</v>
      </c>
      <c r="B519" s="392">
        <v>43751</v>
      </c>
      <c r="C519" s="77" t="s">
        <v>657</v>
      </c>
      <c r="D519" s="231"/>
      <c r="E519" s="76"/>
      <c r="F519" s="76"/>
      <c r="G519" s="76"/>
      <c r="H519" s="77"/>
      <c r="J519" s="138"/>
      <c r="T519" s="129"/>
      <c r="U519" s="120" t="str">
        <f t="shared" si="145"/>
        <v>VAK:5</v>
      </c>
    </row>
    <row r="520" spans="1:21" ht="12.75" customHeight="1" x14ac:dyDescent="0.25">
      <c r="A520" s="120">
        <f t="shared" si="146"/>
        <v>5</v>
      </c>
      <c r="B520" s="392">
        <v>43758</v>
      </c>
      <c r="C520" s="77" t="s">
        <v>657</v>
      </c>
      <c r="D520" s="231"/>
      <c r="E520" s="76"/>
      <c r="F520" s="76"/>
      <c r="G520" s="76"/>
      <c r="H520" s="77"/>
      <c r="J520" s="138"/>
      <c r="U520" s="120" t="str">
        <f t="shared" si="145"/>
        <v>VAK:5</v>
      </c>
    </row>
    <row r="521" spans="1:21" ht="12.75" customHeight="1" x14ac:dyDescent="0.25">
      <c r="A521" s="120">
        <f t="shared" si="146"/>
        <v>5</v>
      </c>
      <c r="B521" s="392">
        <v>43765</v>
      </c>
      <c r="C521" s="77" t="s">
        <v>657</v>
      </c>
      <c r="D521" s="231"/>
      <c r="E521" s="78"/>
      <c r="F521" s="78"/>
      <c r="G521" s="78"/>
      <c r="H521" s="79"/>
      <c r="J521" s="138"/>
      <c r="U521" s="120" t="str">
        <f t="shared" si="145"/>
        <v>VAK:5</v>
      </c>
    </row>
    <row r="522" spans="1:21" ht="12.75" customHeight="1" x14ac:dyDescent="0.25">
      <c r="A522" s="123">
        <f t="shared" si="146"/>
        <v>5</v>
      </c>
      <c r="B522" s="394">
        <v>43765</v>
      </c>
      <c r="C522" s="79" t="s">
        <v>658</v>
      </c>
      <c r="D522" s="269"/>
      <c r="E522" s="316">
        <f>SUM(E518:E521)</f>
        <v>0</v>
      </c>
      <c r="F522" s="316"/>
      <c r="G522" s="316"/>
      <c r="H522" s="315"/>
      <c r="J522" s="138"/>
      <c r="U522" s="120" t="str">
        <f t="shared" si="145"/>
        <v>ASW:5</v>
      </c>
    </row>
    <row r="523" spans="1:21" ht="12.75" customHeight="1" x14ac:dyDescent="0.25">
      <c r="A523" s="120">
        <f t="shared" si="146"/>
        <v>5</v>
      </c>
      <c r="B523" s="392">
        <v>43772</v>
      </c>
      <c r="C523" s="77" t="s">
        <v>657</v>
      </c>
      <c r="D523" s="231"/>
      <c r="E523" s="74"/>
      <c r="F523" s="74"/>
      <c r="G523" s="74"/>
      <c r="H523" s="75"/>
      <c r="J523" s="138"/>
      <c r="U523" s="120" t="str">
        <f t="shared" si="145"/>
        <v>VAK:5</v>
      </c>
    </row>
    <row r="524" spans="1:21" ht="12.75" customHeight="1" x14ac:dyDescent="0.25">
      <c r="A524" s="120">
        <f t="shared" si="146"/>
        <v>6</v>
      </c>
      <c r="B524" s="392">
        <v>43779</v>
      </c>
      <c r="C524" s="77" t="s">
        <v>657</v>
      </c>
      <c r="D524" s="231"/>
      <c r="E524" s="76"/>
      <c r="F524" s="76"/>
      <c r="G524" s="76"/>
      <c r="H524" s="77"/>
      <c r="J524" s="138"/>
      <c r="T524" s="129"/>
      <c r="U524" s="120" t="str">
        <f t="shared" si="145"/>
        <v>VAK:6</v>
      </c>
    </row>
    <row r="525" spans="1:21" ht="12.75" customHeight="1" x14ac:dyDescent="0.25">
      <c r="A525" s="120">
        <f t="shared" si="146"/>
        <v>6</v>
      </c>
      <c r="B525" s="392">
        <v>43786</v>
      </c>
      <c r="C525" s="77" t="s">
        <v>657</v>
      </c>
      <c r="D525" s="231"/>
      <c r="E525" s="76"/>
      <c r="F525" s="76"/>
      <c r="G525" s="76"/>
      <c r="H525" s="77"/>
      <c r="J525" s="138"/>
      <c r="U525" s="120" t="str">
        <f t="shared" si="145"/>
        <v>VAK:6</v>
      </c>
    </row>
    <row r="526" spans="1:21" ht="12.75" customHeight="1" x14ac:dyDescent="0.25">
      <c r="A526" s="120">
        <f t="shared" si="146"/>
        <v>6</v>
      </c>
      <c r="B526" s="392">
        <v>43793</v>
      </c>
      <c r="C526" s="77" t="s">
        <v>657</v>
      </c>
      <c r="D526" s="231"/>
      <c r="E526" s="78"/>
      <c r="F526" s="78"/>
      <c r="G526" s="78"/>
      <c r="H526" s="79"/>
      <c r="J526" s="138"/>
      <c r="U526" s="120" t="str">
        <f t="shared" si="145"/>
        <v>VAK:6</v>
      </c>
    </row>
    <row r="527" spans="1:21" ht="12.75" customHeight="1" x14ac:dyDescent="0.25">
      <c r="A527" s="123">
        <f>GETPAYMONTH(DATE(YEAR(B527),MONTH(B527-4)+1,1))</f>
        <v>6</v>
      </c>
      <c r="B527" s="394">
        <v>43800</v>
      </c>
      <c r="C527" s="79" t="s">
        <v>658</v>
      </c>
      <c r="D527" s="269"/>
      <c r="E527" s="78">
        <f>SUM(E523:E526)</f>
        <v>0</v>
      </c>
      <c r="F527" s="78"/>
      <c r="G527" s="78"/>
      <c r="H527" s="79"/>
      <c r="J527" s="138"/>
      <c r="T527" s="129"/>
      <c r="U527" s="120" t="str">
        <f>C527 &amp;":"&amp; A527</f>
        <v>ASW:6</v>
      </c>
    </row>
    <row r="528" spans="1:21" ht="12.75" customHeight="1" x14ac:dyDescent="0.25">
      <c r="A528" s="123">
        <f>GETPAYMONTH(DATE(YEAR(B528),MONTH(B528-4)+1,1))</f>
        <v>6</v>
      </c>
      <c r="B528" s="392">
        <v>43800</v>
      </c>
      <c r="C528" s="77" t="s">
        <v>657</v>
      </c>
      <c r="D528" s="231"/>
      <c r="E528" s="76"/>
      <c r="F528" s="76"/>
      <c r="G528" s="76"/>
      <c r="H528" s="77"/>
      <c r="J528" s="138"/>
      <c r="U528" s="120" t="str">
        <f>C528 &amp;":"&amp; A528</f>
        <v>VAK:6</v>
      </c>
    </row>
    <row r="529" spans="1:21" ht="12.75" customHeight="1" x14ac:dyDescent="0.25">
      <c r="A529" s="120">
        <f t="shared" ref="A529:A575" si="147">GETPAYMONTH(DATE(YEAR(B529),MONTH(B529-4)+1,1))</f>
        <v>7</v>
      </c>
      <c r="B529" s="392">
        <v>43807</v>
      </c>
      <c r="C529" s="77" t="s">
        <v>657</v>
      </c>
      <c r="D529" s="231"/>
      <c r="E529" s="76"/>
      <c r="F529" s="76"/>
      <c r="G529" s="76"/>
      <c r="H529" s="77"/>
      <c r="J529" s="138"/>
      <c r="U529" s="120" t="str">
        <f t="shared" ref="U529:U537" si="148">C529 &amp;":"&amp; A529</f>
        <v>VAK:7</v>
      </c>
    </row>
    <row r="530" spans="1:21" ht="12.75" customHeight="1" x14ac:dyDescent="0.25">
      <c r="A530" s="120">
        <f t="shared" si="147"/>
        <v>7</v>
      </c>
      <c r="B530" s="392">
        <v>43814</v>
      </c>
      <c r="C530" s="77" t="s">
        <v>657</v>
      </c>
      <c r="D530" s="231"/>
      <c r="E530" s="76"/>
      <c r="F530" s="76"/>
      <c r="G530" s="76"/>
      <c r="H530" s="77"/>
      <c r="J530" s="138"/>
      <c r="U530" s="120" t="str">
        <f t="shared" si="148"/>
        <v>VAK:7</v>
      </c>
    </row>
    <row r="531" spans="1:21" ht="12.75" customHeight="1" x14ac:dyDescent="0.25">
      <c r="A531" s="120">
        <f t="shared" si="147"/>
        <v>7</v>
      </c>
      <c r="B531" s="392">
        <v>43821</v>
      </c>
      <c r="C531" s="77" t="s">
        <v>657</v>
      </c>
      <c r="D531" s="231"/>
      <c r="E531" s="76"/>
      <c r="F531" s="76"/>
      <c r="G531" s="76"/>
      <c r="H531" s="77"/>
      <c r="J531" s="138"/>
      <c r="U531" s="120" t="str">
        <f t="shared" si="148"/>
        <v>VAK:7</v>
      </c>
    </row>
    <row r="532" spans="1:21" ht="12.75" customHeight="1" x14ac:dyDescent="0.25">
      <c r="A532" s="120">
        <f t="shared" si="147"/>
        <v>7</v>
      </c>
      <c r="B532" s="392">
        <v>43828</v>
      </c>
      <c r="C532" s="77" t="s">
        <v>657</v>
      </c>
      <c r="D532" s="231"/>
      <c r="E532" s="78"/>
      <c r="F532" s="78"/>
      <c r="G532" s="78"/>
      <c r="H532" s="79"/>
      <c r="J532" s="138"/>
      <c r="U532" s="120" t="str">
        <f t="shared" si="148"/>
        <v>VAK:7</v>
      </c>
    </row>
    <row r="533" spans="1:21" ht="12.75" customHeight="1" x14ac:dyDescent="0.25">
      <c r="A533" s="123">
        <f t="shared" si="147"/>
        <v>7</v>
      </c>
      <c r="B533" s="394">
        <v>43828</v>
      </c>
      <c r="C533" s="79" t="s">
        <v>658</v>
      </c>
      <c r="D533" s="269"/>
      <c r="E533" s="78">
        <f>SUM(E528:E532)</f>
        <v>0</v>
      </c>
      <c r="F533" s="78"/>
      <c r="G533" s="78"/>
      <c r="H533" s="79"/>
      <c r="J533" s="138"/>
      <c r="U533" s="120" t="str">
        <f t="shared" si="148"/>
        <v>ASW:7</v>
      </c>
    </row>
    <row r="534" spans="1:21" ht="12.75" customHeight="1" x14ac:dyDescent="0.25">
      <c r="A534" s="120">
        <f t="shared" si="147"/>
        <v>8</v>
      </c>
      <c r="B534" s="392">
        <v>43836</v>
      </c>
      <c r="C534" s="77" t="s">
        <v>657</v>
      </c>
      <c r="D534" s="231"/>
      <c r="E534" s="74"/>
      <c r="F534" s="74"/>
      <c r="G534" s="74"/>
      <c r="H534" s="75"/>
      <c r="J534" s="138"/>
      <c r="U534" s="120" t="str">
        <f t="shared" si="148"/>
        <v>VAK:8</v>
      </c>
    </row>
    <row r="535" spans="1:21" ht="12.75" customHeight="1" x14ac:dyDescent="0.25">
      <c r="A535" s="120">
        <f t="shared" si="147"/>
        <v>8</v>
      </c>
      <c r="B535" s="392">
        <v>43842</v>
      </c>
      <c r="C535" s="77" t="s">
        <v>657</v>
      </c>
      <c r="D535" s="231"/>
      <c r="E535" s="76"/>
      <c r="F535" s="76"/>
      <c r="G535" s="76"/>
      <c r="H535" s="77"/>
      <c r="J535" s="138"/>
      <c r="U535" s="120" t="str">
        <f t="shared" si="148"/>
        <v>VAK:8</v>
      </c>
    </row>
    <row r="536" spans="1:21" ht="12.75" customHeight="1" x14ac:dyDescent="0.25">
      <c r="A536" s="120">
        <f t="shared" si="147"/>
        <v>8</v>
      </c>
      <c r="B536" s="392">
        <v>43849</v>
      </c>
      <c r="C536" s="77" t="s">
        <v>657</v>
      </c>
      <c r="D536" s="231"/>
      <c r="E536" s="76"/>
      <c r="F536" s="76"/>
      <c r="G536" s="76"/>
      <c r="H536" s="77"/>
      <c r="J536" s="138"/>
      <c r="U536" s="120" t="str">
        <f t="shared" si="148"/>
        <v>VAK:8</v>
      </c>
    </row>
    <row r="537" spans="1:21" ht="12.75" customHeight="1" x14ac:dyDescent="0.25">
      <c r="A537" s="120">
        <f t="shared" si="147"/>
        <v>8</v>
      </c>
      <c r="B537" s="392">
        <v>43856</v>
      </c>
      <c r="C537" s="77" t="s">
        <v>657</v>
      </c>
      <c r="D537" s="231"/>
      <c r="E537" s="78"/>
      <c r="F537" s="78"/>
      <c r="G537" s="78"/>
      <c r="H537" s="79"/>
      <c r="I537" s="22"/>
      <c r="J537" s="138"/>
      <c r="U537" s="120" t="str">
        <f t="shared" si="148"/>
        <v>VAK:8</v>
      </c>
    </row>
    <row r="538" spans="1:21" ht="12.75" customHeight="1" x14ac:dyDescent="0.25">
      <c r="A538" s="395">
        <f t="shared" si="147"/>
        <v>8</v>
      </c>
      <c r="B538" s="394">
        <v>43863</v>
      </c>
      <c r="C538" s="79" t="s">
        <v>658</v>
      </c>
      <c r="D538" s="269"/>
      <c r="E538" s="316">
        <f>SUM(E534:E537)</f>
        <v>0</v>
      </c>
      <c r="F538" s="316"/>
      <c r="G538" s="316"/>
      <c r="H538" s="315"/>
      <c r="J538" s="138"/>
      <c r="U538" s="120" t="str">
        <f>C538 &amp;":"&amp; A538</f>
        <v>ASW:8</v>
      </c>
    </row>
    <row r="539" spans="1:21" ht="12.75" customHeight="1" x14ac:dyDescent="0.25">
      <c r="A539" s="395">
        <f t="shared" si="147"/>
        <v>8</v>
      </c>
      <c r="B539" s="392">
        <v>43863</v>
      </c>
      <c r="C539" s="77" t="s">
        <v>657</v>
      </c>
      <c r="D539" s="231"/>
      <c r="E539" s="74"/>
      <c r="F539" s="74"/>
      <c r="G539" s="74"/>
      <c r="H539" s="75"/>
      <c r="J539" s="138"/>
      <c r="U539" s="120" t="str">
        <f>C539 &amp;":"&amp; A539</f>
        <v>VAK:8</v>
      </c>
    </row>
    <row r="540" spans="1:21" ht="12.75" customHeight="1" x14ac:dyDescent="0.25">
      <c r="A540" s="395">
        <f t="shared" si="147"/>
        <v>9</v>
      </c>
      <c r="B540" s="392">
        <v>43870</v>
      </c>
      <c r="C540" s="77" t="s">
        <v>657</v>
      </c>
      <c r="D540" s="231"/>
      <c r="E540" s="76"/>
      <c r="F540" s="76"/>
      <c r="G540" s="76"/>
      <c r="H540" s="77"/>
      <c r="J540" s="138"/>
      <c r="U540" s="120" t="str">
        <f t="shared" ref="U540:U548" si="149">C540 &amp;":"&amp; A540</f>
        <v>VAK:9</v>
      </c>
    </row>
    <row r="541" spans="1:21" ht="12.75" customHeight="1" x14ac:dyDescent="0.25">
      <c r="A541" s="395">
        <f t="shared" si="147"/>
        <v>9</v>
      </c>
      <c r="B541" s="392">
        <v>43877</v>
      </c>
      <c r="C541" s="77" t="s">
        <v>657</v>
      </c>
      <c r="D541" s="231"/>
      <c r="E541" s="76"/>
      <c r="F541" s="76"/>
      <c r="G541" s="76"/>
      <c r="H541" s="77"/>
      <c r="J541" s="138"/>
      <c r="U541" s="120" t="str">
        <f t="shared" si="149"/>
        <v>VAK:9</v>
      </c>
    </row>
    <row r="542" spans="1:21" ht="12.75" customHeight="1" x14ac:dyDescent="0.25">
      <c r="A542" s="395">
        <f t="shared" si="147"/>
        <v>9</v>
      </c>
      <c r="B542" s="392">
        <v>43884</v>
      </c>
      <c r="C542" s="77" t="s">
        <v>657</v>
      </c>
      <c r="D542" s="231"/>
      <c r="E542" s="78"/>
      <c r="F542" s="78"/>
      <c r="G542" s="78"/>
      <c r="H542" s="79"/>
      <c r="J542" s="138"/>
      <c r="U542" s="120" t="str">
        <f t="shared" si="149"/>
        <v>VAK:9</v>
      </c>
    </row>
    <row r="543" spans="1:21" ht="12.75" customHeight="1" x14ac:dyDescent="0.25">
      <c r="A543" s="395">
        <f t="shared" si="147"/>
        <v>9</v>
      </c>
      <c r="B543" s="394">
        <v>43884</v>
      </c>
      <c r="C543" s="79" t="s">
        <v>658</v>
      </c>
      <c r="D543" s="269"/>
      <c r="E543" s="78">
        <f>SUM(E539:E542)</f>
        <v>0</v>
      </c>
      <c r="F543" s="78"/>
      <c r="G543" s="78"/>
      <c r="H543" s="79"/>
      <c r="J543" s="138"/>
      <c r="U543" s="120" t="str">
        <f t="shared" si="149"/>
        <v>ASW:9</v>
      </c>
    </row>
    <row r="544" spans="1:21" ht="12.75" customHeight="1" x14ac:dyDescent="0.25">
      <c r="A544" s="395">
        <f t="shared" si="147"/>
        <v>9</v>
      </c>
      <c r="B544" s="392">
        <v>43891</v>
      </c>
      <c r="C544" s="77" t="s">
        <v>657</v>
      </c>
      <c r="D544" s="231"/>
      <c r="E544" s="74"/>
      <c r="F544" s="74"/>
      <c r="G544" s="74"/>
      <c r="H544" s="75"/>
      <c r="J544" s="138"/>
      <c r="U544" s="120" t="str">
        <f t="shared" si="149"/>
        <v>VAK:9</v>
      </c>
    </row>
    <row r="545" spans="1:21" ht="12.75" customHeight="1" x14ac:dyDescent="0.25">
      <c r="A545" s="395">
        <f t="shared" si="147"/>
        <v>10</v>
      </c>
      <c r="B545" s="392">
        <v>43898</v>
      </c>
      <c r="C545" s="77" t="s">
        <v>657</v>
      </c>
      <c r="D545" s="231"/>
      <c r="E545" s="76"/>
      <c r="F545" s="76"/>
      <c r="G545" s="76"/>
      <c r="H545" s="77"/>
      <c r="J545" s="138"/>
      <c r="K545" s="62"/>
      <c r="U545" s="120" t="str">
        <f t="shared" si="149"/>
        <v>VAK:10</v>
      </c>
    </row>
    <row r="546" spans="1:21" ht="12.75" customHeight="1" x14ac:dyDescent="0.25">
      <c r="A546" s="395">
        <f t="shared" si="147"/>
        <v>10</v>
      </c>
      <c r="B546" s="392">
        <v>43905</v>
      </c>
      <c r="C546" s="77" t="s">
        <v>657</v>
      </c>
      <c r="D546" s="231"/>
      <c r="E546" s="76"/>
      <c r="F546" s="76"/>
      <c r="G546" s="76"/>
      <c r="H546" s="77"/>
      <c r="J546" s="138"/>
      <c r="K546" s="62"/>
      <c r="U546" s="120" t="str">
        <f t="shared" si="149"/>
        <v>VAK:10</v>
      </c>
    </row>
    <row r="547" spans="1:21" ht="12.75" customHeight="1" x14ac:dyDescent="0.25">
      <c r="A547" s="395">
        <f t="shared" si="147"/>
        <v>10</v>
      </c>
      <c r="B547" s="392">
        <v>43912</v>
      </c>
      <c r="C547" s="77" t="s">
        <v>657</v>
      </c>
      <c r="D547" s="231"/>
      <c r="E547" s="76"/>
      <c r="F547" s="76"/>
      <c r="G547" s="76"/>
      <c r="H547" s="77"/>
      <c r="J547" s="138"/>
      <c r="U547" s="120" t="str">
        <f t="shared" si="149"/>
        <v>VAK:10</v>
      </c>
    </row>
    <row r="548" spans="1:21" ht="12.75" customHeight="1" x14ac:dyDescent="0.25">
      <c r="A548" s="395">
        <f t="shared" si="147"/>
        <v>10</v>
      </c>
      <c r="B548" s="392">
        <v>43919</v>
      </c>
      <c r="C548" s="77" t="s">
        <v>657</v>
      </c>
      <c r="D548" s="231"/>
      <c r="E548" s="78"/>
      <c r="F548" s="78"/>
      <c r="G548" s="78"/>
      <c r="H548" s="79"/>
      <c r="J548" s="138"/>
      <c r="U548" s="120" t="str">
        <f t="shared" si="149"/>
        <v>VAK:10</v>
      </c>
    </row>
    <row r="549" spans="1:21" ht="12.75" customHeight="1" x14ac:dyDescent="0.25">
      <c r="A549" s="395">
        <f t="shared" si="147"/>
        <v>10</v>
      </c>
      <c r="B549" s="394">
        <v>43919</v>
      </c>
      <c r="C549" s="79" t="s">
        <v>658</v>
      </c>
      <c r="D549" s="269"/>
      <c r="E549" s="78">
        <f>SUM(E544:E548)</f>
        <v>0</v>
      </c>
      <c r="F549" s="78"/>
      <c r="G549" s="78"/>
      <c r="H549" s="79"/>
      <c r="J549" s="138"/>
      <c r="U549" s="120" t="str">
        <f>C549 &amp;":"&amp; A549</f>
        <v>ASW:10</v>
      </c>
    </row>
    <row r="550" spans="1:21" ht="12.75" customHeight="1" x14ac:dyDescent="0.25">
      <c r="A550" s="395">
        <f t="shared" si="147"/>
        <v>11</v>
      </c>
      <c r="B550" s="392">
        <v>43926</v>
      </c>
      <c r="C550" s="77" t="s">
        <v>657</v>
      </c>
      <c r="D550" s="231"/>
      <c r="E550" s="76"/>
      <c r="F550" s="76"/>
      <c r="G550" s="76"/>
      <c r="H550" s="77"/>
      <c r="J550" s="138"/>
      <c r="U550" s="120" t="str">
        <f t="shared" ref="U550:U560" si="150">C550 &amp;":"&amp; A550</f>
        <v>VAK:11</v>
      </c>
    </row>
    <row r="551" spans="1:21" ht="12.75" customHeight="1" x14ac:dyDescent="0.25">
      <c r="A551" s="395">
        <f t="shared" si="147"/>
        <v>11</v>
      </c>
      <c r="B551" s="392">
        <v>43933</v>
      </c>
      <c r="C551" s="77" t="s">
        <v>657</v>
      </c>
      <c r="D551" s="231"/>
      <c r="E551" s="76"/>
      <c r="F551" s="76"/>
      <c r="G551" s="76"/>
      <c r="H551" s="77"/>
      <c r="J551" s="138"/>
      <c r="U551" s="120" t="str">
        <f t="shared" si="150"/>
        <v>VAK:11</v>
      </c>
    </row>
    <row r="552" spans="1:21" ht="12.75" customHeight="1" x14ac:dyDescent="0.25">
      <c r="A552" s="395">
        <f t="shared" si="147"/>
        <v>11</v>
      </c>
      <c r="B552" s="392">
        <v>43940</v>
      </c>
      <c r="C552" s="77" t="s">
        <v>657</v>
      </c>
      <c r="D552" s="231"/>
      <c r="E552" s="76"/>
      <c r="F552" s="76"/>
      <c r="G552" s="76"/>
      <c r="H552" s="77"/>
      <c r="J552" s="138"/>
      <c r="U552" s="120" t="str">
        <f t="shared" si="150"/>
        <v>VAK:11</v>
      </c>
    </row>
    <row r="553" spans="1:21" ht="12.75" customHeight="1" x14ac:dyDescent="0.25">
      <c r="A553" s="395">
        <f t="shared" si="147"/>
        <v>11</v>
      </c>
      <c r="B553" s="392">
        <v>43947</v>
      </c>
      <c r="C553" s="77" t="s">
        <v>657</v>
      </c>
      <c r="D553" s="231"/>
      <c r="E553" s="78"/>
      <c r="F553" s="78"/>
      <c r="G553" s="78"/>
      <c r="H553" s="79"/>
      <c r="J553" s="138"/>
      <c r="U553" s="120" t="str">
        <f t="shared" si="150"/>
        <v>VAK:11</v>
      </c>
    </row>
    <row r="554" spans="1:21" ht="12.75" customHeight="1" x14ac:dyDescent="0.25">
      <c r="A554" s="395">
        <f t="shared" si="147"/>
        <v>11</v>
      </c>
      <c r="B554" s="394">
        <v>43947</v>
      </c>
      <c r="C554" s="79" t="s">
        <v>658</v>
      </c>
      <c r="D554" s="269"/>
      <c r="E554" s="78">
        <f>SUM(E550:E553)</f>
        <v>0</v>
      </c>
      <c r="F554" s="78"/>
      <c r="G554" s="78"/>
      <c r="H554" s="79"/>
      <c r="J554" s="138"/>
      <c r="U554" s="120" t="str">
        <f t="shared" si="150"/>
        <v>ASW:11</v>
      </c>
    </row>
    <row r="555" spans="1:21" ht="12.75" customHeight="1" x14ac:dyDescent="0.25">
      <c r="A555" s="395">
        <f t="shared" si="147"/>
        <v>11</v>
      </c>
      <c r="B555" s="392">
        <v>43954</v>
      </c>
      <c r="C555" s="77" t="s">
        <v>657</v>
      </c>
      <c r="D555" s="231"/>
      <c r="E555" s="74"/>
      <c r="F555" s="74"/>
      <c r="G555" s="74"/>
      <c r="H555" s="75"/>
      <c r="J555" s="138"/>
      <c r="K555" s="253"/>
      <c r="U555" s="120" t="str">
        <f t="shared" si="150"/>
        <v>VAK:11</v>
      </c>
    </row>
    <row r="556" spans="1:21" ht="12.75" customHeight="1" x14ac:dyDescent="0.25">
      <c r="A556" s="395">
        <f t="shared" si="147"/>
        <v>12</v>
      </c>
      <c r="B556" s="392">
        <v>43961</v>
      </c>
      <c r="C556" s="77" t="s">
        <v>657</v>
      </c>
      <c r="D556" s="231"/>
      <c r="E556" s="76"/>
      <c r="F556" s="76"/>
      <c r="G556" s="76"/>
      <c r="H556" s="77"/>
      <c r="J556" s="138"/>
      <c r="K556" s="253"/>
      <c r="U556" s="120" t="str">
        <f t="shared" si="150"/>
        <v>VAK:12</v>
      </c>
    </row>
    <row r="557" spans="1:21" ht="12.75" customHeight="1" x14ac:dyDescent="0.25">
      <c r="A557" s="395">
        <f t="shared" si="147"/>
        <v>12</v>
      </c>
      <c r="B557" s="392">
        <v>43968</v>
      </c>
      <c r="C557" s="77" t="s">
        <v>657</v>
      </c>
      <c r="D557" s="231"/>
      <c r="E557" s="76"/>
      <c r="F557" s="76"/>
      <c r="G557" s="76"/>
      <c r="H557" s="77"/>
      <c r="J557" s="138"/>
      <c r="K557" s="353"/>
      <c r="L557" s="161"/>
      <c r="M557" s="161"/>
      <c r="U557" s="120" t="str">
        <f t="shared" si="150"/>
        <v>VAK:12</v>
      </c>
    </row>
    <row r="558" spans="1:21" ht="12.75" customHeight="1" x14ac:dyDescent="0.25">
      <c r="A558" s="395">
        <f t="shared" si="147"/>
        <v>12</v>
      </c>
      <c r="B558" s="392">
        <v>43975</v>
      </c>
      <c r="C558" s="77" t="s">
        <v>657</v>
      </c>
      <c r="D558" s="231"/>
      <c r="E558" s="76"/>
      <c r="F558" s="76"/>
      <c r="G558" s="76"/>
      <c r="H558" s="77"/>
      <c r="J558" s="138"/>
      <c r="K558" s="253"/>
      <c r="U558" s="120" t="str">
        <f t="shared" si="150"/>
        <v>VAK:12</v>
      </c>
    </row>
    <row r="559" spans="1:21" ht="12.75" customHeight="1" x14ac:dyDescent="0.25">
      <c r="A559" s="395">
        <f t="shared" si="147"/>
        <v>12</v>
      </c>
      <c r="B559" s="392">
        <v>43982</v>
      </c>
      <c r="C559" s="77" t="s">
        <v>657</v>
      </c>
      <c r="D559" s="231"/>
      <c r="E559" s="78"/>
      <c r="F559" s="78"/>
      <c r="G559" s="78"/>
      <c r="H559" s="79"/>
      <c r="J559" s="138"/>
      <c r="K559" s="253"/>
      <c r="U559" s="120" t="str">
        <f t="shared" si="150"/>
        <v>VAK:12</v>
      </c>
    </row>
    <row r="560" spans="1:21" ht="12.75" customHeight="1" x14ac:dyDescent="0.25">
      <c r="A560" s="395">
        <f t="shared" si="147"/>
        <v>12</v>
      </c>
      <c r="B560" s="394">
        <v>43982</v>
      </c>
      <c r="C560" s="79" t="s">
        <v>658</v>
      </c>
      <c r="D560" s="269"/>
      <c r="E560" s="78">
        <f>SUM(E555:E559)</f>
        <v>0</v>
      </c>
      <c r="F560" s="78"/>
      <c r="G560" s="78"/>
      <c r="H560" s="79"/>
      <c r="J560" s="138"/>
      <c r="K560" s="253"/>
      <c r="U560" s="120" t="str">
        <f t="shared" si="150"/>
        <v>ASW:12</v>
      </c>
    </row>
    <row r="561" spans="1:21" ht="12.75" customHeight="1" x14ac:dyDescent="0.25">
      <c r="A561" s="120">
        <f t="shared" si="147"/>
        <v>1</v>
      </c>
      <c r="B561" s="392">
        <v>43646</v>
      </c>
      <c r="C561" s="77" t="s">
        <v>669</v>
      </c>
      <c r="D561" s="231">
        <v>43653</v>
      </c>
      <c r="E561" s="74">
        <v>4</v>
      </c>
      <c r="F561" s="378"/>
      <c r="G561" s="74"/>
      <c r="H561" s="75">
        <v>551113</v>
      </c>
      <c r="I561" s="383" t="s">
        <v>692</v>
      </c>
      <c r="J561" s="138"/>
      <c r="K561" s="253"/>
      <c r="U561" s="120" t="str">
        <f>C561 &amp;":"&amp; D561</f>
        <v>DP:43653</v>
      </c>
    </row>
    <row r="562" spans="1:21" ht="12.75" customHeight="1" x14ac:dyDescent="0.25">
      <c r="A562" s="120">
        <f t="shared" si="147"/>
        <v>2</v>
      </c>
      <c r="B562" s="392">
        <v>43653</v>
      </c>
      <c r="C562" s="77" t="s">
        <v>669</v>
      </c>
      <c r="D562" s="231">
        <v>43653</v>
      </c>
      <c r="E562" s="78">
        <v>4</v>
      </c>
      <c r="F562" s="340"/>
      <c r="G562" s="78"/>
      <c r="H562" s="79">
        <v>551113</v>
      </c>
      <c r="I562" s="383" t="s">
        <v>693</v>
      </c>
      <c r="J562" s="138"/>
      <c r="K562" s="253"/>
      <c r="U562" s="120" t="str">
        <f t="shared" ref="U562:U625" si="151">C562 &amp;":"&amp; D562</f>
        <v>DP:43653</v>
      </c>
    </row>
    <row r="563" spans="1:21" ht="12.75" customHeight="1" x14ac:dyDescent="0.25">
      <c r="A563" s="123">
        <f t="shared" si="147"/>
        <v>2</v>
      </c>
      <c r="B563" s="394">
        <v>43653</v>
      </c>
      <c r="C563" s="79" t="s">
        <v>678</v>
      </c>
      <c r="D563" s="269">
        <v>43653</v>
      </c>
      <c r="E563" s="316">
        <f>SUM(E561:E562)</f>
        <v>8</v>
      </c>
      <c r="F563" s="78"/>
      <c r="G563" s="78"/>
      <c r="H563" s="79"/>
      <c r="J563" s="138"/>
      <c r="K563" s="253"/>
      <c r="U563" s="120" t="str">
        <f t="shared" si="151"/>
        <v>ANK:43653</v>
      </c>
    </row>
    <row r="564" spans="1:21" ht="12.75" customHeight="1" x14ac:dyDescent="0.25">
      <c r="A564" s="120">
        <f>GETPAYMONTH(DATE(YEAR(B564),MONTH(B564-4)+1,1))</f>
        <v>2</v>
      </c>
      <c r="B564" s="392">
        <v>43660</v>
      </c>
      <c r="C564" s="77" t="s">
        <v>669</v>
      </c>
      <c r="D564" s="231">
        <v>43667</v>
      </c>
      <c r="E564" s="74">
        <v>6</v>
      </c>
      <c r="F564" s="378"/>
      <c r="G564" s="74"/>
      <c r="H564" s="75">
        <v>551114</v>
      </c>
      <c r="I564" s="383" t="s">
        <v>780</v>
      </c>
      <c r="J564" s="138"/>
      <c r="K564" s="253"/>
      <c r="U564" s="120" t="str">
        <f t="shared" si="151"/>
        <v>DP:43667</v>
      </c>
    </row>
    <row r="565" spans="1:21" ht="12.75" customHeight="1" x14ac:dyDescent="0.25">
      <c r="A565" s="120">
        <f>GETPAYMONTH(DATE(YEAR(B565),MONTH(B565-4)+1,1))</f>
        <v>2</v>
      </c>
      <c r="B565" s="392">
        <v>43667</v>
      </c>
      <c r="C565" s="77" t="s">
        <v>669</v>
      </c>
      <c r="D565" s="231">
        <v>43667</v>
      </c>
      <c r="E565" s="78">
        <v>7</v>
      </c>
      <c r="F565" s="340"/>
      <c r="G565" s="78"/>
      <c r="H565" s="79">
        <v>551114</v>
      </c>
      <c r="J565" s="138"/>
      <c r="K565" s="253"/>
      <c r="U565" s="120" t="str">
        <f t="shared" si="151"/>
        <v>DP:43667</v>
      </c>
    </row>
    <row r="566" spans="1:21" ht="12.75" customHeight="1" x14ac:dyDescent="0.25">
      <c r="A566" s="123">
        <f>GETPAYMONTH(DATE(YEAR(B566),MONTH(B566-4)+1,1))</f>
        <v>2</v>
      </c>
      <c r="B566" s="394">
        <v>43667</v>
      </c>
      <c r="C566" s="79" t="s">
        <v>678</v>
      </c>
      <c r="D566" s="269">
        <v>43667</v>
      </c>
      <c r="E566" s="316">
        <f>SUM(E564:E565)</f>
        <v>13</v>
      </c>
      <c r="F566" s="78"/>
      <c r="G566" s="78"/>
      <c r="H566" s="79"/>
      <c r="J566" s="138"/>
      <c r="K566" s="253"/>
      <c r="U566" s="120" t="str">
        <f t="shared" si="151"/>
        <v>ANK:43667</v>
      </c>
    </row>
    <row r="567" spans="1:21" ht="12.75" customHeight="1" x14ac:dyDescent="0.25">
      <c r="A567" s="120">
        <f t="shared" ref="A567:A569" si="152">GETPAYMONTH(DATE(YEAR(B567),MONTH(B567-4)+1,1))</f>
        <v>2</v>
      </c>
      <c r="B567" s="392">
        <v>43674</v>
      </c>
      <c r="C567" s="77" t="s">
        <v>669</v>
      </c>
      <c r="D567" s="231">
        <v>43681</v>
      </c>
      <c r="E567" s="74">
        <v>6.5</v>
      </c>
      <c r="F567" s="378"/>
      <c r="G567" s="74"/>
      <c r="H567" s="75">
        <v>551115</v>
      </c>
      <c r="I567" t="s">
        <v>810</v>
      </c>
      <c r="J567" s="138"/>
      <c r="K567" s="253"/>
      <c r="U567" s="120" t="str">
        <f t="shared" si="151"/>
        <v>DP:43681</v>
      </c>
    </row>
    <row r="568" spans="1:21" ht="12.75" customHeight="1" x14ac:dyDescent="0.25">
      <c r="A568" s="120">
        <f t="shared" si="152"/>
        <v>2</v>
      </c>
      <c r="B568" s="392">
        <v>43681</v>
      </c>
      <c r="C568" s="77" t="s">
        <v>669</v>
      </c>
      <c r="D568" s="231">
        <v>43681</v>
      </c>
      <c r="E568" s="78">
        <v>6</v>
      </c>
      <c r="F568" s="340"/>
      <c r="G568" s="78"/>
      <c r="H568" s="79">
        <v>551115</v>
      </c>
      <c r="I568" s="383" t="s">
        <v>780</v>
      </c>
      <c r="J568" s="138"/>
      <c r="K568" s="253"/>
      <c r="U568" s="120" t="str">
        <f t="shared" si="151"/>
        <v>DP:43681</v>
      </c>
    </row>
    <row r="569" spans="1:21" ht="12.75" customHeight="1" x14ac:dyDescent="0.25">
      <c r="A569" s="123">
        <f t="shared" si="152"/>
        <v>2</v>
      </c>
      <c r="B569" s="394">
        <v>43681</v>
      </c>
      <c r="C569" s="79" t="s">
        <v>678</v>
      </c>
      <c r="D569" s="269">
        <v>43681</v>
      </c>
      <c r="E569" s="316">
        <f>SUM(E567:E568)</f>
        <v>12.5</v>
      </c>
      <c r="F569" s="78"/>
      <c r="G569" s="78"/>
      <c r="H569" s="79"/>
      <c r="J569" s="138"/>
      <c r="K569" s="253"/>
      <c r="U569" s="120" t="str">
        <f t="shared" si="151"/>
        <v>ANK:43681</v>
      </c>
    </row>
    <row r="570" spans="1:21" ht="12.75" customHeight="1" x14ac:dyDescent="0.25">
      <c r="A570" s="120">
        <f>GETPAYMONTH(DATE(YEAR(B570),MONTH(B570-4)+1,1))</f>
        <v>3</v>
      </c>
      <c r="B570" s="392">
        <v>43688</v>
      </c>
      <c r="C570" s="77" t="s">
        <v>669</v>
      </c>
      <c r="D570" s="231">
        <v>43695</v>
      </c>
      <c r="E570" s="74">
        <v>6</v>
      </c>
      <c r="F570" s="378"/>
      <c r="G570" s="74"/>
      <c r="H570" s="75">
        <v>551116</v>
      </c>
      <c r="I570" s="383" t="s">
        <v>843</v>
      </c>
      <c r="J570" s="138"/>
      <c r="K570" s="253"/>
      <c r="U570" s="120" t="str">
        <f t="shared" si="151"/>
        <v>DP:43695</v>
      </c>
    </row>
    <row r="571" spans="1:21" ht="12.75" customHeight="1" x14ac:dyDescent="0.25">
      <c r="A571" s="120">
        <f>GETPAYMONTH(DATE(YEAR(B571),MONTH(B571-4)+1,1))</f>
        <v>3</v>
      </c>
      <c r="B571" s="392">
        <v>43695</v>
      </c>
      <c r="C571" s="77" t="s">
        <v>669</v>
      </c>
      <c r="D571" s="231">
        <v>43695</v>
      </c>
      <c r="E571" s="78">
        <v>5</v>
      </c>
      <c r="F571" s="340"/>
      <c r="G571" s="78"/>
      <c r="H571" s="79">
        <v>551116</v>
      </c>
      <c r="J571" s="138"/>
      <c r="K571" s="253"/>
      <c r="U571" s="120" t="str">
        <f t="shared" si="151"/>
        <v>DP:43695</v>
      </c>
    </row>
    <row r="572" spans="1:21" ht="12.75" customHeight="1" x14ac:dyDescent="0.25">
      <c r="A572" s="123">
        <f>GETPAYMONTH(DATE(YEAR(B572),MONTH(B572-4)+1,1))</f>
        <v>3</v>
      </c>
      <c r="B572" s="394">
        <v>43695</v>
      </c>
      <c r="C572" s="79" t="s">
        <v>678</v>
      </c>
      <c r="D572" s="269">
        <v>43695</v>
      </c>
      <c r="E572" s="316">
        <f>SUM(E570:E571)</f>
        <v>11</v>
      </c>
      <c r="F572" s="78"/>
      <c r="G572" s="78"/>
      <c r="H572" s="79"/>
      <c r="J572" s="138"/>
      <c r="K572" s="253"/>
      <c r="U572" s="120" t="str">
        <f t="shared" si="151"/>
        <v>ANK:43695</v>
      </c>
    </row>
    <row r="573" spans="1:21" ht="12.75" customHeight="1" x14ac:dyDescent="0.25">
      <c r="A573" s="120">
        <f t="shared" si="147"/>
        <v>3</v>
      </c>
      <c r="B573" s="392">
        <v>43702</v>
      </c>
      <c r="C573" s="77" t="s">
        <v>669</v>
      </c>
      <c r="D573" s="231">
        <v>43709</v>
      </c>
      <c r="E573" s="74">
        <v>7</v>
      </c>
      <c r="F573" s="378"/>
      <c r="G573" s="74"/>
      <c r="H573" s="75">
        <v>551117</v>
      </c>
      <c r="I573" s="383" t="s">
        <v>854</v>
      </c>
      <c r="J573" s="138"/>
      <c r="K573" s="253"/>
      <c r="U573" s="120" t="str">
        <f t="shared" si="151"/>
        <v>DP:43709</v>
      </c>
    </row>
    <row r="574" spans="1:21" ht="12.75" customHeight="1" x14ac:dyDescent="0.25">
      <c r="A574" s="120">
        <f t="shared" si="147"/>
        <v>3</v>
      </c>
      <c r="B574" s="392">
        <v>43709</v>
      </c>
      <c r="C574" s="77" t="s">
        <v>669</v>
      </c>
      <c r="D574" s="231">
        <v>43709</v>
      </c>
      <c r="E574" s="78">
        <v>6.5</v>
      </c>
      <c r="F574" s="340"/>
      <c r="G574" s="78"/>
      <c r="H574" s="79">
        <v>551117</v>
      </c>
      <c r="I574" s="383" t="s">
        <v>855</v>
      </c>
      <c r="J574" s="138"/>
      <c r="K574" s="253"/>
      <c r="U574" s="120" t="str">
        <f t="shared" si="151"/>
        <v>DP:43709</v>
      </c>
    </row>
    <row r="575" spans="1:21" ht="12.75" customHeight="1" x14ac:dyDescent="0.25">
      <c r="A575" s="123">
        <f t="shared" si="147"/>
        <v>3</v>
      </c>
      <c r="B575" s="394">
        <v>43709</v>
      </c>
      <c r="C575" s="79" t="s">
        <v>678</v>
      </c>
      <c r="D575" s="269">
        <v>43709</v>
      </c>
      <c r="E575" s="316">
        <f>SUM(E573:E574)</f>
        <v>13.5</v>
      </c>
      <c r="F575" s="78"/>
      <c r="G575" s="78"/>
      <c r="H575" s="79"/>
      <c r="J575" s="138"/>
      <c r="K575" s="253"/>
      <c r="U575" s="120" t="str">
        <f t="shared" si="151"/>
        <v>ANK:43709</v>
      </c>
    </row>
    <row r="576" spans="1:21" ht="12.75" customHeight="1" x14ac:dyDescent="0.25">
      <c r="A576" s="120">
        <f>GETPAYMONTH(DATE(YEAR(B576),MONTH(B576-4)+1,1))</f>
        <v>4</v>
      </c>
      <c r="B576" s="392">
        <v>43716</v>
      </c>
      <c r="C576" s="77" t="s">
        <v>669</v>
      </c>
      <c r="D576" s="231">
        <v>43723</v>
      </c>
      <c r="E576" s="74">
        <v>6.5</v>
      </c>
      <c r="F576" s="378"/>
      <c r="G576" s="74"/>
      <c r="H576" s="75">
        <v>551118</v>
      </c>
      <c r="I576" s="383" t="s">
        <v>885</v>
      </c>
      <c r="J576" s="138"/>
      <c r="K576" s="253"/>
      <c r="U576" s="120" t="str">
        <f t="shared" si="151"/>
        <v>DP:43723</v>
      </c>
    </row>
    <row r="577" spans="1:21" ht="12.75" customHeight="1" x14ac:dyDescent="0.25">
      <c r="A577" s="120">
        <f>GETPAYMONTH(DATE(YEAR(B577),MONTH(B577-4)+1,1))</f>
        <v>4</v>
      </c>
      <c r="B577" s="392">
        <v>43723</v>
      </c>
      <c r="C577" s="77" t="s">
        <v>669</v>
      </c>
      <c r="D577" s="231">
        <v>43723</v>
      </c>
      <c r="E577" s="78">
        <v>5</v>
      </c>
      <c r="F577" s="340"/>
      <c r="G577" s="78"/>
      <c r="H577" s="79">
        <v>551118</v>
      </c>
      <c r="J577" s="138"/>
      <c r="K577" s="253"/>
      <c r="U577" s="120" t="str">
        <f t="shared" si="151"/>
        <v>DP:43723</v>
      </c>
    </row>
    <row r="578" spans="1:21" ht="12.75" customHeight="1" x14ac:dyDescent="0.25">
      <c r="A578" s="123">
        <f>GETPAYMONTH(DATE(YEAR(B578),MONTH(B578-4)+1,1))</f>
        <v>4</v>
      </c>
      <c r="B578" s="394">
        <v>43723</v>
      </c>
      <c r="C578" s="79" t="s">
        <v>678</v>
      </c>
      <c r="D578" s="269">
        <v>43723</v>
      </c>
      <c r="E578" s="316">
        <f>SUM(E576:E577)</f>
        <v>11.5</v>
      </c>
      <c r="F578" s="78"/>
      <c r="G578" s="78"/>
      <c r="H578" s="79"/>
      <c r="J578" s="138"/>
      <c r="K578" s="253"/>
      <c r="U578" s="120" t="str">
        <f t="shared" si="151"/>
        <v>ANK:43723</v>
      </c>
    </row>
    <row r="579" spans="1:21" ht="12.75" customHeight="1" x14ac:dyDescent="0.25">
      <c r="A579" s="120">
        <f t="shared" ref="A579:A581" si="153">GETPAYMONTH(DATE(YEAR(B579),MONTH(B579-4)+1,1))</f>
        <v>4</v>
      </c>
      <c r="B579" s="392">
        <v>43730</v>
      </c>
      <c r="C579" s="77" t="s">
        <v>669</v>
      </c>
      <c r="D579" s="231">
        <v>43737</v>
      </c>
      <c r="E579" s="74">
        <v>5</v>
      </c>
      <c r="F579" s="378"/>
      <c r="G579" s="74"/>
      <c r="H579" s="75">
        <v>551119</v>
      </c>
      <c r="J579" s="138"/>
      <c r="K579" s="253"/>
      <c r="U579" s="120" t="str">
        <f t="shared" si="151"/>
        <v>DP:43737</v>
      </c>
    </row>
    <row r="580" spans="1:21" ht="12.75" customHeight="1" x14ac:dyDescent="0.25">
      <c r="A580" s="120">
        <f t="shared" si="153"/>
        <v>4</v>
      </c>
      <c r="B580" s="392">
        <v>43737</v>
      </c>
      <c r="C580" s="77" t="s">
        <v>669</v>
      </c>
      <c r="D580" s="231">
        <v>43737</v>
      </c>
      <c r="E580" s="78">
        <v>5</v>
      </c>
      <c r="F580" s="340"/>
      <c r="G580" s="78"/>
      <c r="H580" s="79">
        <v>551119</v>
      </c>
      <c r="J580" s="138"/>
      <c r="K580" s="253"/>
      <c r="U580" s="120" t="str">
        <f t="shared" si="151"/>
        <v>DP:43737</v>
      </c>
    </row>
    <row r="581" spans="1:21" ht="12.75" customHeight="1" x14ac:dyDescent="0.25">
      <c r="A581" s="123">
        <f t="shared" si="153"/>
        <v>4</v>
      </c>
      <c r="B581" s="394">
        <v>43737</v>
      </c>
      <c r="C581" s="79" t="s">
        <v>678</v>
      </c>
      <c r="D581" s="269">
        <v>43737</v>
      </c>
      <c r="E581" s="316">
        <f>SUM(E579:E580)</f>
        <v>10</v>
      </c>
      <c r="F581" s="78"/>
      <c r="G581" s="78"/>
      <c r="H581" s="79"/>
      <c r="J581" s="138"/>
      <c r="K581" s="253"/>
      <c r="U581" s="120" t="str">
        <f t="shared" si="151"/>
        <v>ANK:43737</v>
      </c>
    </row>
    <row r="582" spans="1:21" ht="12.75" customHeight="1" x14ac:dyDescent="0.25">
      <c r="A582" s="120">
        <f>GETPAYMONTH(DATE(YEAR(B582),MONTH(B582-4)+1,1))</f>
        <v>5</v>
      </c>
      <c r="B582" s="392">
        <v>43744</v>
      </c>
      <c r="C582" s="77" t="s">
        <v>669</v>
      </c>
      <c r="D582" s="231"/>
      <c r="E582" s="74"/>
      <c r="F582" s="378"/>
      <c r="G582" s="74"/>
      <c r="H582" s="75"/>
      <c r="J582" s="138"/>
      <c r="K582" s="253"/>
      <c r="U582" s="120" t="str">
        <f t="shared" si="151"/>
        <v>DP:</v>
      </c>
    </row>
    <row r="583" spans="1:21" ht="12.75" customHeight="1" x14ac:dyDescent="0.25">
      <c r="A583" s="120">
        <f>GETPAYMONTH(DATE(YEAR(B583),MONTH(B583-4)+1,1))</f>
        <v>5</v>
      </c>
      <c r="B583" s="392">
        <v>43751</v>
      </c>
      <c r="C583" s="77" t="s">
        <v>669</v>
      </c>
      <c r="D583" s="231"/>
      <c r="E583" s="78"/>
      <c r="F583" s="340"/>
      <c r="G583" s="78"/>
      <c r="H583" s="79"/>
      <c r="J583" s="138"/>
      <c r="K583" s="253"/>
      <c r="U583" s="120" t="str">
        <f t="shared" si="151"/>
        <v>DP:</v>
      </c>
    </row>
    <row r="584" spans="1:21" ht="12.75" customHeight="1" x14ac:dyDescent="0.25">
      <c r="A584" s="123">
        <f>GETPAYMONTH(DATE(YEAR(B584),MONTH(B584-4)+1,1))</f>
        <v>5</v>
      </c>
      <c r="B584" s="394">
        <v>43751</v>
      </c>
      <c r="C584" s="79" t="s">
        <v>678</v>
      </c>
      <c r="D584" s="269"/>
      <c r="E584" s="316">
        <f>SUM(E582:E583)</f>
        <v>0</v>
      </c>
      <c r="F584" s="78"/>
      <c r="G584" s="78"/>
      <c r="H584" s="79"/>
      <c r="J584" s="138"/>
      <c r="K584" s="253"/>
      <c r="U584" s="120" t="str">
        <f t="shared" si="151"/>
        <v>ANK:</v>
      </c>
    </row>
    <row r="585" spans="1:21" ht="12.75" customHeight="1" x14ac:dyDescent="0.25">
      <c r="A585" s="120">
        <f t="shared" ref="A585:A587" si="154">GETPAYMONTH(DATE(YEAR(B585),MONTH(B585-4)+1,1))</f>
        <v>5</v>
      </c>
      <c r="B585" s="392">
        <v>43758</v>
      </c>
      <c r="C585" s="77" t="s">
        <v>669</v>
      </c>
      <c r="D585" s="231"/>
      <c r="E585" s="74"/>
      <c r="F585" s="378"/>
      <c r="G585" s="74"/>
      <c r="H585" s="75"/>
      <c r="J585" s="138"/>
      <c r="K585" s="253"/>
      <c r="U585" s="120" t="str">
        <f t="shared" si="151"/>
        <v>DP:</v>
      </c>
    </row>
    <row r="586" spans="1:21" ht="12.75" customHeight="1" x14ac:dyDescent="0.25">
      <c r="A586" s="120">
        <f t="shared" si="154"/>
        <v>5</v>
      </c>
      <c r="B586" s="392">
        <v>43765</v>
      </c>
      <c r="C586" s="77" t="s">
        <v>669</v>
      </c>
      <c r="D586" s="231"/>
      <c r="E586" s="78"/>
      <c r="F586" s="340"/>
      <c r="G586" s="78"/>
      <c r="H586" s="79"/>
      <c r="J586" s="138"/>
      <c r="K586" s="253"/>
      <c r="U586" s="120" t="str">
        <f t="shared" si="151"/>
        <v>DP:</v>
      </c>
    </row>
    <row r="587" spans="1:21" ht="12.75" customHeight="1" x14ac:dyDescent="0.25">
      <c r="A587" s="123">
        <f t="shared" si="154"/>
        <v>5</v>
      </c>
      <c r="B587" s="394">
        <v>43765</v>
      </c>
      <c r="C587" s="79" t="s">
        <v>678</v>
      </c>
      <c r="D587" s="269"/>
      <c r="E587" s="316">
        <f>SUM(E585:E586)</f>
        <v>0</v>
      </c>
      <c r="F587" s="78"/>
      <c r="G587" s="78"/>
      <c r="H587" s="79"/>
      <c r="J587" s="138"/>
      <c r="K587" s="253"/>
      <c r="U587" s="120" t="str">
        <f t="shared" si="151"/>
        <v>ANK:</v>
      </c>
    </row>
    <row r="588" spans="1:21" ht="12.75" customHeight="1" x14ac:dyDescent="0.25">
      <c r="A588" s="120">
        <f>GETPAYMONTH(DATE(YEAR(B588),MONTH(B588-4)+1,1))</f>
        <v>5</v>
      </c>
      <c r="B588" s="392">
        <v>43772</v>
      </c>
      <c r="C588" s="77" t="s">
        <v>669</v>
      </c>
      <c r="D588" s="231"/>
      <c r="E588" s="74"/>
      <c r="F588" s="378"/>
      <c r="G588" s="74"/>
      <c r="H588" s="75"/>
      <c r="J588" s="138"/>
      <c r="K588" s="253"/>
      <c r="U588" s="120" t="str">
        <f t="shared" si="151"/>
        <v>DP:</v>
      </c>
    </row>
    <row r="589" spans="1:21" ht="12.75" customHeight="1" x14ac:dyDescent="0.25">
      <c r="A589" s="120">
        <f>GETPAYMONTH(DATE(YEAR(B589),MONTH(B589-4)+1,1))</f>
        <v>6</v>
      </c>
      <c r="B589" s="392">
        <v>43779</v>
      </c>
      <c r="C589" s="77" t="s">
        <v>669</v>
      </c>
      <c r="D589" s="231"/>
      <c r="E589" s="78"/>
      <c r="F589" s="340"/>
      <c r="G589" s="78"/>
      <c r="H589" s="79"/>
      <c r="J589" s="138"/>
      <c r="K589" s="253"/>
      <c r="U589" s="120" t="str">
        <f t="shared" si="151"/>
        <v>DP:</v>
      </c>
    </row>
    <row r="590" spans="1:21" ht="12.75" customHeight="1" x14ac:dyDescent="0.25">
      <c r="A590" s="123">
        <f t="shared" ref="A590:A635" si="155">GETPAYMONTH(DATE(YEAR(B590),MONTH(B590-4)+1,1))</f>
        <v>6</v>
      </c>
      <c r="B590" s="394">
        <v>43779</v>
      </c>
      <c r="C590" s="79" t="s">
        <v>678</v>
      </c>
      <c r="D590" s="269"/>
      <c r="E590" s="76">
        <f>SUM(E588:E589)</f>
        <v>0</v>
      </c>
      <c r="F590" s="76"/>
      <c r="G590" s="76"/>
      <c r="H590" s="77"/>
      <c r="J590" s="138"/>
      <c r="U590" s="120" t="str">
        <f t="shared" si="151"/>
        <v>ANK:</v>
      </c>
    </row>
    <row r="591" spans="1:21" ht="12.75" customHeight="1" x14ac:dyDescent="0.25">
      <c r="A591" s="120">
        <f t="shared" si="155"/>
        <v>6</v>
      </c>
      <c r="B591" s="392">
        <v>43786</v>
      </c>
      <c r="C591" s="77" t="s">
        <v>669</v>
      </c>
      <c r="D591" s="231"/>
      <c r="E591" s="74"/>
      <c r="F591" s="378"/>
      <c r="G591" s="74"/>
      <c r="H591" s="75"/>
      <c r="J591" s="138"/>
      <c r="U591" s="120" t="str">
        <f t="shared" si="151"/>
        <v>DP:</v>
      </c>
    </row>
    <row r="592" spans="1:21" ht="12.75" customHeight="1" x14ac:dyDescent="0.25">
      <c r="A592" s="120">
        <f t="shared" si="155"/>
        <v>6</v>
      </c>
      <c r="B592" s="392">
        <v>43793</v>
      </c>
      <c r="C592" s="77" t="s">
        <v>669</v>
      </c>
      <c r="D592" s="231"/>
      <c r="E592" s="78"/>
      <c r="F592" s="340"/>
      <c r="G592" s="78"/>
      <c r="H592" s="79"/>
      <c r="J592" s="138"/>
      <c r="U592" s="120" t="str">
        <f t="shared" si="151"/>
        <v>DP:</v>
      </c>
    </row>
    <row r="593" spans="1:21" ht="12.75" customHeight="1" x14ac:dyDescent="0.25">
      <c r="A593" s="123">
        <f t="shared" si="155"/>
        <v>6</v>
      </c>
      <c r="B593" s="394">
        <v>43793</v>
      </c>
      <c r="C593" s="79" t="s">
        <v>678</v>
      </c>
      <c r="D593" s="269"/>
      <c r="E593" s="76">
        <f>SUM(E591:E592)</f>
        <v>0</v>
      </c>
      <c r="F593" s="76"/>
      <c r="G593" s="76"/>
      <c r="H593" s="77"/>
      <c r="J593" s="138"/>
      <c r="T593" s="129"/>
      <c r="U593" s="120" t="str">
        <f t="shared" si="151"/>
        <v>ANK:</v>
      </c>
    </row>
    <row r="594" spans="1:21" ht="12.75" customHeight="1" x14ac:dyDescent="0.25">
      <c r="A594" s="120">
        <f t="shared" si="155"/>
        <v>6</v>
      </c>
      <c r="B594" s="392">
        <v>43800</v>
      </c>
      <c r="C594" s="77" t="s">
        <v>669</v>
      </c>
      <c r="D594" s="231"/>
      <c r="E594" s="74"/>
      <c r="F594" s="378"/>
      <c r="G594" s="74"/>
      <c r="H594" s="75"/>
      <c r="J594" s="138"/>
      <c r="U594" s="120" t="str">
        <f t="shared" si="151"/>
        <v>DP:</v>
      </c>
    </row>
    <row r="595" spans="1:21" ht="12.75" customHeight="1" x14ac:dyDescent="0.25">
      <c r="A595" s="120">
        <f t="shared" si="155"/>
        <v>7</v>
      </c>
      <c r="B595" s="392">
        <v>43807</v>
      </c>
      <c r="C595" s="77" t="s">
        <v>669</v>
      </c>
      <c r="D595" s="231"/>
      <c r="E595" s="78"/>
      <c r="F595" s="340"/>
      <c r="G595" s="78"/>
      <c r="H595" s="79"/>
      <c r="J595" s="138"/>
      <c r="U595" s="120" t="str">
        <f t="shared" si="151"/>
        <v>DP:</v>
      </c>
    </row>
    <row r="596" spans="1:21" ht="12.75" customHeight="1" x14ac:dyDescent="0.25">
      <c r="A596" s="123">
        <f t="shared" si="155"/>
        <v>7</v>
      </c>
      <c r="B596" s="394">
        <v>43807</v>
      </c>
      <c r="C596" s="79" t="s">
        <v>678</v>
      </c>
      <c r="D596" s="269"/>
      <c r="E596" s="76">
        <f>SUM(E594:E595)</f>
        <v>0</v>
      </c>
      <c r="F596" s="76"/>
      <c r="G596" s="76"/>
      <c r="H596" s="77"/>
      <c r="J596" s="138"/>
      <c r="U596" s="120" t="str">
        <f t="shared" si="151"/>
        <v>ANK:</v>
      </c>
    </row>
    <row r="597" spans="1:21" ht="12.75" customHeight="1" x14ac:dyDescent="0.25">
      <c r="A597" s="120">
        <f t="shared" si="155"/>
        <v>7</v>
      </c>
      <c r="B597" s="392">
        <v>43814</v>
      </c>
      <c r="C597" s="77" t="s">
        <v>669</v>
      </c>
      <c r="D597" s="231"/>
      <c r="E597" s="74"/>
      <c r="F597" s="378"/>
      <c r="G597" s="74"/>
      <c r="H597" s="75"/>
      <c r="J597" s="138"/>
      <c r="U597" s="120" t="str">
        <f t="shared" si="151"/>
        <v>DP:</v>
      </c>
    </row>
    <row r="598" spans="1:21" ht="12.75" customHeight="1" x14ac:dyDescent="0.25">
      <c r="A598" s="120">
        <f t="shared" si="155"/>
        <v>7</v>
      </c>
      <c r="B598" s="392">
        <v>43821</v>
      </c>
      <c r="C598" s="77" t="s">
        <v>669</v>
      </c>
      <c r="D598" s="231"/>
      <c r="E598" s="78"/>
      <c r="F598" s="340"/>
      <c r="G598" s="78"/>
      <c r="H598" s="79"/>
      <c r="J598" s="138"/>
      <c r="U598" s="120" t="str">
        <f t="shared" si="151"/>
        <v>DP:</v>
      </c>
    </row>
    <row r="599" spans="1:21" ht="12.75" customHeight="1" x14ac:dyDescent="0.25">
      <c r="A599" s="123">
        <f t="shared" si="155"/>
        <v>7</v>
      </c>
      <c r="B599" s="394">
        <v>43821</v>
      </c>
      <c r="C599" s="79" t="s">
        <v>678</v>
      </c>
      <c r="D599" s="269"/>
      <c r="E599" s="76">
        <f>SUM(E597:E598)</f>
        <v>0</v>
      </c>
      <c r="F599" s="76"/>
      <c r="G599" s="76"/>
      <c r="H599" s="77"/>
      <c r="J599" s="138"/>
      <c r="U599" s="120" t="str">
        <f t="shared" si="151"/>
        <v>ANK:</v>
      </c>
    </row>
    <row r="600" spans="1:21" ht="12.75" customHeight="1" x14ac:dyDescent="0.25">
      <c r="A600" s="120">
        <f t="shared" si="155"/>
        <v>7</v>
      </c>
      <c r="B600" s="392">
        <v>43828</v>
      </c>
      <c r="C600" s="77" t="s">
        <v>669</v>
      </c>
      <c r="D600" s="231"/>
      <c r="E600" s="74"/>
      <c r="F600" s="378"/>
      <c r="G600" s="74"/>
      <c r="H600" s="75"/>
      <c r="I600" s="328"/>
      <c r="J600" s="138"/>
      <c r="U600" s="120" t="str">
        <f t="shared" si="151"/>
        <v>DP:</v>
      </c>
    </row>
    <row r="601" spans="1:21" ht="12.75" customHeight="1" x14ac:dyDescent="0.25">
      <c r="A601" s="120">
        <f t="shared" si="155"/>
        <v>8</v>
      </c>
      <c r="B601" s="392">
        <v>43835</v>
      </c>
      <c r="C601" s="77" t="s">
        <v>669</v>
      </c>
      <c r="D601" s="231"/>
      <c r="E601" s="78"/>
      <c r="F601" s="340"/>
      <c r="G601" s="78"/>
      <c r="H601" s="79"/>
      <c r="I601" s="328"/>
      <c r="J601" s="138"/>
      <c r="U601" s="120" t="str">
        <f t="shared" si="151"/>
        <v>DP:</v>
      </c>
    </row>
    <row r="602" spans="1:21" ht="12.75" customHeight="1" x14ac:dyDescent="0.25">
      <c r="A602" s="123">
        <f t="shared" si="155"/>
        <v>8</v>
      </c>
      <c r="B602" s="394">
        <v>43835</v>
      </c>
      <c r="C602" s="79" t="s">
        <v>678</v>
      </c>
      <c r="D602" s="269"/>
      <c r="E602" s="76">
        <f>SUM(E600:E601)</f>
        <v>0</v>
      </c>
      <c r="F602" s="76"/>
      <c r="G602" s="76"/>
      <c r="H602" s="77"/>
      <c r="I602" s="22"/>
      <c r="J602" s="138"/>
      <c r="U602" s="120" t="str">
        <f t="shared" si="151"/>
        <v>ANK:</v>
      </c>
    </row>
    <row r="603" spans="1:21" ht="12.75" customHeight="1" x14ac:dyDescent="0.25">
      <c r="A603" s="120">
        <f t="shared" si="155"/>
        <v>8</v>
      </c>
      <c r="B603" s="392">
        <v>43842</v>
      </c>
      <c r="C603" s="77" t="s">
        <v>669</v>
      </c>
      <c r="D603" s="231"/>
      <c r="E603" s="74"/>
      <c r="F603" s="378"/>
      <c r="G603" s="74"/>
      <c r="H603" s="75"/>
      <c r="J603" s="138"/>
      <c r="U603" s="120" t="str">
        <f t="shared" si="151"/>
        <v>DP:</v>
      </c>
    </row>
    <row r="604" spans="1:21" ht="12.75" customHeight="1" x14ac:dyDescent="0.25">
      <c r="A604" s="120">
        <f t="shared" si="155"/>
        <v>8</v>
      </c>
      <c r="B604" s="392">
        <v>43849</v>
      </c>
      <c r="C604" s="77" t="s">
        <v>669</v>
      </c>
      <c r="D604" s="231"/>
      <c r="E604" s="78"/>
      <c r="F604" s="340"/>
      <c r="G604" s="78"/>
      <c r="H604" s="79"/>
      <c r="J604" s="138"/>
      <c r="U604" s="120" t="str">
        <f t="shared" si="151"/>
        <v>DP:</v>
      </c>
    </row>
    <row r="605" spans="1:21" ht="12.75" customHeight="1" x14ac:dyDescent="0.25">
      <c r="A605" s="123">
        <f t="shared" si="155"/>
        <v>8</v>
      </c>
      <c r="B605" s="394">
        <v>43849</v>
      </c>
      <c r="C605" s="79" t="s">
        <v>678</v>
      </c>
      <c r="D605" s="269"/>
      <c r="E605" s="76">
        <f>SUM(E603:E604)</f>
        <v>0</v>
      </c>
      <c r="F605" s="76"/>
      <c r="G605" s="76"/>
      <c r="H605" s="77"/>
      <c r="J605" s="138"/>
      <c r="U605" s="120" t="str">
        <f t="shared" si="151"/>
        <v>ANK:</v>
      </c>
    </row>
    <row r="606" spans="1:21" ht="12.75" customHeight="1" x14ac:dyDescent="0.25">
      <c r="A606" s="120">
        <f t="shared" si="155"/>
        <v>8</v>
      </c>
      <c r="B606" s="392">
        <v>43842</v>
      </c>
      <c r="C606" s="77" t="s">
        <v>669</v>
      </c>
      <c r="D606" s="231"/>
      <c r="E606" s="74"/>
      <c r="F606" s="378"/>
      <c r="G606" s="74"/>
      <c r="H606" s="75"/>
      <c r="J606" s="138"/>
      <c r="U606" s="120" t="str">
        <f t="shared" si="151"/>
        <v>DP:</v>
      </c>
    </row>
    <row r="607" spans="1:21" ht="12.75" customHeight="1" x14ac:dyDescent="0.25">
      <c r="A607" s="120">
        <f t="shared" si="155"/>
        <v>8</v>
      </c>
      <c r="B607" s="392">
        <v>43849</v>
      </c>
      <c r="C607" s="77" t="s">
        <v>669</v>
      </c>
      <c r="D607" s="231"/>
      <c r="E607" s="78"/>
      <c r="F607" s="340"/>
      <c r="G607" s="78"/>
      <c r="H607" s="79"/>
      <c r="J607" s="138"/>
      <c r="U607" s="120" t="str">
        <f t="shared" si="151"/>
        <v>DP:</v>
      </c>
    </row>
    <row r="608" spans="1:21" ht="12.75" customHeight="1" x14ac:dyDescent="0.25">
      <c r="A608" s="123">
        <f t="shared" si="155"/>
        <v>8</v>
      </c>
      <c r="B608" s="394">
        <v>43849</v>
      </c>
      <c r="C608" s="79" t="s">
        <v>678</v>
      </c>
      <c r="D608" s="269"/>
      <c r="E608" s="76">
        <f>SUM(E606:E607)</f>
        <v>0</v>
      </c>
      <c r="F608" s="76"/>
      <c r="G608" s="76"/>
      <c r="H608" s="77"/>
      <c r="J608" s="138"/>
      <c r="U608" s="120" t="str">
        <f t="shared" si="151"/>
        <v>ANK:</v>
      </c>
    </row>
    <row r="609" spans="1:21" ht="12.75" customHeight="1" x14ac:dyDescent="0.25">
      <c r="A609" s="120">
        <f t="shared" si="155"/>
        <v>8</v>
      </c>
      <c r="B609" s="392">
        <v>43856</v>
      </c>
      <c r="C609" s="77" t="s">
        <v>669</v>
      </c>
      <c r="D609" s="231"/>
      <c r="E609" s="74"/>
      <c r="F609" s="378"/>
      <c r="G609" s="74"/>
      <c r="H609" s="75"/>
      <c r="J609" s="138"/>
      <c r="U609" s="120" t="str">
        <f t="shared" si="151"/>
        <v>DP:</v>
      </c>
    </row>
    <row r="610" spans="1:21" ht="12.75" customHeight="1" x14ac:dyDescent="0.25">
      <c r="A610" s="120">
        <f t="shared" si="155"/>
        <v>8</v>
      </c>
      <c r="B610" s="392">
        <v>43863</v>
      </c>
      <c r="C610" s="77" t="s">
        <v>669</v>
      </c>
      <c r="D610" s="231"/>
      <c r="E610" s="78"/>
      <c r="F610" s="340"/>
      <c r="G610" s="78"/>
      <c r="H610" s="79"/>
      <c r="J610" s="138"/>
      <c r="U610" s="120" t="str">
        <f t="shared" si="151"/>
        <v>DP:</v>
      </c>
    </row>
    <row r="611" spans="1:21" ht="12.75" customHeight="1" x14ac:dyDescent="0.25">
      <c r="A611" s="123">
        <f t="shared" si="155"/>
        <v>8</v>
      </c>
      <c r="B611" s="394">
        <v>43863</v>
      </c>
      <c r="C611" s="79" t="s">
        <v>678</v>
      </c>
      <c r="D611" s="269"/>
      <c r="E611" s="76">
        <f>SUM(E609:E610)</f>
        <v>0</v>
      </c>
      <c r="F611" s="76"/>
      <c r="G611" s="76"/>
      <c r="H611" s="77"/>
      <c r="J611" s="138"/>
      <c r="U611" s="120" t="str">
        <f t="shared" si="151"/>
        <v>ANK:</v>
      </c>
    </row>
    <row r="612" spans="1:21" ht="12.75" customHeight="1" x14ac:dyDescent="0.25">
      <c r="A612" s="120">
        <f t="shared" si="155"/>
        <v>9</v>
      </c>
      <c r="B612" s="392">
        <v>43870</v>
      </c>
      <c r="C612" s="77" t="s">
        <v>669</v>
      </c>
      <c r="D612" s="231"/>
      <c r="E612" s="74"/>
      <c r="F612" s="378"/>
      <c r="G612" s="74"/>
      <c r="H612" s="75"/>
      <c r="J612" s="138"/>
      <c r="U612" s="120" t="str">
        <f t="shared" si="151"/>
        <v>DP:</v>
      </c>
    </row>
    <row r="613" spans="1:21" ht="12.75" customHeight="1" x14ac:dyDescent="0.25">
      <c r="A613" s="120">
        <f t="shared" si="155"/>
        <v>9</v>
      </c>
      <c r="B613" s="392">
        <v>43877</v>
      </c>
      <c r="C613" s="77" t="s">
        <v>669</v>
      </c>
      <c r="D613" s="231"/>
      <c r="E613" s="78"/>
      <c r="F613" s="340"/>
      <c r="G613" s="78"/>
      <c r="H613" s="79"/>
      <c r="J613" s="138"/>
      <c r="U613" s="120" t="str">
        <f t="shared" si="151"/>
        <v>DP:</v>
      </c>
    </row>
    <row r="614" spans="1:21" ht="12.75" customHeight="1" x14ac:dyDescent="0.25">
      <c r="A614" s="123">
        <f t="shared" si="155"/>
        <v>9</v>
      </c>
      <c r="B614" s="394">
        <v>43877</v>
      </c>
      <c r="C614" s="79" t="s">
        <v>678</v>
      </c>
      <c r="D614" s="269"/>
      <c r="E614" s="76">
        <f>SUM(E612:E613)</f>
        <v>0</v>
      </c>
      <c r="F614" s="76"/>
      <c r="G614" s="76"/>
      <c r="H614" s="77"/>
      <c r="J614" s="138"/>
      <c r="K614" s="62"/>
      <c r="U614" s="120" t="str">
        <f t="shared" si="151"/>
        <v>ANK:</v>
      </c>
    </row>
    <row r="615" spans="1:21" ht="12.75" customHeight="1" x14ac:dyDescent="0.25">
      <c r="A615" s="120">
        <f t="shared" si="155"/>
        <v>9</v>
      </c>
      <c r="B615" s="392">
        <v>43884</v>
      </c>
      <c r="C615" s="77" t="s">
        <v>669</v>
      </c>
      <c r="D615" s="231"/>
      <c r="E615" s="74"/>
      <c r="F615" s="378"/>
      <c r="G615" s="74"/>
      <c r="H615" s="75"/>
      <c r="J615" s="138"/>
      <c r="U615" s="120" t="str">
        <f t="shared" si="151"/>
        <v>DP:</v>
      </c>
    </row>
    <row r="616" spans="1:21" ht="12.75" customHeight="1" x14ac:dyDescent="0.25">
      <c r="A616" s="120">
        <f t="shared" si="155"/>
        <v>9</v>
      </c>
      <c r="B616" s="392">
        <v>43891</v>
      </c>
      <c r="C616" s="77" t="s">
        <v>669</v>
      </c>
      <c r="D616" s="231"/>
      <c r="E616" s="78"/>
      <c r="F616" s="340"/>
      <c r="G616" s="78"/>
      <c r="H616" s="79"/>
      <c r="I616" s="383"/>
      <c r="J616" s="138"/>
      <c r="U616" s="120" t="str">
        <f t="shared" si="151"/>
        <v>DP:</v>
      </c>
    </row>
    <row r="617" spans="1:21" ht="12.75" customHeight="1" x14ac:dyDescent="0.25">
      <c r="A617" s="123">
        <f t="shared" si="155"/>
        <v>9</v>
      </c>
      <c r="B617" s="394">
        <v>43891</v>
      </c>
      <c r="C617" s="79" t="s">
        <v>678</v>
      </c>
      <c r="D617" s="269"/>
      <c r="E617" s="76">
        <f>SUM(E615:E616)</f>
        <v>0</v>
      </c>
      <c r="F617" s="76"/>
      <c r="G617" s="76"/>
      <c r="H617" s="77"/>
      <c r="J617" s="138"/>
      <c r="U617" s="120" t="str">
        <f t="shared" si="151"/>
        <v>ANK:</v>
      </c>
    </row>
    <row r="618" spans="1:21" ht="12.75" customHeight="1" x14ac:dyDescent="0.25">
      <c r="A618" s="120">
        <f t="shared" si="155"/>
        <v>10</v>
      </c>
      <c r="B618" s="392">
        <v>43898</v>
      </c>
      <c r="C618" s="77" t="s">
        <v>669</v>
      </c>
      <c r="D618" s="231"/>
      <c r="E618" s="74"/>
      <c r="F618" s="378"/>
      <c r="G618" s="74"/>
      <c r="H618" s="75"/>
      <c r="J618" s="138"/>
      <c r="U618" s="120" t="str">
        <f t="shared" si="151"/>
        <v>DP:</v>
      </c>
    </row>
    <row r="619" spans="1:21" ht="12.75" customHeight="1" x14ac:dyDescent="0.25">
      <c r="A619" s="120">
        <f t="shared" si="155"/>
        <v>10</v>
      </c>
      <c r="B619" s="392">
        <v>43905</v>
      </c>
      <c r="C619" s="77" t="s">
        <v>669</v>
      </c>
      <c r="D619" s="231"/>
      <c r="E619" s="78"/>
      <c r="F619" s="340"/>
      <c r="G619" s="78"/>
      <c r="H619" s="79"/>
      <c r="J619" s="138"/>
      <c r="U619" s="120" t="str">
        <f t="shared" si="151"/>
        <v>DP:</v>
      </c>
    </row>
    <row r="620" spans="1:21" ht="12.75" customHeight="1" x14ac:dyDescent="0.25">
      <c r="A620" s="123">
        <f t="shared" si="155"/>
        <v>10</v>
      </c>
      <c r="B620" s="394">
        <v>43905</v>
      </c>
      <c r="C620" s="79" t="s">
        <v>678</v>
      </c>
      <c r="D620" s="269"/>
      <c r="E620" s="76">
        <f>SUM(E618:E619)</f>
        <v>0</v>
      </c>
      <c r="F620" s="76"/>
      <c r="G620" s="76"/>
      <c r="H620" s="77"/>
      <c r="J620" s="138"/>
      <c r="U620" s="120" t="str">
        <f t="shared" si="151"/>
        <v>ANK:</v>
      </c>
    </row>
    <row r="621" spans="1:21" ht="12.75" customHeight="1" x14ac:dyDescent="0.25">
      <c r="A621" s="120">
        <f t="shared" si="155"/>
        <v>10</v>
      </c>
      <c r="B621" s="392">
        <v>43912</v>
      </c>
      <c r="C621" s="77" t="s">
        <v>669</v>
      </c>
      <c r="D621" s="231"/>
      <c r="E621" s="74"/>
      <c r="F621" s="378"/>
      <c r="G621" s="74"/>
      <c r="H621" s="75"/>
      <c r="J621" s="138"/>
      <c r="U621" s="120" t="str">
        <f t="shared" si="151"/>
        <v>DP:</v>
      </c>
    </row>
    <row r="622" spans="1:21" ht="12.75" customHeight="1" x14ac:dyDescent="0.25">
      <c r="A622" s="120">
        <f t="shared" si="155"/>
        <v>10</v>
      </c>
      <c r="B622" s="392">
        <v>43919</v>
      </c>
      <c r="C622" s="77" t="s">
        <v>669</v>
      </c>
      <c r="D622" s="231"/>
      <c r="E622" s="78"/>
      <c r="F622" s="340"/>
      <c r="G622" s="78"/>
      <c r="H622" s="79"/>
      <c r="J622" s="138"/>
      <c r="U622" s="120" t="str">
        <f t="shared" si="151"/>
        <v>DP:</v>
      </c>
    </row>
    <row r="623" spans="1:21" ht="12.75" customHeight="1" x14ac:dyDescent="0.25">
      <c r="A623" s="123">
        <f t="shared" si="155"/>
        <v>10</v>
      </c>
      <c r="B623" s="394">
        <v>43919</v>
      </c>
      <c r="C623" s="79" t="s">
        <v>678</v>
      </c>
      <c r="D623" s="269"/>
      <c r="E623" s="76">
        <f>SUM(E621:E622)</f>
        <v>0</v>
      </c>
      <c r="F623" s="76"/>
      <c r="G623" s="76"/>
      <c r="H623" s="77"/>
      <c r="J623" s="138"/>
      <c r="K623" s="253"/>
      <c r="U623" s="120" t="str">
        <f t="shared" si="151"/>
        <v>ANK:</v>
      </c>
    </row>
    <row r="624" spans="1:21" ht="12.75" customHeight="1" x14ac:dyDescent="0.25">
      <c r="A624" s="120">
        <f t="shared" si="155"/>
        <v>11</v>
      </c>
      <c r="B624" s="392">
        <v>43926</v>
      </c>
      <c r="C624" s="77" t="s">
        <v>669</v>
      </c>
      <c r="D624" s="231"/>
      <c r="E624" s="74"/>
      <c r="F624" s="378"/>
      <c r="G624" s="74"/>
      <c r="H624" s="75"/>
      <c r="J624" s="138"/>
      <c r="K624" s="253"/>
      <c r="U624" s="120" t="str">
        <f t="shared" si="151"/>
        <v>DP:</v>
      </c>
    </row>
    <row r="625" spans="1:21" ht="12.75" customHeight="1" x14ac:dyDescent="0.25">
      <c r="A625" s="120">
        <f t="shared" si="155"/>
        <v>11</v>
      </c>
      <c r="B625" s="392">
        <v>43933</v>
      </c>
      <c r="C625" s="77" t="s">
        <v>669</v>
      </c>
      <c r="D625" s="231"/>
      <c r="E625" s="78"/>
      <c r="F625" s="340"/>
      <c r="G625" s="78"/>
      <c r="H625" s="79"/>
      <c r="J625" s="138"/>
      <c r="K625" s="353"/>
      <c r="L625" s="161"/>
      <c r="M625" s="161"/>
      <c r="U625" s="120" t="str">
        <f t="shared" si="151"/>
        <v>DP:</v>
      </c>
    </row>
    <row r="626" spans="1:21" ht="12.75" customHeight="1" x14ac:dyDescent="0.25">
      <c r="A626" s="123">
        <f t="shared" si="155"/>
        <v>11</v>
      </c>
      <c r="B626" s="394">
        <v>43933</v>
      </c>
      <c r="C626" s="79" t="s">
        <v>678</v>
      </c>
      <c r="D626" s="269"/>
      <c r="E626" s="76">
        <f>SUM(E624:E625)</f>
        <v>0</v>
      </c>
      <c r="F626" s="76"/>
      <c r="G626" s="76"/>
      <c r="H626" s="77"/>
      <c r="J626" s="138"/>
      <c r="K626" s="253"/>
      <c r="U626" s="120" t="str">
        <f t="shared" ref="U626:U635" si="156">C626 &amp;":"&amp; D626</f>
        <v>ANK:</v>
      </c>
    </row>
    <row r="627" spans="1:21" ht="12.75" customHeight="1" x14ac:dyDescent="0.25">
      <c r="A627" s="120">
        <f t="shared" si="155"/>
        <v>11</v>
      </c>
      <c r="B627" s="392">
        <v>43940</v>
      </c>
      <c r="C627" s="77" t="s">
        <v>669</v>
      </c>
      <c r="D627" s="231"/>
      <c r="E627" s="74"/>
      <c r="F627" s="378"/>
      <c r="G627" s="74"/>
      <c r="H627" s="75"/>
      <c r="J627" s="138"/>
      <c r="K627" s="253"/>
      <c r="U627" s="120" t="str">
        <f t="shared" si="156"/>
        <v>DP:</v>
      </c>
    </row>
    <row r="628" spans="1:21" ht="12.75" customHeight="1" x14ac:dyDescent="0.25">
      <c r="A628" s="120">
        <f t="shared" si="155"/>
        <v>11</v>
      </c>
      <c r="B628" s="392">
        <v>43947</v>
      </c>
      <c r="C628" s="77" t="s">
        <v>669</v>
      </c>
      <c r="D628" s="231"/>
      <c r="E628" s="78"/>
      <c r="F628" s="340"/>
      <c r="G628" s="78"/>
      <c r="H628" s="79"/>
      <c r="J628" s="138"/>
      <c r="K628" s="253"/>
      <c r="U628" s="120" t="str">
        <f t="shared" si="156"/>
        <v>DP:</v>
      </c>
    </row>
    <row r="629" spans="1:21" ht="12.75" customHeight="1" x14ac:dyDescent="0.25">
      <c r="A629" s="123">
        <f t="shared" si="155"/>
        <v>11</v>
      </c>
      <c r="B629" s="394">
        <v>43948</v>
      </c>
      <c r="C629" s="79" t="s">
        <v>678</v>
      </c>
      <c r="D629" s="269"/>
      <c r="E629" s="76">
        <f>SUM(E627:E628)</f>
        <v>0</v>
      </c>
      <c r="F629" s="316"/>
      <c r="G629" s="316"/>
      <c r="H629" s="315"/>
      <c r="J629" s="138"/>
      <c r="K629" s="253"/>
      <c r="U629" s="120" t="str">
        <f t="shared" si="156"/>
        <v>ANK:</v>
      </c>
    </row>
    <row r="630" spans="1:21" ht="12.75" customHeight="1" x14ac:dyDescent="0.25">
      <c r="A630" s="120">
        <f t="shared" si="155"/>
        <v>11</v>
      </c>
      <c r="B630" s="392">
        <v>43954</v>
      </c>
      <c r="C630" s="77" t="s">
        <v>669</v>
      </c>
      <c r="D630" s="231"/>
      <c r="E630" s="74"/>
      <c r="F630" s="336"/>
      <c r="G630" s="76"/>
      <c r="H630" s="77"/>
      <c r="J630" s="138"/>
      <c r="K630" s="253"/>
      <c r="U630" s="120" t="str">
        <f t="shared" si="156"/>
        <v>DP:</v>
      </c>
    </row>
    <row r="631" spans="1:21" ht="12.75" customHeight="1" x14ac:dyDescent="0.25">
      <c r="A631" s="120">
        <f t="shared" si="155"/>
        <v>12</v>
      </c>
      <c r="B631" s="392">
        <v>43961</v>
      </c>
      <c r="C631" s="77" t="s">
        <v>669</v>
      </c>
      <c r="D631" s="231"/>
      <c r="E631" s="78"/>
      <c r="F631" s="340"/>
      <c r="G631" s="78"/>
      <c r="H631" s="79"/>
      <c r="J631" s="138"/>
      <c r="K631" s="253"/>
      <c r="U631" s="120" t="str">
        <f t="shared" si="156"/>
        <v>DP:</v>
      </c>
    </row>
    <row r="632" spans="1:21" ht="12.75" customHeight="1" x14ac:dyDescent="0.25">
      <c r="A632" s="123">
        <f t="shared" si="155"/>
        <v>12</v>
      </c>
      <c r="B632" s="394">
        <v>43961</v>
      </c>
      <c r="C632" s="79" t="s">
        <v>678</v>
      </c>
      <c r="D632" s="269"/>
      <c r="E632" s="76">
        <f>SUM(E630:E631)</f>
        <v>0</v>
      </c>
      <c r="F632" s="78"/>
      <c r="G632" s="78"/>
      <c r="H632" s="79"/>
      <c r="J632" s="138"/>
      <c r="K632" s="253"/>
      <c r="U632" s="120" t="str">
        <f t="shared" si="156"/>
        <v>ANK:</v>
      </c>
    </row>
    <row r="633" spans="1:21" ht="12.75" customHeight="1" x14ac:dyDescent="0.25">
      <c r="A633" s="120">
        <f t="shared" si="155"/>
        <v>12</v>
      </c>
      <c r="B633" s="392">
        <v>43968</v>
      </c>
      <c r="C633" s="77" t="s">
        <v>669</v>
      </c>
      <c r="D633" s="231"/>
      <c r="E633" s="74"/>
      <c r="F633" s="378"/>
      <c r="G633" s="74"/>
      <c r="H633" s="75"/>
      <c r="J633" s="138"/>
      <c r="K633" s="253"/>
      <c r="U633" s="120" t="str">
        <f t="shared" si="156"/>
        <v>DP:</v>
      </c>
    </row>
    <row r="634" spans="1:21" ht="12.75" customHeight="1" x14ac:dyDescent="0.25">
      <c r="A634" s="120">
        <f t="shared" si="155"/>
        <v>12</v>
      </c>
      <c r="B634" s="392">
        <v>43975</v>
      </c>
      <c r="C634" s="77" t="s">
        <v>669</v>
      </c>
      <c r="D634" s="231"/>
      <c r="E634" s="78"/>
      <c r="F634" s="340"/>
      <c r="G634" s="78"/>
      <c r="H634" s="79"/>
      <c r="J634" s="138"/>
      <c r="K634" s="253"/>
      <c r="U634" s="120" t="str">
        <f t="shared" si="156"/>
        <v>DP:</v>
      </c>
    </row>
    <row r="635" spans="1:21" ht="12.75" customHeight="1" x14ac:dyDescent="0.25">
      <c r="A635" s="123">
        <f t="shared" si="155"/>
        <v>12</v>
      </c>
      <c r="B635" s="394">
        <v>43975</v>
      </c>
      <c r="C635" s="79" t="s">
        <v>678</v>
      </c>
      <c r="D635" s="269"/>
      <c r="E635" s="316">
        <f>SUM(E633:E634)</f>
        <v>0</v>
      </c>
      <c r="F635" s="78"/>
      <c r="G635" s="78"/>
      <c r="H635" s="79"/>
      <c r="J635" s="138"/>
      <c r="K635" s="253"/>
      <c r="U635" s="120" t="str">
        <f t="shared" si="156"/>
        <v>ANK:</v>
      </c>
    </row>
    <row r="636" spans="1:21" ht="12.75" customHeight="1" x14ac:dyDescent="0.25">
      <c r="A636" s="120">
        <v>1</v>
      </c>
      <c r="B636" s="392">
        <v>43625</v>
      </c>
      <c r="C636" s="77" t="s">
        <v>622</v>
      </c>
      <c r="D636" s="231"/>
      <c r="E636" s="76">
        <v>2.5</v>
      </c>
      <c r="F636" s="76"/>
      <c r="G636" s="76"/>
      <c r="H636" s="77">
        <v>100253</v>
      </c>
      <c r="I636" t="s">
        <v>727</v>
      </c>
      <c r="J636" s="138"/>
      <c r="T636" s="129"/>
      <c r="U636" s="120" t="str">
        <f t="shared" ref="U636:U687" si="157">C636 &amp;":"&amp; A636</f>
        <v>GEO:1</v>
      </c>
    </row>
    <row r="637" spans="1:21" ht="12.75" customHeight="1" x14ac:dyDescent="0.25">
      <c r="A637" s="120">
        <f t="shared" ref="A637:A687" si="158">GETPAYMONTH(DATE(YEAR(B637),MONTH(B637-4)+1,1))</f>
        <v>1</v>
      </c>
      <c r="B637" s="392">
        <v>43632</v>
      </c>
      <c r="C637" s="77" t="s">
        <v>622</v>
      </c>
      <c r="D637" s="231">
        <v>43635</v>
      </c>
      <c r="E637" s="76">
        <v>4</v>
      </c>
      <c r="F637" s="76"/>
      <c r="G637" s="76"/>
      <c r="H637" s="77">
        <v>100253</v>
      </c>
      <c r="J637" s="138"/>
      <c r="T637" s="129"/>
      <c r="U637" s="120" t="str">
        <f t="shared" si="157"/>
        <v>GEO:1</v>
      </c>
    </row>
    <row r="638" spans="1:21" ht="12.75" customHeight="1" x14ac:dyDescent="0.25">
      <c r="A638" s="120">
        <f t="shared" si="158"/>
        <v>1</v>
      </c>
      <c r="B638" s="392">
        <v>43639</v>
      </c>
      <c r="C638" s="77" t="s">
        <v>622</v>
      </c>
      <c r="D638" s="231"/>
      <c r="E638" s="76">
        <v>5</v>
      </c>
      <c r="F638" s="76"/>
      <c r="G638" s="76"/>
      <c r="H638" s="77">
        <v>100254</v>
      </c>
      <c r="J638" s="138"/>
      <c r="T638" s="129"/>
      <c r="U638" s="120" t="str">
        <f t="shared" si="157"/>
        <v>GEO:1</v>
      </c>
    </row>
    <row r="639" spans="1:21" ht="12.75" customHeight="1" x14ac:dyDescent="0.25">
      <c r="A639" s="123">
        <f t="shared" si="158"/>
        <v>1</v>
      </c>
      <c r="B639" s="394">
        <v>43646</v>
      </c>
      <c r="C639" s="79" t="s">
        <v>622</v>
      </c>
      <c r="D639" s="269">
        <v>43656</v>
      </c>
      <c r="E639" s="78">
        <v>5</v>
      </c>
      <c r="F639" s="78"/>
      <c r="G639" s="78"/>
      <c r="H639" s="79">
        <v>100254</v>
      </c>
      <c r="J639" s="138"/>
      <c r="T639" s="129"/>
      <c r="U639" s="120" t="str">
        <f t="shared" si="157"/>
        <v>GEO:1</v>
      </c>
    </row>
    <row r="640" spans="1:21" ht="12.75" customHeight="1" x14ac:dyDescent="0.25">
      <c r="A640" s="267">
        <f t="shared" si="158"/>
        <v>2</v>
      </c>
      <c r="B640" s="393">
        <v>43653</v>
      </c>
      <c r="C640" s="75" t="s">
        <v>622</v>
      </c>
      <c r="D640" s="268"/>
      <c r="E640" s="74">
        <v>5</v>
      </c>
      <c r="F640" s="74"/>
      <c r="G640" s="74"/>
      <c r="H640" s="75">
        <v>100255</v>
      </c>
      <c r="J640" s="138"/>
      <c r="T640" s="129"/>
      <c r="U640" s="120" t="str">
        <f t="shared" si="157"/>
        <v>GEO:2</v>
      </c>
    </row>
    <row r="641" spans="1:21" ht="12.75" customHeight="1" x14ac:dyDescent="0.25">
      <c r="A641" s="120">
        <f t="shared" si="158"/>
        <v>2</v>
      </c>
      <c r="B641" s="392">
        <v>43660</v>
      </c>
      <c r="C641" s="77" t="s">
        <v>622</v>
      </c>
      <c r="D641" s="231"/>
      <c r="E641" s="76">
        <v>4.5</v>
      </c>
      <c r="F641" s="76"/>
      <c r="G641" s="76"/>
      <c r="H641" s="77">
        <v>100255</v>
      </c>
      <c r="I641" t="s">
        <v>764</v>
      </c>
      <c r="J641" s="138"/>
      <c r="T641" s="129"/>
      <c r="U641" s="120" t="str">
        <f t="shared" si="157"/>
        <v>GEO:2</v>
      </c>
    </row>
    <row r="642" spans="1:21" ht="12.75" customHeight="1" x14ac:dyDescent="0.25">
      <c r="A642" s="120">
        <f t="shared" si="158"/>
        <v>2</v>
      </c>
      <c r="B642" s="392">
        <v>43667</v>
      </c>
      <c r="C642" s="77" t="s">
        <v>622</v>
      </c>
      <c r="D642" s="231"/>
      <c r="E642" s="76">
        <v>5</v>
      </c>
      <c r="F642" s="76"/>
      <c r="G642" s="76"/>
      <c r="H642" s="77">
        <v>100256</v>
      </c>
      <c r="J642" s="138"/>
      <c r="T642" s="129"/>
      <c r="U642" s="120" t="str">
        <f t="shared" si="157"/>
        <v>GEO:2</v>
      </c>
    </row>
    <row r="643" spans="1:21" ht="12.75" customHeight="1" x14ac:dyDescent="0.25">
      <c r="A643" s="123">
        <f t="shared" si="158"/>
        <v>2</v>
      </c>
      <c r="B643" s="394">
        <v>43674</v>
      </c>
      <c r="C643" s="79" t="s">
        <v>622</v>
      </c>
      <c r="D643" s="269"/>
      <c r="E643" s="78">
        <v>5</v>
      </c>
      <c r="F643" s="78"/>
      <c r="G643" s="78"/>
      <c r="H643" s="79">
        <v>100256</v>
      </c>
      <c r="J643" s="138"/>
      <c r="T643" s="129"/>
      <c r="U643" s="120" t="str">
        <f t="shared" si="157"/>
        <v>GEO:2</v>
      </c>
    </row>
    <row r="644" spans="1:21" ht="12.75" customHeight="1" x14ac:dyDescent="0.25">
      <c r="A644" s="267">
        <v>3</v>
      </c>
      <c r="B644" s="393">
        <v>43681</v>
      </c>
      <c r="C644" s="75" t="s">
        <v>622</v>
      </c>
      <c r="D644" s="268"/>
      <c r="E644" s="74">
        <v>5</v>
      </c>
      <c r="F644" s="74"/>
      <c r="G644" s="74"/>
      <c r="H644" s="75">
        <v>100257</v>
      </c>
      <c r="J644" s="138"/>
      <c r="T644" s="129"/>
      <c r="U644" s="120" t="str">
        <f t="shared" si="157"/>
        <v>GEO:3</v>
      </c>
    </row>
    <row r="645" spans="1:21" ht="12.75" customHeight="1" x14ac:dyDescent="0.25">
      <c r="A645" s="120">
        <f t="shared" si="158"/>
        <v>3</v>
      </c>
      <c r="B645" s="392">
        <v>43688</v>
      </c>
      <c r="C645" s="77" t="s">
        <v>622</v>
      </c>
      <c r="D645" s="231"/>
      <c r="E645" s="76">
        <v>5</v>
      </c>
      <c r="F645" s="76"/>
      <c r="G645" s="76"/>
      <c r="H645" s="77">
        <v>100257</v>
      </c>
      <c r="J645" s="138"/>
      <c r="T645" s="129"/>
      <c r="U645" s="120" t="str">
        <f t="shared" si="157"/>
        <v>GEO:3</v>
      </c>
    </row>
    <row r="646" spans="1:21" ht="12.75" customHeight="1" x14ac:dyDescent="0.25">
      <c r="A646" s="120">
        <f t="shared" si="158"/>
        <v>3</v>
      </c>
      <c r="B646" s="392">
        <v>43695</v>
      </c>
      <c r="C646" s="77" t="s">
        <v>622</v>
      </c>
      <c r="D646" s="231"/>
      <c r="E646" s="76">
        <v>5</v>
      </c>
      <c r="F646" s="76"/>
      <c r="G646" s="76"/>
      <c r="H646" s="77">
        <v>100257</v>
      </c>
      <c r="J646" s="138"/>
      <c r="T646" s="129"/>
      <c r="U646" s="120" t="str">
        <f t="shared" si="157"/>
        <v>GEO:3</v>
      </c>
    </row>
    <row r="647" spans="1:21" ht="12.75" customHeight="1" x14ac:dyDescent="0.25">
      <c r="A647" s="120">
        <f t="shared" si="158"/>
        <v>3</v>
      </c>
      <c r="B647" s="392">
        <v>43702</v>
      </c>
      <c r="C647" s="77" t="s">
        <v>622</v>
      </c>
      <c r="D647" s="231"/>
      <c r="E647" s="76">
        <v>2</v>
      </c>
      <c r="F647" s="76"/>
      <c r="G647" s="76"/>
      <c r="H647" s="77">
        <v>100257</v>
      </c>
      <c r="I647" t="s">
        <v>870</v>
      </c>
      <c r="J647" s="138"/>
      <c r="T647" s="129"/>
      <c r="U647" s="120" t="str">
        <f t="shared" si="157"/>
        <v>GEO:3</v>
      </c>
    </row>
    <row r="648" spans="1:21" ht="12.75" customHeight="1" x14ac:dyDescent="0.25">
      <c r="A648" s="123">
        <f t="shared" si="158"/>
        <v>3</v>
      </c>
      <c r="B648" s="394">
        <v>43709</v>
      </c>
      <c r="C648" s="79" t="s">
        <v>622</v>
      </c>
      <c r="D648" s="269"/>
      <c r="E648" s="78">
        <v>5</v>
      </c>
      <c r="F648" s="78"/>
      <c r="G648" s="78"/>
      <c r="H648" s="79">
        <v>100258</v>
      </c>
      <c r="J648" s="138"/>
      <c r="T648" s="129"/>
      <c r="U648" s="120" t="str">
        <f t="shared" si="157"/>
        <v>GEO:3</v>
      </c>
    </row>
    <row r="649" spans="1:21" ht="12.75" customHeight="1" x14ac:dyDescent="0.25">
      <c r="A649" s="267">
        <f t="shared" si="158"/>
        <v>4</v>
      </c>
      <c r="B649" s="393">
        <v>43716</v>
      </c>
      <c r="C649" s="75" t="s">
        <v>622</v>
      </c>
      <c r="D649" s="268"/>
      <c r="E649" s="74">
        <v>5</v>
      </c>
      <c r="F649" s="74"/>
      <c r="G649" s="74"/>
      <c r="H649" s="75">
        <v>100258</v>
      </c>
      <c r="J649" s="138"/>
      <c r="T649" s="129"/>
      <c r="U649" s="120" t="str">
        <f t="shared" si="157"/>
        <v>GEO:4</v>
      </c>
    </row>
    <row r="650" spans="1:21" ht="12.75" customHeight="1" x14ac:dyDescent="0.25">
      <c r="A650" s="120">
        <f t="shared" si="158"/>
        <v>4</v>
      </c>
      <c r="B650" s="392">
        <v>43723</v>
      </c>
      <c r="C650" s="77" t="s">
        <v>622</v>
      </c>
      <c r="D650" s="231"/>
      <c r="E650" s="76">
        <v>5</v>
      </c>
      <c r="F650" s="76"/>
      <c r="G650" s="76"/>
      <c r="H650" s="77">
        <v>100259</v>
      </c>
      <c r="J650" s="138"/>
      <c r="T650" s="129"/>
      <c r="U650" s="120" t="str">
        <f t="shared" si="157"/>
        <v>GEO:4</v>
      </c>
    </row>
    <row r="651" spans="1:21" ht="12.75" customHeight="1" x14ac:dyDescent="0.25">
      <c r="A651" s="120">
        <f t="shared" si="158"/>
        <v>4</v>
      </c>
      <c r="B651" s="392">
        <v>43730</v>
      </c>
      <c r="C651" s="77" t="s">
        <v>622</v>
      </c>
      <c r="D651" s="231"/>
      <c r="E651" s="76">
        <v>4.5</v>
      </c>
      <c r="F651" s="76"/>
      <c r="G651" s="76"/>
      <c r="H651" s="77">
        <v>100259</v>
      </c>
      <c r="J651" s="138"/>
      <c r="T651" s="129"/>
      <c r="U651" s="120" t="str">
        <f t="shared" si="157"/>
        <v>GEO:4</v>
      </c>
    </row>
    <row r="652" spans="1:21" ht="12.75" customHeight="1" x14ac:dyDescent="0.25">
      <c r="A652" s="123">
        <f t="shared" si="158"/>
        <v>4</v>
      </c>
      <c r="B652" s="394">
        <v>43737</v>
      </c>
      <c r="C652" s="79" t="s">
        <v>622</v>
      </c>
      <c r="D652" s="269"/>
      <c r="E652" s="78">
        <v>4</v>
      </c>
      <c r="F652" s="78"/>
      <c r="G652" s="78"/>
      <c r="H652" s="79">
        <v>100259</v>
      </c>
      <c r="J652" s="138"/>
      <c r="T652" s="129"/>
      <c r="U652" s="120" t="str">
        <f t="shared" si="157"/>
        <v>GEO:4</v>
      </c>
    </row>
    <row r="653" spans="1:21" ht="12.75" customHeight="1" x14ac:dyDescent="0.25">
      <c r="A653" s="267">
        <f t="shared" si="158"/>
        <v>5</v>
      </c>
      <c r="B653" s="393">
        <v>43744</v>
      </c>
      <c r="C653" s="75" t="s">
        <v>622</v>
      </c>
      <c r="D653" s="268"/>
      <c r="E653" s="74">
        <v>3</v>
      </c>
      <c r="F653" s="74"/>
      <c r="G653" s="74"/>
      <c r="H653" s="75">
        <v>100259</v>
      </c>
      <c r="J653" s="138"/>
      <c r="T653" s="129"/>
      <c r="U653" s="120" t="str">
        <f t="shared" si="157"/>
        <v>GEO:5</v>
      </c>
    </row>
    <row r="654" spans="1:21" ht="12.75" customHeight="1" x14ac:dyDescent="0.25">
      <c r="A654" s="120">
        <f t="shared" si="158"/>
        <v>5</v>
      </c>
      <c r="B654" s="392">
        <v>43751</v>
      </c>
      <c r="C654" s="77" t="s">
        <v>622</v>
      </c>
      <c r="D654" s="231"/>
      <c r="E654" s="76"/>
      <c r="F654" s="76"/>
      <c r="G654" s="76"/>
      <c r="H654" s="77"/>
      <c r="J654" s="138"/>
      <c r="T654" s="129"/>
      <c r="U654" s="120" t="str">
        <f t="shared" si="157"/>
        <v>GEO:5</v>
      </c>
    </row>
    <row r="655" spans="1:21" ht="12.75" customHeight="1" x14ac:dyDescent="0.25">
      <c r="A655" s="120">
        <f t="shared" si="158"/>
        <v>5</v>
      </c>
      <c r="B655" s="392">
        <v>43758</v>
      </c>
      <c r="C655" s="77" t="s">
        <v>622</v>
      </c>
      <c r="D655" s="231"/>
      <c r="E655" s="76"/>
      <c r="F655" s="76"/>
      <c r="G655" s="76"/>
      <c r="H655" s="77"/>
      <c r="J655" s="138"/>
      <c r="T655" s="129"/>
      <c r="U655" s="120" t="str">
        <f t="shared" si="157"/>
        <v>GEO:5</v>
      </c>
    </row>
    <row r="656" spans="1:21" ht="12.75" customHeight="1" x14ac:dyDescent="0.25">
      <c r="A656" s="120">
        <f t="shared" si="158"/>
        <v>5</v>
      </c>
      <c r="B656" s="392">
        <v>43765</v>
      </c>
      <c r="C656" s="77" t="s">
        <v>622</v>
      </c>
      <c r="D656" s="231"/>
      <c r="E656" s="76"/>
      <c r="F656" s="76"/>
      <c r="G656" s="76"/>
      <c r="H656" s="77"/>
      <c r="J656" s="138"/>
      <c r="T656" s="129"/>
      <c r="U656" s="120" t="str">
        <f t="shared" si="157"/>
        <v>GEO:5</v>
      </c>
    </row>
    <row r="657" spans="1:21" ht="12.75" customHeight="1" x14ac:dyDescent="0.25">
      <c r="A657" s="123">
        <f t="shared" si="158"/>
        <v>5</v>
      </c>
      <c r="B657" s="394">
        <v>43772</v>
      </c>
      <c r="C657" s="79" t="s">
        <v>622</v>
      </c>
      <c r="D657" s="269"/>
      <c r="E657" s="78"/>
      <c r="F657" s="78"/>
      <c r="G657" s="78"/>
      <c r="H657" s="79"/>
      <c r="J657" s="138"/>
      <c r="T657" s="129"/>
      <c r="U657" s="120" t="str">
        <f t="shared" si="157"/>
        <v>GEO:5</v>
      </c>
    </row>
    <row r="658" spans="1:21" ht="12.75" customHeight="1" x14ac:dyDescent="0.25">
      <c r="A658" s="267">
        <f t="shared" si="158"/>
        <v>6</v>
      </c>
      <c r="B658" s="393">
        <v>43779</v>
      </c>
      <c r="C658" s="75" t="s">
        <v>622</v>
      </c>
      <c r="D658" s="268"/>
      <c r="E658" s="74"/>
      <c r="F658" s="74"/>
      <c r="G658" s="74"/>
      <c r="H658" s="75"/>
      <c r="J658" s="138"/>
      <c r="T658" s="129"/>
      <c r="U658" s="120" t="str">
        <f t="shared" si="157"/>
        <v>GEO:6</v>
      </c>
    </row>
    <row r="659" spans="1:21" ht="12.75" customHeight="1" x14ac:dyDescent="0.25">
      <c r="A659" s="120">
        <f t="shared" si="158"/>
        <v>6</v>
      </c>
      <c r="B659" s="392">
        <v>43786</v>
      </c>
      <c r="C659" s="77" t="s">
        <v>622</v>
      </c>
      <c r="D659" s="231"/>
      <c r="E659" s="76"/>
      <c r="F659" s="76"/>
      <c r="G659" s="76"/>
      <c r="H659" s="77"/>
      <c r="J659" s="138"/>
      <c r="T659" s="129"/>
      <c r="U659" s="120" t="str">
        <f t="shared" si="157"/>
        <v>GEO:6</v>
      </c>
    </row>
    <row r="660" spans="1:21" ht="12.75" customHeight="1" x14ac:dyDescent="0.25">
      <c r="A660" s="120">
        <f t="shared" si="158"/>
        <v>6</v>
      </c>
      <c r="B660" s="392">
        <v>43793</v>
      </c>
      <c r="C660" s="77" t="s">
        <v>622</v>
      </c>
      <c r="D660" s="231"/>
      <c r="E660" s="76"/>
      <c r="F660" s="76"/>
      <c r="G660" s="76"/>
      <c r="H660" s="77"/>
      <c r="J660" s="138"/>
      <c r="T660" s="129"/>
      <c r="U660" s="120" t="str">
        <f t="shared" si="157"/>
        <v>GEO:6</v>
      </c>
    </row>
    <row r="661" spans="1:21" ht="12.75" customHeight="1" x14ac:dyDescent="0.25">
      <c r="A661" s="123">
        <f t="shared" si="158"/>
        <v>6</v>
      </c>
      <c r="B661" s="394">
        <v>43800</v>
      </c>
      <c r="C661" s="79" t="s">
        <v>622</v>
      </c>
      <c r="D661" s="269"/>
      <c r="E661" s="78"/>
      <c r="F661" s="78"/>
      <c r="G661" s="78"/>
      <c r="H661" s="79"/>
      <c r="J661" s="138"/>
      <c r="T661" s="129"/>
      <c r="U661" s="120" t="str">
        <f t="shared" si="157"/>
        <v>GEO:6</v>
      </c>
    </row>
    <row r="662" spans="1:21" ht="12.75" customHeight="1" x14ac:dyDescent="0.25">
      <c r="A662" s="267">
        <f t="shared" si="158"/>
        <v>7</v>
      </c>
      <c r="B662" s="393">
        <v>43807</v>
      </c>
      <c r="C662" s="75" t="s">
        <v>622</v>
      </c>
      <c r="D662" s="268"/>
      <c r="E662" s="74"/>
      <c r="F662" s="74"/>
      <c r="G662" s="74"/>
      <c r="H662" s="75"/>
      <c r="J662" s="138"/>
      <c r="T662" s="129"/>
      <c r="U662" s="120" t="str">
        <f t="shared" si="157"/>
        <v>GEO:7</v>
      </c>
    </row>
    <row r="663" spans="1:21" ht="12.75" customHeight="1" x14ac:dyDescent="0.25">
      <c r="A663" s="120">
        <f t="shared" si="158"/>
        <v>7</v>
      </c>
      <c r="B663" s="392">
        <v>43814</v>
      </c>
      <c r="C663" s="77" t="s">
        <v>622</v>
      </c>
      <c r="D663" s="231"/>
      <c r="E663" s="76"/>
      <c r="F663" s="76"/>
      <c r="G663" s="76"/>
      <c r="H663" s="77"/>
      <c r="J663" s="138"/>
      <c r="T663" s="129"/>
      <c r="U663" s="120" t="str">
        <f t="shared" si="157"/>
        <v>GEO:7</v>
      </c>
    </row>
    <row r="664" spans="1:21" ht="12.75" customHeight="1" x14ac:dyDescent="0.25">
      <c r="A664" s="120">
        <f t="shared" si="158"/>
        <v>7</v>
      </c>
      <c r="B664" s="392">
        <v>43821</v>
      </c>
      <c r="C664" s="77" t="s">
        <v>622</v>
      </c>
      <c r="D664" s="231"/>
      <c r="E664" s="76"/>
      <c r="F664" s="76"/>
      <c r="G664" s="76"/>
      <c r="H664" s="77"/>
      <c r="J664" s="138"/>
      <c r="T664" s="129"/>
      <c r="U664" s="120" t="str">
        <f t="shared" si="157"/>
        <v>GEO:7</v>
      </c>
    </row>
    <row r="665" spans="1:21" ht="12.75" customHeight="1" x14ac:dyDescent="0.25">
      <c r="A665" s="123">
        <f t="shared" si="158"/>
        <v>7</v>
      </c>
      <c r="B665" s="394">
        <v>43828</v>
      </c>
      <c r="C665" s="79" t="s">
        <v>622</v>
      </c>
      <c r="D665" s="269"/>
      <c r="E665" s="78"/>
      <c r="F665" s="78"/>
      <c r="G665" s="78"/>
      <c r="H665" s="79"/>
      <c r="J665" s="138"/>
      <c r="T665" s="129"/>
      <c r="U665" s="120" t="str">
        <f t="shared" si="157"/>
        <v>GEO:7</v>
      </c>
    </row>
    <row r="666" spans="1:21" ht="12.75" customHeight="1" x14ac:dyDescent="0.25">
      <c r="A666" s="267">
        <f t="shared" si="158"/>
        <v>8</v>
      </c>
      <c r="B666" s="393">
        <v>43835</v>
      </c>
      <c r="C666" s="75" t="s">
        <v>622</v>
      </c>
      <c r="D666" s="268"/>
      <c r="E666" s="74"/>
      <c r="F666" s="74"/>
      <c r="G666" s="74"/>
      <c r="H666" s="75"/>
      <c r="J666" s="138"/>
      <c r="T666" s="129"/>
      <c r="U666" s="120" t="str">
        <f t="shared" si="157"/>
        <v>GEO:8</v>
      </c>
    </row>
    <row r="667" spans="1:21" ht="12.75" customHeight="1" x14ac:dyDescent="0.25">
      <c r="A667" s="120">
        <f t="shared" si="158"/>
        <v>8</v>
      </c>
      <c r="B667" s="392">
        <v>43842</v>
      </c>
      <c r="C667" s="77" t="s">
        <v>622</v>
      </c>
      <c r="D667" s="231"/>
      <c r="E667" s="76"/>
      <c r="F667" s="76"/>
      <c r="G667" s="76"/>
      <c r="H667" s="77"/>
      <c r="J667" s="138"/>
      <c r="T667" s="129"/>
      <c r="U667" s="120" t="str">
        <f t="shared" si="157"/>
        <v>GEO:8</v>
      </c>
    </row>
    <row r="668" spans="1:21" ht="12.75" customHeight="1" x14ac:dyDescent="0.25">
      <c r="A668" s="120">
        <f t="shared" si="158"/>
        <v>8</v>
      </c>
      <c r="B668" s="392">
        <v>43849</v>
      </c>
      <c r="C668" s="77" t="s">
        <v>622</v>
      </c>
      <c r="D668" s="231"/>
      <c r="E668" s="76"/>
      <c r="F668" s="76"/>
      <c r="G668" s="76"/>
      <c r="H668" s="77"/>
      <c r="J668" s="138"/>
      <c r="T668" s="129"/>
      <c r="U668" s="120" t="str">
        <f t="shared" si="157"/>
        <v>GEO:8</v>
      </c>
    </row>
    <row r="669" spans="1:21" ht="12.75" customHeight="1" x14ac:dyDescent="0.25">
      <c r="A669" s="120">
        <f t="shared" si="158"/>
        <v>8</v>
      </c>
      <c r="B669" s="392">
        <v>43856</v>
      </c>
      <c r="C669" s="77" t="s">
        <v>622</v>
      </c>
      <c r="D669" s="231"/>
      <c r="E669" s="76"/>
      <c r="F669" s="76"/>
      <c r="G669" s="76"/>
      <c r="H669" s="77"/>
      <c r="J669" s="138"/>
      <c r="T669" s="129"/>
      <c r="U669" s="120" t="str">
        <f t="shared" si="157"/>
        <v>GEO:8</v>
      </c>
    </row>
    <row r="670" spans="1:21" ht="12.75" customHeight="1" x14ac:dyDescent="0.25">
      <c r="A670" s="123">
        <f t="shared" si="158"/>
        <v>8</v>
      </c>
      <c r="B670" s="394">
        <v>43863</v>
      </c>
      <c r="C670" s="79" t="s">
        <v>622</v>
      </c>
      <c r="D670" s="269"/>
      <c r="E670" s="78"/>
      <c r="F670" s="78"/>
      <c r="G670" s="78"/>
      <c r="H670" s="79"/>
      <c r="J670" s="138"/>
      <c r="T670" s="129"/>
      <c r="U670" s="120" t="str">
        <f t="shared" si="157"/>
        <v>GEO:8</v>
      </c>
    </row>
    <row r="671" spans="1:21" ht="12.75" customHeight="1" x14ac:dyDescent="0.25">
      <c r="A671" s="267">
        <f t="shared" si="158"/>
        <v>9</v>
      </c>
      <c r="B671" s="393">
        <v>43870</v>
      </c>
      <c r="C671" s="75" t="s">
        <v>622</v>
      </c>
      <c r="D671" s="268"/>
      <c r="E671" s="74"/>
      <c r="F671" s="74"/>
      <c r="G671" s="74"/>
      <c r="H671" s="75"/>
      <c r="J671" s="138"/>
      <c r="T671" s="129"/>
      <c r="U671" s="120" t="str">
        <f t="shared" si="157"/>
        <v>GEO:9</v>
      </c>
    </row>
    <row r="672" spans="1:21" ht="12.75" customHeight="1" x14ac:dyDescent="0.25">
      <c r="A672" s="120">
        <f t="shared" si="158"/>
        <v>9</v>
      </c>
      <c r="B672" s="392">
        <v>43877</v>
      </c>
      <c r="C672" s="77" t="s">
        <v>622</v>
      </c>
      <c r="D672" s="231"/>
      <c r="E672" s="76"/>
      <c r="F672" s="76"/>
      <c r="G672" s="76"/>
      <c r="H672" s="77"/>
      <c r="J672" s="138"/>
      <c r="T672" s="129"/>
      <c r="U672" s="120" t="str">
        <f t="shared" si="157"/>
        <v>GEO:9</v>
      </c>
    </row>
    <row r="673" spans="1:21" ht="12.75" customHeight="1" x14ac:dyDescent="0.25">
      <c r="A673" s="120">
        <f t="shared" si="158"/>
        <v>9</v>
      </c>
      <c r="B673" s="392">
        <v>43884</v>
      </c>
      <c r="C673" s="77" t="s">
        <v>622</v>
      </c>
      <c r="D673" s="231"/>
      <c r="E673" s="76"/>
      <c r="F673" s="76"/>
      <c r="G673" s="76"/>
      <c r="H673" s="77"/>
      <c r="J673" s="138"/>
      <c r="T673" s="129"/>
      <c r="U673" s="120" t="str">
        <f t="shared" si="157"/>
        <v>GEO:9</v>
      </c>
    </row>
    <row r="674" spans="1:21" ht="12.75" customHeight="1" x14ac:dyDescent="0.25">
      <c r="A674" s="123">
        <f t="shared" si="158"/>
        <v>9</v>
      </c>
      <c r="B674" s="394">
        <v>43891</v>
      </c>
      <c r="C674" s="79" t="s">
        <v>622</v>
      </c>
      <c r="D674" s="269"/>
      <c r="E674" s="78"/>
      <c r="F674" s="78"/>
      <c r="G674" s="78"/>
      <c r="H674" s="79"/>
      <c r="J674" s="138"/>
      <c r="T674" s="129"/>
      <c r="U674" s="120" t="str">
        <f t="shared" si="157"/>
        <v>GEO:9</v>
      </c>
    </row>
    <row r="675" spans="1:21" ht="12.75" customHeight="1" x14ac:dyDescent="0.25">
      <c r="A675" s="267">
        <f t="shared" si="158"/>
        <v>10</v>
      </c>
      <c r="B675" s="393">
        <v>43898</v>
      </c>
      <c r="C675" s="75" t="s">
        <v>622</v>
      </c>
      <c r="D675" s="268"/>
      <c r="E675" s="74"/>
      <c r="F675" s="74"/>
      <c r="G675" s="74"/>
      <c r="H675" s="75"/>
      <c r="J675" s="138"/>
      <c r="T675" s="129"/>
      <c r="U675" s="120" t="str">
        <f t="shared" si="157"/>
        <v>GEO:10</v>
      </c>
    </row>
    <row r="676" spans="1:21" ht="12.75" customHeight="1" x14ac:dyDescent="0.25">
      <c r="A676" s="120">
        <f t="shared" si="158"/>
        <v>10</v>
      </c>
      <c r="B676" s="392">
        <v>43905</v>
      </c>
      <c r="C676" s="77" t="s">
        <v>622</v>
      </c>
      <c r="D676" s="231"/>
      <c r="E676" s="76"/>
      <c r="F676" s="76"/>
      <c r="G676" s="76"/>
      <c r="H676" s="77"/>
      <c r="J676" s="138"/>
      <c r="T676" s="129"/>
      <c r="U676" s="120" t="str">
        <f t="shared" si="157"/>
        <v>GEO:10</v>
      </c>
    </row>
    <row r="677" spans="1:21" ht="12.75" customHeight="1" x14ac:dyDescent="0.25">
      <c r="A677" s="120">
        <f t="shared" si="158"/>
        <v>10</v>
      </c>
      <c r="B677" s="392">
        <v>43912</v>
      </c>
      <c r="C677" s="77" t="s">
        <v>622</v>
      </c>
      <c r="D677" s="231"/>
      <c r="E677" s="76"/>
      <c r="F677" s="76"/>
      <c r="G677" s="76"/>
      <c r="H677" s="77"/>
      <c r="J677" s="138"/>
      <c r="T677" s="129"/>
      <c r="U677" s="120" t="str">
        <f t="shared" si="157"/>
        <v>GEO:10</v>
      </c>
    </row>
    <row r="678" spans="1:21" ht="12.75" customHeight="1" x14ac:dyDescent="0.25">
      <c r="A678" s="123">
        <f t="shared" si="158"/>
        <v>10</v>
      </c>
      <c r="B678" s="394">
        <v>43919</v>
      </c>
      <c r="C678" s="79" t="s">
        <v>622</v>
      </c>
      <c r="D678" s="269"/>
      <c r="E678" s="78"/>
      <c r="F678" s="78"/>
      <c r="G678" s="78"/>
      <c r="H678" s="79"/>
      <c r="I678" s="328"/>
      <c r="J678" s="138"/>
      <c r="T678" s="129"/>
      <c r="U678" s="120" t="str">
        <f t="shared" si="157"/>
        <v>GEO:10</v>
      </c>
    </row>
    <row r="679" spans="1:21" ht="12.75" customHeight="1" x14ac:dyDescent="0.25">
      <c r="A679" s="267">
        <f t="shared" si="158"/>
        <v>11</v>
      </c>
      <c r="B679" s="393">
        <v>43926</v>
      </c>
      <c r="C679" s="75" t="s">
        <v>622</v>
      </c>
      <c r="D679" s="268"/>
      <c r="E679" s="74"/>
      <c r="F679" s="74"/>
      <c r="G679" s="74"/>
      <c r="H679" s="75"/>
      <c r="I679" s="328"/>
      <c r="J679" s="138"/>
      <c r="T679" s="129"/>
      <c r="U679" s="120" t="str">
        <f t="shared" si="157"/>
        <v>GEO:11</v>
      </c>
    </row>
    <row r="680" spans="1:21" ht="12.75" customHeight="1" x14ac:dyDescent="0.25">
      <c r="A680" s="120">
        <f t="shared" si="158"/>
        <v>11</v>
      </c>
      <c r="B680" s="392">
        <v>43933</v>
      </c>
      <c r="C680" s="77" t="s">
        <v>622</v>
      </c>
      <c r="D680" s="231"/>
      <c r="E680" s="76"/>
      <c r="F680" s="76"/>
      <c r="G680" s="76"/>
      <c r="H680" s="77"/>
      <c r="I680" s="328"/>
      <c r="J680" s="138"/>
      <c r="T680" s="129"/>
      <c r="U680" s="120" t="str">
        <f t="shared" si="157"/>
        <v>GEO:11</v>
      </c>
    </row>
    <row r="681" spans="1:21" ht="12.75" customHeight="1" x14ac:dyDescent="0.25">
      <c r="A681" s="120">
        <f t="shared" si="158"/>
        <v>11</v>
      </c>
      <c r="B681" s="392">
        <v>43940</v>
      </c>
      <c r="C681" s="77" t="s">
        <v>622</v>
      </c>
      <c r="D681" s="231"/>
      <c r="E681" s="76"/>
      <c r="F681" s="76"/>
      <c r="G681" s="76"/>
      <c r="H681" s="77"/>
      <c r="J681" s="138"/>
      <c r="T681" s="129"/>
      <c r="U681" s="120" t="str">
        <f t="shared" si="157"/>
        <v>GEO:11</v>
      </c>
    </row>
    <row r="682" spans="1:21" ht="12.75" customHeight="1" x14ac:dyDescent="0.25">
      <c r="A682" s="123">
        <f t="shared" si="158"/>
        <v>11</v>
      </c>
      <c r="B682" s="394">
        <v>43947</v>
      </c>
      <c r="C682" s="79" t="s">
        <v>622</v>
      </c>
      <c r="D682" s="269"/>
      <c r="E682" s="78"/>
      <c r="F682" s="78"/>
      <c r="G682" s="78"/>
      <c r="H682" s="79"/>
      <c r="J682" s="138"/>
      <c r="T682" s="129"/>
      <c r="U682" s="120" t="str">
        <f t="shared" si="157"/>
        <v>GEO:11</v>
      </c>
    </row>
    <row r="683" spans="1:21" ht="12.75" customHeight="1" x14ac:dyDescent="0.25">
      <c r="A683" s="267">
        <f t="shared" si="158"/>
        <v>11</v>
      </c>
      <c r="B683" s="393">
        <v>43954</v>
      </c>
      <c r="C683" s="75" t="s">
        <v>622</v>
      </c>
      <c r="D683" s="268"/>
      <c r="E683" s="74"/>
      <c r="F683" s="74"/>
      <c r="G683" s="74"/>
      <c r="H683" s="75"/>
      <c r="I683" s="328"/>
      <c r="J683" s="138"/>
      <c r="T683" s="129"/>
      <c r="U683" s="120" t="str">
        <f t="shared" si="157"/>
        <v>GEO:11</v>
      </c>
    </row>
    <row r="684" spans="1:21" ht="12.75" customHeight="1" x14ac:dyDescent="0.25">
      <c r="A684" s="120">
        <f t="shared" si="158"/>
        <v>12</v>
      </c>
      <c r="B684" s="392">
        <v>43961</v>
      </c>
      <c r="C684" s="77" t="s">
        <v>622</v>
      </c>
      <c r="D684" s="231"/>
      <c r="E684" s="76"/>
      <c r="F684" s="76"/>
      <c r="G684" s="76"/>
      <c r="H684" s="77"/>
      <c r="J684" s="138"/>
      <c r="T684" s="129"/>
      <c r="U684" s="120" t="str">
        <f t="shared" si="157"/>
        <v>GEO:12</v>
      </c>
    </row>
    <row r="685" spans="1:21" ht="12.75" customHeight="1" x14ac:dyDescent="0.25">
      <c r="A685" s="120">
        <f t="shared" si="158"/>
        <v>12</v>
      </c>
      <c r="B685" s="392">
        <v>43968</v>
      </c>
      <c r="C685" s="77" t="s">
        <v>622</v>
      </c>
      <c r="D685" s="231"/>
      <c r="E685" s="76"/>
      <c r="F685" s="76"/>
      <c r="G685" s="76"/>
      <c r="H685" s="77"/>
      <c r="J685" s="138"/>
      <c r="L685" s="22"/>
      <c r="T685" s="129"/>
      <c r="U685" s="120" t="str">
        <f t="shared" si="157"/>
        <v>GEO:12</v>
      </c>
    </row>
    <row r="686" spans="1:21" ht="12.75" customHeight="1" x14ac:dyDescent="0.25">
      <c r="A686" s="120">
        <f t="shared" si="158"/>
        <v>12</v>
      </c>
      <c r="B686" s="392">
        <v>43975</v>
      </c>
      <c r="C686" s="77" t="s">
        <v>622</v>
      </c>
      <c r="D686" s="231"/>
      <c r="E686" s="76"/>
      <c r="F686" s="76"/>
      <c r="G686" s="76"/>
      <c r="H686" s="77"/>
      <c r="J686" s="138"/>
      <c r="T686" s="129"/>
      <c r="U686" s="120" t="str">
        <f t="shared" si="157"/>
        <v>GEO:12</v>
      </c>
    </row>
    <row r="687" spans="1:21" ht="12.75" customHeight="1" x14ac:dyDescent="0.25">
      <c r="A687" s="123">
        <f t="shared" si="158"/>
        <v>12</v>
      </c>
      <c r="B687" s="394">
        <v>43982</v>
      </c>
      <c r="C687" s="79" t="s">
        <v>622</v>
      </c>
      <c r="D687" s="269"/>
      <c r="E687" s="78"/>
      <c r="F687" s="78"/>
      <c r="G687" s="78"/>
      <c r="H687" s="79"/>
      <c r="J687" s="138"/>
      <c r="L687" s="22"/>
      <c r="T687" s="129"/>
      <c r="U687" s="120" t="str">
        <f t="shared" si="157"/>
        <v>GEO:12</v>
      </c>
    </row>
  </sheetData>
  <autoFilter ref="C21:C687"/>
  <conditionalFormatting sqref="B10:C10 H18:J19 B14:C14 B6:C6 H6:J6 B18:C19 E6:F6 E10:J10 H14:J14 E14:F14 E18:F19 L14:S14 L10:S10 L6:S6 L18:S19">
    <cfRule type="cellIs" dxfId="32" priority="28" operator="greaterThanOrEqual">
      <formula>0</formula>
    </cfRule>
    <cfRule type="cellIs" dxfId="31" priority="29" operator="lessThan">
      <formula>0</formula>
    </cfRule>
  </conditionalFormatting>
  <conditionalFormatting sqref="K295:L295 K288:L290">
    <cfRule type="expression" dxfId="30" priority="30">
      <formula>IF($V259=#REF!,1,0)</formula>
    </cfRule>
  </conditionalFormatting>
  <conditionalFormatting sqref="Q266 K266:L266">
    <cfRule type="expression" dxfId="29" priority="40">
      <formula>IF($V216=#REF!,1,0)</formula>
    </cfRule>
  </conditionalFormatting>
  <conditionalFormatting sqref="K363:L363 K366:L366">
    <cfRule type="expression" dxfId="28" priority="41">
      <formula>IF(#REF!=#REF!,1,0)</formula>
    </cfRule>
  </conditionalFormatting>
  <conditionalFormatting sqref="K365:L365">
    <cfRule type="expression" dxfId="27" priority="42">
      <formula>IF(#REF!=#REF!,1,0)</formula>
    </cfRule>
  </conditionalFormatting>
  <conditionalFormatting sqref="K364:L364">
    <cfRule type="expression" dxfId="26" priority="43">
      <formula>IF(#REF!=#REF!,1,0)</formula>
    </cfRule>
  </conditionalFormatting>
  <conditionalFormatting sqref="K360:L360">
    <cfRule type="expression" dxfId="25" priority="25">
      <formula>IF(#REF!=#REF!,1,0)</formula>
    </cfRule>
  </conditionalFormatting>
  <conditionalFormatting sqref="K362:L362">
    <cfRule type="expression" dxfId="24" priority="26">
      <formula>IF($V302=#REF!,1,0)</formula>
    </cfRule>
  </conditionalFormatting>
  <conditionalFormatting sqref="K361:L361">
    <cfRule type="expression" dxfId="23" priority="27">
      <formula>IF($V300=#REF!,1,0)</formula>
    </cfRule>
  </conditionalFormatting>
  <conditionalFormatting sqref="K359:L359">
    <cfRule type="expression" dxfId="22" priority="45">
      <formula>IF(#REF!=#REF!,1,0)</formula>
    </cfRule>
  </conditionalFormatting>
  <conditionalFormatting sqref="K299:L302">
    <cfRule type="expression" dxfId="21" priority="48">
      <formula>IF(#REF!=#REF!,1,0)</formula>
    </cfRule>
  </conditionalFormatting>
  <conditionalFormatting sqref="K319:L319">
    <cfRule type="expression" dxfId="20" priority="19">
      <formula>IF($V282=#REF!,1,0)</formula>
    </cfRule>
  </conditionalFormatting>
  <conditionalFormatting sqref="K279:L279 K353:L354 K303:L303 K315:L318">
    <cfRule type="expression" dxfId="19" priority="21">
      <formula>IF($V279=#REF!,1,0)</formula>
    </cfRule>
  </conditionalFormatting>
  <conditionalFormatting sqref="K347:L350 K323:L326">
    <cfRule type="expression" dxfId="18" priority="24">
      <formula>IF(#REF!=#REF!,1,0)</formula>
    </cfRule>
  </conditionalFormatting>
  <conditionalFormatting sqref="K304:L306">
    <cfRule type="expression" dxfId="17" priority="50">
      <formula>IF($V287=#REF!,1,0)</formula>
    </cfRule>
  </conditionalFormatting>
  <conditionalFormatting sqref="K343:L343 K327:L339">
    <cfRule type="expression" dxfId="16" priority="51">
      <formula>IF($V286=#REF!,1,0)</formula>
    </cfRule>
  </conditionalFormatting>
  <conditionalFormatting sqref="K280:L285">
    <cfRule type="expression" dxfId="15" priority="52">
      <formula>IF($V229=#REF!,1,0)</formula>
    </cfRule>
  </conditionalFormatting>
  <conditionalFormatting sqref="K286:L287">
    <cfRule type="expression" dxfId="14" priority="53">
      <formula>IF($V247=#REF!,1,0)</formula>
    </cfRule>
  </conditionalFormatting>
  <conditionalFormatting sqref="K307:L307">
    <cfRule type="expression" dxfId="13" priority="54">
      <formula>IF($V248=#REF!,1,0)</formula>
    </cfRule>
  </conditionalFormatting>
  <conditionalFormatting sqref="K14 K10 K6 K18:K19">
    <cfRule type="cellIs" dxfId="12" priority="6" operator="greaterThanOrEqual">
      <formula>0</formula>
    </cfRule>
    <cfRule type="cellIs" dxfId="11" priority="7" operator="lessThan">
      <formula>0</formula>
    </cfRule>
  </conditionalFormatting>
  <conditionalFormatting sqref="K291:L294">
    <cfRule type="expression" dxfId="10" priority="195">
      <formula>IF($V291=#REF!,1,0)</formula>
    </cfRule>
  </conditionalFormatting>
  <conditionalFormatting sqref="K282:L285">
    <cfRule type="expression" dxfId="9" priority="196">
      <formula>IF($V282=#REF!,1,0)</formula>
    </cfRule>
  </conditionalFormatting>
  <conditionalFormatting sqref="K296:L298">
    <cfRule type="expression" dxfId="8" priority="197">
      <formula>IF($V296=#REF!,1,0)</formula>
    </cfRule>
  </conditionalFormatting>
  <conditionalFormatting sqref="K357:L358">
    <cfRule type="expression" dxfId="7" priority="199">
      <formula>IF($V357=#REF!,1,0)</formula>
    </cfRule>
  </conditionalFormatting>
  <conditionalFormatting sqref="K355:L356 K331:L333 K351:L352 K344:L346 K306:L309 K320:L322 K327:L329 K340:L342">
    <cfRule type="expression" dxfId="6" priority="200">
      <formula>IF($V306=#REF!,1,0)</formula>
    </cfRule>
  </conditionalFormatting>
  <conditionalFormatting sqref="K308:L314">
    <cfRule type="expression" dxfId="5" priority="203">
      <formula>IF($V259=#REF!,1,0)</formula>
    </cfRule>
  </conditionalFormatting>
  <conditionalFormatting sqref="K276:L278">
    <cfRule type="expression" dxfId="4" priority="2">
      <formula>IF($V247=#REF!,1,0)</formula>
    </cfRule>
  </conditionalFormatting>
  <conditionalFormatting sqref="K267:L267">
    <cfRule type="expression" dxfId="3" priority="1">
      <formula>IF($V267=#REF!,1,0)</formula>
    </cfRule>
  </conditionalFormatting>
  <conditionalFormatting sqref="K268:L273 Q267:Q366">
    <cfRule type="expression" dxfId="2" priority="3">
      <formula>IF($V216=#REF!,1,0)</formula>
    </cfRule>
  </conditionalFormatting>
  <conditionalFormatting sqref="K274:L275">
    <cfRule type="expression" dxfId="1" priority="4">
      <formula>IF($V235=#REF!,1,0)</formula>
    </cfRule>
  </conditionalFormatting>
  <conditionalFormatting sqref="K270:L273">
    <cfRule type="expression" dxfId="0" priority="5">
      <formula>IF($V270=#REF!,1,0)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1" r:id="rId4" name="cboEmpId">
          <controlPr autoLine="0" linkedCell="$C$1" listFillRange="payEmpNames" r:id="rId5">
            <anchor moveWithCells="1">
              <from>
                <xdr:col>2</xdr:col>
                <xdr:colOff>30480</xdr:colOff>
                <xdr:row>0</xdr:row>
                <xdr:rowOff>0</xdr:rowOff>
              </from>
              <to>
                <xdr:col>3</xdr:col>
                <xdr:colOff>419100</xdr:colOff>
                <xdr:row>1</xdr:row>
                <xdr:rowOff>45720</xdr:rowOff>
              </to>
            </anchor>
          </controlPr>
        </control>
      </mc:Choice>
      <mc:Fallback>
        <control shapeId="5121" r:id="rId4" name="cboEmpId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O226"/>
  <sheetViews>
    <sheetView showZeros="0" zoomScaleNormal="100" workbookViewId="0">
      <pane ySplit="4" topLeftCell="A14" activePane="bottomLeft" state="frozen"/>
      <selection pane="bottomLeft" activeCell="I28" sqref="I28"/>
    </sheetView>
  </sheetViews>
  <sheetFormatPr defaultRowHeight="13.2" x14ac:dyDescent="0.25"/>
  <cols>
    <col min="1" max="1" width="11.5546875"/>
    <col min="2" max="3" width="11"/>
    <col min="4" max="4" width="5.5546875" style="62"/>
    <col min="5" max="8" width="11.5546875" style="62"/>
    <col min="9" max="9" width="11.5546875" style="272"/>
    <col min="10" max="10" width="5.5546875" style="62"/>
    <col min="11" max="12" width="11.5546875" style="62"/>
    <col min="13" max="13" width="11.5546875" style="272"/>
    <col min="14" max="14" width="11.5546875" style="62"/>
    <col min="15" max="1025" width="11"/>
  </cols>
  <sheetData>
    <row r="1" spans="1:15" s="176" customFormat="1" x14ac:dyDescent="0.25">
      <c r="A1" s="176" t="s">
        <v>445</v>
      </c>
      <c r="C1" s="176" t="s">
        <v>520</v>
      </c>
      <c r="D1" s="61"/>
      <c r="E1" s="61"/>
      <c r="F1" s="61"/>
      <c r="G1" s="61"/>
      <c r="H1" s="61"/>
      <c r="I1" s="272"/>
      <c r="J1" s="61"/>
      <c r="K1" s="273"/>
      <c r="L1" s="273"/>
      <c r="M1" s="272"/>
      <c r="N1" s="273"/>
    </row>
    <row r="2" spans="1:15" x14ac:dyDescent="0.25">
      <c r="A2" s="176" t="s">
        <v>521</v>
      </c>
    </row>
    <row r="3" spans="1:15" s="176" customFormat="1" x14ac:dyDescent="0.25">
      <c r="D3" s="273"/>
      <c r="E3" s="273"/>
      <c r="F3" s="273"/>
      <c r="G3" s="273" t="s">
        <v>37</v>
      </c>
      <c r="H3" s="273" t="s">
        <v>522</v>
      </c>
      <c r="I3" s="274" t="s">
        <v>61</v>
      </c>
      <c r="J3" s="273"/>
      <c r="K3" s="273" t="s">
        <v>523</v>
      </c>
      <c r="L3" s="273" t="s">
        <v>523</v>
      </c>
      <c r="M3" s="274" t="s">
        <v>60</v>
      </c>
      <c r="N3" s="273"/>
    </row>
    <row r="4" spans="1:15" x14ac:dyDescent="0.25">
      <c r="A4" s="176"/>
      <c r="B4" s="176"/>
      <c r="C4" s="176"/>
      <c r="D4" s="273"/>
      <c r="E4" s="273" t="s">
        <v>30</v>
      </c>
      <c r="F4" s="273" t="s">
        <v>53</v>
      </c>
      <c r="G4" s="273" t="s">
        <v>524</v>
      </c>
      <c r="H4" s="273"/>
      <c r="I4" s="275"/>
      <c r="J4" s="273"/>
      <c r="K4" s="273" t="s">
        <v>46</v>
      </c>
      <c r="L4" s="273" t="s">
        <v>525</v>
      </c>
      <c r="M4" s="275"/>
      <c r="N4" s="273"/>
    </row>
    <row r="5" spans="1:15" s="22" customFormat="1" x14ac:dyDescent="0.25">
      <c r="A5" s="276"/>
      <c r="B5" s="22" t="s">
        <v>57</v>
      </c>
      <c r="C5" s="277">
        <v>43659</v>
      </c>
      <c r="D5" s="128"/>
      <c r="E5" s="62">
        <v>265</v>
      </c>
      <c r="F5" s="62">
        <v>70</v>
      </c>
      <c r="G5" s="62">
        <v>580</v>
      </c>
      <c r="H5" s="128">
        <v>2079</v>
      </c>
      <c r="I5" s="272">
        <f t="shared" ref="I5:I52" si="0">SUM(E5:H5)</f>
        <v>2994</v>
      </c>
      <c r="J5" s="128"/>
      <c r="K5" s="128"/>
      <c r="L5" s="128"/>
      <c r="M5" s="272">
        <f t="shared" ref="M5:M52" si="1">SUM(K5:L5)</f>
        <v>0</v>
      </c>
      <c r="N5" s="128" t="s">
        <v>761</v>
      </c>
      <c r="O5" s="22" t="s">
        <v>762</v>
      </c>
    </row>
    <row r="6" spans="1:15" x14ac:dyDescent="0.25">
      <c r="A6" s="176"/>
      <c r="B6" s="22" t="s">
        <v>58</v>
      </c>
      <c r="C6" s="277"/>
      <c r="E6" s="62">
        <v>79</v>
      </c>
      <c r="G6" s="62">
        <v>460</v>
      </c>
      <c r="H6" s="62">
        <v>510</v>
      </c>
      <c r="I6" s="272">
        <f t="shared" si="0"/>
        <v>1049</v>
      </c>
      <c r="M6" s="272">
        <f t="shared" si="1"/>
        <v>0</v>
      </c>
      <c r="N6" s="62" t="s">
        <v>763</v>
      </c>
    </row>
    <row r="7" spans="1:15" x14ac:dyDescent="0.25">
      <c r="A7" s="176"/>
      <c r="B7" s="22" t="s">
        <v>622</v>
      </c>
      <c r="C7" s="277">
        <v>43659</v>
      </c>
      <c r="E7" s="62">
        <v>99</v>
      </c>
      <c r="F7" s="62">
        <v>79.900000000000006</v>
      </c>
      <c r="I7" s="272">
        <f t="shared" si="0"/>
        <v>178.9</v>
      </c>
      <c r="M7" s="272">
        <f t="shared" si="1"/>
        <v>0</v>
      </c>
    </row>
    <row r="8" spans="1:15" x14ac:dyDescent="0.25">
      <c r="A8" s="276"/>
      <c r="B8" t="s">
        <v>657</v>
      </c>
      <c r="C8" s="277">
        <v>43658</v>
      </c>
      <c r="E8" s="62">
        <v>91.9</v>
      </c>
      <c r="F8" s="62">
        <v>35</v>
      </c>
      <c r="G8" s="62">
        <v>28.7</v>
      </c>
      <c r="H8" s="62">
        <v>81.2</v>
      </c>
      <c r="I8" s="272">
        <f t="shared" si="0"/>
        <v>236.8</v>
      </c>
      <c r="M8" s="272">
        <f t="shared" si="1"/>
        <v>0</v>
      </c>
      <c r="N8" s="62" t="s">
        <v>753</v>
      </c>
    </row>
    <row r="9" spans="1:15" x14ac:dyDescent="0.25">
      <c r="B9" s="22" t="s">
        <v>658</v>
      </c>
      <c r="C9" s="277"/>
      <c r="E9" s="62">
        <v>22</v>
      </c>
      <c r="F9" s="62">
        <v>35</v>
      </c>
      <c r="I9" s="272">
        <f t="shared" si="0"/>
        <v>57</v>
      </c>
      <c r="M9" s="272">
        <f t="shared" si="1"/>
        <v>0</v>
      </c>
    </row>
    <row r="10" spans="1:15" x14ac:dyDescent="0.25">
      <c r="A10" s="176"/>
      <c r="C10" s="277"/>
      <c r="I10" s="272">
        <f t="shared" si="0"/>
        <v>0</v>
      </c>
      <c r="M10" s="272">
        <f t="shared" si="1"/>
        <v>0</v>
      </c>
    </row>
    <row r="11" spans="1:15" x14ac:dyDescent="0.25">
      <c r="A11" s="276"/>
      <c r="B11" s="22" t="s">
        <v>57</v>
      </c>
      <c r="C11" s="277">
        <v>43688</v>
      </c>
      <c r="E11" s="62">
        <v>265</v>
      </c>
      <c r="F11" s="62">
        <v>70</v>
      </c>
      <c r="G11" s="62">
        <v>670</v>
      </c>
      <c r="I11" s="272">
        <f t="shared" si="0"/>
        <v>1005</v>
      </c>
      <c r="M11" s="272">
        <f t="shared" si="1"/>
        <v>0</v>
      </c>
    </row>
    <row r="12" spans="1:15" x14ac:dyDescent="0.25">
      <c r="B12" s="22" t="s">
        <v>58</v>
      </c>
      <c r="C12" s="277"/>
      <c r="E12" s="62">
        <v>79</v>
      </c>
      <c r="G12" s="62">
        <v>490</v>
      </c>
      <c r="H12" s="62">
        <v>459</v>
      </c>
      <c r="I12" s="272">
        <f t="shared" si="0"/>
        <v>1028</v>
      </c>
      <c r="M12" s="272">
        <f t="shared" si="1"/>
        <v>0</v>
      </c>
      <c r="N12" s="62" t="s">
        <v>823</v>
      </c>
    </row>
    <row r="13" spans="1:15" x14ac:dyDescent="0.25">
      <c r="B13" s="22" t="s">
        <v>622</v>
      </c>
      <c r="C13" s="398" t="s">
        <v>824</v>
      </c>
      <c r="E13" s="62">
        <v>99</v>
      </c>
      <c r="F13" s="62">
        <v>79.900000000000006</v>
      </c>
      <c r="I13" s="272">
        <f t="shared" si="0"/>
        <v>178.9</v>
      </c>
      <c r="M13" s="272">
        <f t="shared" si="1"/>
        <v>0</v>
      </c>
    </row>
    <row r="14" spans="1:15" x14ac:dyDescent="0.25">
      <c r="B14" s="22" t="s">
        <v>657</v>
      </c>
      <c r="C14" s="277">
        <v>43690</v>
      </c>
      <c r="E14" s="62">
        <v>91.1</v>
      </c>
      <c r="F14" s="62">
        <v>35</v>
      </c>
      <c r="I14" s="272">
        <f t="shared" si="0"/>
        <v>126.1</v>
      </c>
    </row>
    <row r="15" spans="1:15" x14ac:dyDescent="0.25">
      <c r="B15" s="22" t="s">
        <v>658</v>
      </c>
      <c r="C15" s="277"/>
      <c r="E15" s="62">
        <v>26.6</v>
      </c>
      <c r="F15" s="62">
        <v>35</v>
      </c>
      <c r="I15" s="272">
        <f t="shared" si="0"/>
        <v>61.6</v>
      </c>
    </row>
    <row r="16" spans="1:15" x14ac:dyDescent="0.25">
      <c r="B16" s="22" t="s">
        <v>669</v>
      </c>
      <c r="C16" s="277">
        <v>43684</v>
      </c>
      <c r="E16" s="62">
        <v>175</v>
      </c>
      <c r="F16" s="62">
        <v>50</v>
      </c>
      <c r="G16" s="62">
        <v>375</v>
      </c>
      <c r="H16" s="62">
        <v>69</v>
      </c>
      <c r="I16" s="272">
        <f t="shared" si="0"/>
        <v>669</v>
      </c>
      <c r="N16" s="62" t="s">
        <v>808</v>
      </c>
    </row>
    <row r="17" spans="1:14" x14ac:dyDescent="0.25">
      <c r="B17" s="22" t="s">
        <v>678</v>
      </c>
      <c r="C17" s="277"/>
      <c r="E17" s="62">
        <v>150</v>
      </c>
      <c r="F17" s="62">
        <v>51</v>
      </c>
      <c r="G17" s="62">
        <v>350</v>
      </c>
      <c r="H17" s="62">
        <v>129</v>
      </c>
      <c r="I17" s="272">
        <f t="shared" si="0"/>
        <v>680</v>
      </c>
      <c r="N17" s="62" t="s">
        <v>809</v>
      </c>
    </row>
    <row r="18" spans="1:14" x14ac:dyDescent="0.25">
      <c r="C18" s="277"/>
      <c r="I18" s="272">
        <f t="shared" si="0"/>
        <v>0</v>
      </c>
      <c r="M18" s="272">
        <f t="shared" si="1"/>
        <v>0</v>
      </c>
    </row>
    <row r="19" spans="1:14" x14ac:dyDescent="0.25">
      <c r="A19" s="276"/>
      <c r="B19" t="s">
        <v>57</v>
      </c>
      <c r="C19" s="277">
        <v>43721</v>
      </c>
      <c r="E19" s="62">
        <v>265</v>
      </c>
      <c r="F19" s="62">
        <v>70</v>
      </c>
      <c r="G19" s="62">
        <v>690</v>
      </c>
      <c r="H19" s="62">
        <v>4456</v>
      </c>
      <c r="I19" s="272">
        <f t="shared" si="0"/>
        <v>5481</v>
      </c>
      <c r="M19" s="272">
        <f t="shared" si="1"/>
        <v>0</v>
      </c>
      <c r="N19" s="62" t="s">
        <v>874</v>
      </c>
    </row>
    <row r="20" spans="1:14" x14ac:dyDescent="0.25">
      <c r="B20" s="22" t="s">
        <v>58</v>
      </c>
      <c r="C20" s="277"/>
      <c r="E20" s="62">
        <v>79</v>
      </c>
      <c r="G20" s="62">
        <v>560</v>
      </c>
      <c r="H20" s="62">
        <v>920</v>
      </c>
      <c r="I20" s="272">
        <f t="shared" si="0"/>
        <v>1559</v>
      </c>
      <c r="M20" s="272">
        <f t="shared" si="1"/>
        <v>0</v>
      </c>
      <c r="N20" s="62" t="s">
        <v>937</v>
      </c>
    </row>
    <row r="21" spans="1:14" x14ac:dyDescent="0.25">
      <c r="A21" s="138"/>
      <c r="B21" t="s">
        <v>622</v>
      </c>
      <c r="C21" s="277">
        <v>43717</v>
      </c>
      <c r="E21" s="62">
        <v>99</v>
      </c>
      <c r="F21" s="62">
        <v>79.900000000000006</v>
      </c>
      <c r="I21" s="272">
        <f t="shared" si="0"/>
        <v>178.9</v>
      </c>
      <c r="M21" s="272">
        <f t="shared" si="1"/>
        <v>0</v>
      </c>
    </row>
    <row r="22" spans="1:14" x14ac:dyDescent="0.25">
      <c r="A22" s="276"/>
      <c r="B22" s="22" t="s">
        <v>657</v>
      </c>
      <c r="C22" s="277">
        <v>43719</v>
      </c>
      <c r="E22" s="62">
        <v>91.9</v>
      </c>
      <c r="F22" s="62">
        <v>35</v>
      </c>
      <c r="G22" s="62">
        <v>10.25</v>
      </c>
      <c r="H22" s="62">
        <v>2.8</v>
      </c>
      <c r="I22" s="272">
        <f t="shared" ref="I22:I25" si="2">SUM(E22:H22)</f>
        <v>139.95000000000002</v>
      </c>
      <c r="M22" s="272">
        <f t="shared" ref="M22:M23" si="3">SUM(K22:L22)</f>
        <v>0</v>
      </c>
      <c r="N22" s="62" t="s">
        <v>883</v>
      </c>
    </row>
    <row r="23" spans="1:14" x14ac:dyDescent="0.25">
      <c r="B23" s="22" t="s">
        <v>658</v>
      </c>
      <c r="C23" s="277"/>
      <c r="E23" s="62">
        <v>26.6</v>
      </c>
      <c r="F23" s="62">
        <v>35</v>
      </c>
      <c r="I23" s="272">
        <f t="shared" si="2"/>
        <v>61.6</v>
      </c>
      <c r="M23" s="272">
        <f t="shared" si="3"/>
        <v>0</v>
      </c>
    </row>
    <row r="24" spans="1:14" x14ac:dyDescent="0.25">
      <c r="B24" s="22" t="s">
        <v>669</v>
      </c>
      <c r="C24" s="277">
        <v>43713</v>
      </c>
      <c r="E24" s="62">
        <v>175</v>
      </c>
      <c r="F24" s="62">
        <v>50</v>
      </c>
      <c r="G24" s="62">
        <v>350</v>
      </c>
      <c r="I24" s="272">
        <f t="shared" si="2"/>
        <v>575</v>
      </c>
    </row>
    <row r="25" spans="1:14" x14ac:dyDescent="0.25">
      <c r="B25" s="22" t="s">
        <v>678</v>
      </c>
      <c r="C25" s="277"/>
      <c r="E25" s="62">
        <v>150</v>
      </c>
      <c r="F25" s="62">
        <v>51</v>
      </c>
      <c r="G25" s="62">
        <v>350</v>
      </c>
      <c r="I25" s="272">
        <f t="shared" si="2"/>
        <v>551</v>
      </c>
    </row>
    <row r="26" spans="1:14" x14ac:dyDescent="0.25">
      <c r="C26" s="277"/>
      <c r="I26" s="272">
        <f t="shared" si="0"/>
        <v>0</v>
      </c>
      <c r="M26" s="272">
        <f t="shared" si="1"/>
        <v>0</v>
      </c>
    </row>
    <row r="27" spans="1:14" x14ac:dyDescent="0.25">
      <c r="A27" s="276"/>
      <c r="B27" t="s">
        <v>57</v>
      </c>
      <c r="C27" s="277">
        <v>43752</v>
      </c>
      <c r="E27" s="62">
        <v>265</v>
      </c>
      <c r="F27" s="62">
        <v>70</v>
      </c>
      <c r="G27" s="62">
        <v>640</v>
      </c>
      <c r="H27" s="62">
        <v>1800</v>
      </c>
      <c r="I27" s="272">
        <f t="shared" si="0"/>
        <v>2775</v>
      </c>
      <c r="M27" s="272">
        <f t="shared" si="1"/>
        <v>0</v>
      </c>
      <c r="N27" s="62" t="s">
        <v>940</v>
      </c>
    </row>
    <row r="28" spans="1:14" x14ac:dyDescent="0.25">
      <c r="B28" s="22" t="s">
        <v>58</v>
      </c>
      <c r="C28" s="277"/>
      <c r="E28" s="62">
        <v>79</v>
      </c>
      <c r="G28" s="62">
        <v>590</v>
      </c>
      <c r="H28" s="62">
        <v>35</v>
      </c>
      <c r="I28" s="272">
        <f t="shared" si="0"/>
        <v>704</v>
      </c>
      <c r="M28" s="272">
        <f t="shared" si="1"/>
        <v>0</v>
      </c>
      <c r="N28" s="62" t="s">
        <v>941</v>
      </c>
    </row>
    <row r="29" spans="1:14" x14ac:dyDescent="0.25">
      <c r="A29" s="138"/>
      <c r="B29" t="s">
        <v>622</v>
      </c>
      <c r="C29" s="277">
        <v>43750</v>
      </c>
      <c r="E29" s="62">
        <v>99</v>
      </c>
      <c r="F29" s="62">
        <v>79.900000000000006</v>
      </c>
      <c r="I29" s="272">
        <f t="shared" ref="I29:I33" si="4">SUM(E29:H29)</f>
        <v>178.9</v>
      </c>
      <c r="M29" s="272">
        <f t="shared" ref="M29:M31" si="5">SUM(K29:L29)</f>
        <v>0</v>
      </c>
    </row>
    <row r="30" spans="1:14" x14ac:dyDescent="0.25">
      <c r="A30" s="276"/>
      <c r="B30" t="s">
        <v>657</v>
      </c>
      <c r="C30" s="277">
        <v>43751</v>
      </c>
      <c r="E30" s="62">
        <v>91.9</v>
      </c>
      <c r="F30" s="62">
        <v>35</v>
      </c>
      <c r="G30" s="62">
        <v>50</v>
      </c>
      <c r="I30" s="272">
        <f t="shared" si="4"/>
        <v>176.9</v>
      </c>
      <c r="M30" s="272">
        <f t="shared" si="5"/>
        <v>0</v>
      </c>
    </row>
    <row r="31" spans="1:14" x14ac:dyDescent="0.25">
      <c r="B31" s="22" t="s">
        <v>658</v>
      </c>
      <c r="C31" s="277"/>
      <c r="E31" s="62">
        <v>26.6</v>
      </c>
      <c r="F31" s="62">
        <v>35</v>
      </c>
      <c r="H31" s="62">
        <v>313.54000000000002</v>
      </c>
      <c r="I31" s="272">
        <f t="shared" si="4"/>
        <v>375.14000000000004</v>
      </c>
      <c r="M31" s="272">
        <f t="shared" si="5"/>
        <v>0</v>
      </c>
      <c r="N31" s="349" t="s">
        <v>938</v>
      </c>
    </row>
    <row r="32" spans="1:14" x14ac:dyDescent="0.25">
      <c r="B32" s="22" t="s">
        <v>669</v>
      </c>
      <c r="C32" s="277">
        <v>43740</v>
      </c>
      <c r="E32" s="62">
        <v>175</v>
      </c>
      <c r="F32" s="62">
        <v>50</v>
      </c>
      <c r="G32" s="62">
        <v>375</v>
      </c>
      <c r="I32" s="272">
        <f t="shared" si="4"/>
        <v>600</v>
      </c>
    </row>
    <row r="33" spans="1:14" x14ac:dyDescent="0.25">
      <c r="B33" s="22" t="s">
        <v>678</v>
      </c>
      <c r="C33" s="277"/>
      <c r="E33" s="62">
        <v>150</v>
      </c>
      <c r="F33" s="62">
        <v>51</v>
      </c>
      <c r="G33" s="62">
        <v>325</v>
      </c>
      <c r="I33" s="272">
        <f t="shared" si="4"/>
        <v>526</v>
      </c>
    </row>
    <row r="34" spans="1:14" x14ac:dyDescent="0.25">
      <c r="C34" s="277"/>
      <c r="I34" s="272">
        <f t="shared" si="0"/>
        <v>0</v>
      </c>
      <c r="M34" s="272">
        <f t="shared" si="1"/>
        <v>0</v>
      </c>
    </row>
    <row r="35" spans="1:14" x14ac:dyDescent="0.25">
      <c r="A35" s="276"/>
      <c r="B35" s="22" t="s">
        <v>57</v>
      </c>
      <c r="C35" s="277"/>
      <c r="I35" s="272">
        <f t="shared" si="0"/>
        <v>0</v>
      </c>
      <c r="M35" s="272">
        <f t="shared" si="1"/>
        <v>0</v>
      </c>
      <c r="N35" s="349"/>
    </row>
    <row r="36" spans="1:14" x14ac:dyDescent="0.25">
      <c r="B36" s="22" t="s">
        <v>58</v>
      </c>
      <c r="C36" s="277"/>
      <c r="I36" s="272">
        <f t="shared" si="0"/>
        <v>0</v>
      </c>
      <c r="M36" s="272">
        <f t="shared" si="1"/>
        <v>0</v>
      </c>
      <c r="N36" s="349"/>
    </row>
    <row r="37" spans="1:14" x14ac:dyDescent="0.25">
      <c r="A37" s="138"/>
      <c r="B37" t="s">
        <v>622</v>
      </c>
      <c r="C37" s="277"/>
      <c r="I37" s="272">
        <f t="shared" ref="I37:I39" si="6">SUM(E37:H37)</f>
        <v>0</v>
      </c>
      <c r="M37" s="272">
        <f t="shared" si="1"/>
        <v>0</v>
      </c>
    </row>
    <row r="38" spans="1:14" x14ac:dyDescent="0.25">
      <c r="A38" s="276"/>
      <c r="B38" s="22" t="s">
        <v>657</v>
      </c>
      <c r="C38" s="277"/>
      <c r="I38" s="272">
        <f t="shared" si="6"/>
        <v>0</v>
      </c>
      <c r="M38" s="272">
        <f t="shared" ref="M38:M39" si="7">SUM(K38:L38)</f>
        <v>0</v>
      </c>
    </row>
    <row r="39" spans="1:14" x14ac:dyDescent="0.25">
      <c r="B39" s="22" t="s">
        <v>658</v>
      </c>
      <c r="C39" s="277"/>
      <c r="I39" s="272">
        <f t="shared" si="6"/>
        <v>0</v>
      </c>
      <c r="M39" s="272">
        <f t="shared" si="7"/>
        <v>0</v>
      </c>
    </row>
    <row r="40" spans="1:14" x14ac:dyDescent="0.25">
      <c r="B40" s="22" t="s">
        <v>669</v>
      </c>
      <c r="C40" s="277"/>
      <c r="I40" s="272">
        <f t="shared" si="0"/>
        <v>0</v>
      </c>
    </row>
    <row r="41" spans="1:14" x14ac:dyDescent="0.25">
      <c r="B41" s="22" t="s">
        <v>678</v>
      </c>
      <c r="C41" s="277"/>
      <c r="I41" s="272">
        <f t="shared" si="0"/>
        <v>0</v>
      </c>
    </row>
    <row r="42" spans="1:14" x14ac:dyDescent="0.25">
      <c r="C42" s="277"/>
      <c r="I42" s="272">
        <f t="shared" si="0"/>
        <v>0</v>
      </c>
      <c r="M42" s="272">
        <f t="shared" si="1"/>
        <v>0</v>
      </c>
    </row>
    <row r="43" spans="1:14" x14ac:dyDescent="0.25">
      <c r="A43" s="276"/>
      <c r="B43" s="22" t="s">
        <v>57</v>
      </c>
      <c r="C43" s="277"/>
      <c r="I43" s="272">
        <f t="shared" si="0"/>
        <v>0</v>
      </c>
      <c r="M43" s="272">
        <f t="shared" si="1"/>
        <v>0</v>
      </c>
    </row>
    <row r="44" spans="1:14" x14ac:dyDescent="0.25">
      <c r="B44" s="22" t="s">
        <v>58</v>
      </c>
      <c r="C44" s="277"/>
      <c r="I44" s="272">
        <f t="shared" si="0"/>
        <v>0</v>
      </c>
      <c r="M44" s="272">
        <f t="shared" si="1"/>
        <v>0</v>
      </c>
    </row>
    <row r="45" spans="1:14" x14ac:dyDescent="0.25">
      <c r="A45" s="138"/>
      <c r="B45" t="s">
        <v>622</v>
      </c>
      <c r="C45" s="277"/>
      <c r="I45" s="272">
        <f t="shared" si="0"/>
        <v>0</v>
      </c>
      <c r="M45" s="272">
        <f t="shared" ref="M45:M47" si="8">SUM(K45:L45)</f>
        <v>0</v>
      </c>
    </row>
    <row r="46" spans="1:14" x14ac:dyDescent="0.25">
      <c r="A46" s="276"/>
      <c r="B46" s="22" t="s">
        <v>657</v>
      </c>
      <c r="C46" s="277"/>
      <c r="I46" s="272">
        <f t="shared" ref="I46:I49" si="9">SUM(E46:H46)</f>
        <v>0</v>
      </c>
      <c r="M46" s="272">
        <f t="shared" si="8"/>
        <v>0</v>
      </c>
    </row>
    <row r="47" spans="1:14" x14ac:dyDescent="0.25">
      <c r="B47" s="22" t="s">
        <v>658</v>
      </c>
      <c r="C47" s="277"/>
      <c r="I47" s="272">
        <f t="shared" si="9"/>
        <v>0</v>
      </c>
      <c r="M47" s="272">
        <f t="shared" si="8"/>
        <v>0</v>
      </c>
    </row>
    <row r="48" spans="1:14" x14ac:dyDescent="0.25">
      <c r="B48" s="22" t="s">
        <v>669</v>
      </c>
      <c r="C48" s="277"/>
      <c r="I48" s="272">
        <f t="shared" si="9"/>
        <v>0</v>
      </c>
    </row>
    <row r="49" spans="1:14" x14ac:dyDescent="0.25">
      <c r="B49" s="22" t="s">
        <v>678</v>
      </c>
      <c r="C49" s="277"/>
      <c r="I49" s="272">
        <f t="shared" si="9"/>
        <v>0</v>
      </c>
    </row>
    <row r="50" spans="1:14" x14ac:dyDescent="0.25">
      <c r="C50" s="277"/>
      <c r="I50" s="272">
        <f t="shared" si="0"/>
        <v>0</v>
      </c>
      <c r="M50" s="272">
        <f t="shared" si="1"/>
        <v>0</v>
      </c>
    </row>
    <row r="51" spans="1:14" x14ac:dyDescent="0.25">
      <c r="B51" s="22" t="s">
        <v>57</v>
      </c>
      <c r="C51" s="277"/>
      <c r="I51" s="272">
        <f t="shared" si="0"/>
        <v>0</v>
      </c>
      <c r="M51" s="272">
        <f t="shared" si="1"/>
        <v>0</v>
      </c>
      <c r="N51" s="349"/>
    </row>
    <row r="52" spans="1:14" x14ac:dyDescent="0.25">
      <c r="B52" s="22" t="s">
        <v>58</v>
      </c>
      <c r="C52" s="277"/>
      <c r="I52" s="272">
        <f t="shared" si="0"/>
        <v>0</v>
      </c>
      <c r="M52" s="272">
        <f t="shared" si="1"/>
        <v>0</v>
      </c>
      <c r="N52" s="349"/>
    </row>
    <row r="53" spans="1:14" x14ac:dyDescent="0.25">
      <c r="A53" s="138"/>
      <c r="B53" t="s">
        <v>622</v>
      </c>
      <c r="C53" s="277"/>
      <c r="I53" s="272">
        <f t="shared" ref="I53:I94" si="10">SUM(E53:H53)</f>
        <v>0</v>
      </c>
      <c r="M53" s="272">
        <f t="shared" ref="M53:M94" si="11">SUM(K53:L53)</f>
        <v>0</v>
      </c>
    </row>
    <row r="54" spans="1:14" x14ac:dyDescent="0.25">
      <c r="A54" s="276"/>
      <c r="B54" s="22" t="s">
        <v>657</v>
      </c>
      <c r="C54" s="277"/>
      <c r="I54" s="272">
        <f t="shared" si="10"/>
        <v>0</v>
      </c>
      <c r="M54" s="272">
        <f t="shared" si="11"/>
        <v>0</v>
      </c>
      <c r="N54" s="349"/>
    </row>
    <row r="55" spans="1:14" x14ac:dyDescent="0.25">
      <c r="B55" s="22" t="s">
        <v>658</v>
      </c>
      <c r="C55" s="277"/>
      <c r="I55" s="272">
        <f t="shared" si="10"/>
        <v>0</v>
      </c>
      <c r="M55" s="272">
        <f t="shared" si="11"/>
        <v>0</v>
      </c>
    </row>
    <row r="56" spans="1:14" x14ac:dyDescent="0.25">
      <c r="C56" s="277"/>
      <c r="I56" s="272">
        <f t="shared" si="10"/>
        <v>0</v>
      </c>
      <c r="M56" s="272">
        <f t="shared" si="11"/>
        <v>0</v>
      </c>
    </row>
    <row r="57" spans="1:14" x14ac:dyDescent="0.25">
      <c r="B57" s="22" t="s">
        <v>57</v>
      </c>
      <c r="C57" s="277"/>
      <c r="I57" s="272">
        <f t="shared" si="10"/>
        <v>0</v>
      </c>
      <c r="M57" s="272">
        <f t="shared" si="11"/>
        <v>0</v>
      </c>
      <c r="N57" s="278"/>
    </row>
    <row r="58" spans="1:14" x14ac:dyDescent="0.25">
      <c r="B58" s="22" t="s">
        <v>58</v>
      </c>
      <c r="C58" s="277"/>
      <c r="I58" s="272">
        <f t="shared" si="10"/>
        <v>0</v>
      </c>
      <c r="M58" s="272">
        <f t="shared" si="11"/>
        <v>0</v>
      </c>
      <c r="N58" s="278"/>
    </row>
    <row r="59" spans="1:14" x14ac:dyDescent="0.25">
      <c r="A59" s="138"/>
      <c r="B59" t="s">
        <v>622</v>
      </c>
      <c r="C59" s="277"/>
      <c r="I59" s="272">
        <f t="shared" ref="I59:I63" si="12">SUM(E59:H59)</f>
        <v>0</v>
      </c>
      <c r="M59" s="272">
        <f t="shared" ref="M59:M61" si="13">SUM(K59:L59)</f>
        <v>0</v>
      </c>
    </row>
    <row r="60" spans="1:14" x14ac:dyDescent="0.25">
      <c r="A60" s="276"/>
      <c r="B60" s="22" t="s">
        <v>657</v>
      </c>
      <c r="C60" s="277"/>
      <c r="I60" s="272">
        <f t="shared" si="12"/>
        <v>0</v>
      </c>
      <c r="M60" s="272">
        <f t="shared" si="13"/>
        <v>0</v>
      </c>
    </row>
    <row r="61" spans="1:14" x14ac:dyDescent="0.25">
      <c r="B61" s="22" t="s">
        <v>658</v>
      </c>
      <c r="C61" s="277"/>
      <c r="I61" s="272">
        <f t="shared" si="12"/>
        <v>0</v>
      </c>
      <c r="M61" s="272">
        <f t="shared" si="13"/>
        <v>0</v>
      </c>
    </row>
    <row r="62" spans="1:14" x14ac:dyDescent="0.25">
      <c r="B62" s="22" t="s">
        <v>669</v>
      </c>
      <c r="C62" s="277"/>
      <c r="I62" s="272">
        <f t="shared" si="12"/>
        <v>0</v>
      </c>
    </row>
    <row r="63" spans="1:14" x14ac:dyDescent="0.25">
      <c r="B63" s="22" t="s">
        <v>678</v>
      </c>
      <c r="C63" s="277"/>
      <c r="I63" s="272">
        <f t="shared" si="12"/>
        <v>0</v>
      </c>
    </row>
    <row r="64" spans="1:14" x14ac:dyDescent="0.25">
      <c r="C64" s="277"/>
      <c r="I64" s="272">
        <f t="shared" si="10"/>
        <v>0</v>
      </c>
      <c r="M64" s="272">
        <f t="shared" si="11"/>
        <v>0</v>
      </c>
    </row>
    <row r="65" spans="1:14" x14ac:dyDescent="0.25">
      <c r="B65" s="22" t="s">
        <v>57</v>
      </c>
      <c r="C65" s="277"/>
      <c r="I65" s="272">
        <f>SUM(E65:H65)</f>
        <v>0</v>
      </c>
      <c r="M65" s="272">
        <f>SUM(K65:L65)</f>
        <v>0</v>
      </c>
    </row>
    <row r="66" spans="1:14" x14ac:dyDescent="0.25">
      <c r="B66" s="22" t="s">
        <v>58</v>
      </c>
      <c r="C66" s="277"/>
      <c r="I66" s="272">
        <f>SUM(E66:H66)</f>
        <v>0</v>
      </c>
      <c r="M66" s="272">
        <f>SUM(K66:L66)</f>
        <v>0</v>
      </c>
    </row>
    <row r="67" spans="1:14" x14ac:dyDescent="0.25">
      <c r="A67" s="138"/>
      <c r="B67" t="s">
        <v>622</v>
      </c>
      <c r="C67" s="277"/>
      <c r="I67" s="272">
        <f t="shared" ref="I67:I71" si="14">SUM(E67:H67)</f>
        <v>0</v>
      </c>
      <c r="M67" s="272">
        <f t="shared" ref="M67:M69" si="15">SUM(K67:L67)</f>
        <v>0</v>
      </c>
    </row>
    <row r="68" spans="1:14" x14ac:dyDescent="0.25">
      <c r="A68" s="276"/>
      <c r="B68" s="22" t="s">
        <v>657</v>
      </c>
      <c r="C68" s="277"/>
      <c r="I68" s="272">
        <f t="shared" si="14"/>
        <v>0</v>
      </c>
      <c r="M68" s="272">
        <f t="shared" si="15"/>
        <v>0</v>
      </c>
    </row>
    <row r="69" spans="1:14" x14ac:dyDescent="0.25">
      <c r="B69" s="22" t="s">
        <v>658</v>
      </c>
      <c r="C69" s="277"/>
      <c r="I69" s="272">
        <f t="shared" si="14"/>
        <v>0</v>
      </c>
      <c r="M69" s="272">
        <f t="shared" si="15"/>
        <v>0</v>
      </c>
    </row>
    <row r="70" spans="1:14" x14ac:dyDescent="0.25">
      <c r="B70" s="22" t="s">
        <v>669</v>
      </c>
      <c r="C70" s="277"/>
      <c r="I70" s="272">
        <f t="shared" si="14"/>
        <v>0</v>
      </c>
    </row>
    <row r="71" spans="1:14" x14ac:dyDescent="0.25">
      <c r="B71" s="22" t="s">
        <v>678</v>
      </c>
      <c r="C71" s="277"/>
      <c r="I71" s="272">
        <f t="shared" si="14"/>
        <v>0</v>
      </c>
    </row>
    <row r="72" spans="1:14" x14ac:dyDescent="0.25">
      <c r="C72" s="277"/>
      <c r="I72" s="272">
        <f t="shared" si="10"/>
        <v>0</v>
      </c>
      <c r="M72" s="272">
        <f t="shared" si="11"/>
        <v>0</v>
      </c>
    </row>
    <row r="73" spans="1:14" x14ac:dyDescent="0.25">
      <c r="B73" s="22" t="s">
        <v>57</v>
      </c>
      <c r="C73" s="277"/>
      <c r="I73" s="272">
        <f t="shared" si="10"/>
        <v>0</v>
      </c>
      <c r="M73" s="272">
        <f t="shared" si="11"/>
        <v>0</v>
      </c>
      <c r="N73" s="294"/>
    </row>
    <row r="74" spans="1:14" x14ac:dyDescent="0.25">
      <c r="B74" s="22" t="s">
        <v>58</v>
      </c>
      <c r="C74" s="277"/>
      <c r="I74" s="272">
        <f t="shared" si="10"/>
        <v>0</v>
      </c>
      <c r="M74" s="272">
        <f t="shared" si="11"/>
        <v>0</v>
      </c>
      <c r="N74" s="294"/>
    </row>
    <row r="75" spans="1:14" x14ac:dyDescent="0.25">
      <c r="A75" s="138"/>
      <c r="B75" t="s">
        <v>622</v>
      </c>
      <c r="C75" s="277"/>
      <c r="I75" s="272">
        <f t="shared" si="10"/>
        <v>0</v>
      </c>
      <c r="M75" s="272">
        <f t="shared" si="11"/>
        <v>0</v>
      </c>
    </row>
    <row r="76" spans="1:14" x14ac:dyDescent="0.25">
      <c r="A76" s="276"/>
      <c r="B76" s="22" t="s">
        <v>657</v>
      </c>
      <c r="C76" s="277"/>
      <c r="I76" s="272">
        <f t="shared" ref="I76:I79" si="16">SUM(E76:H76)</f>
        <v>0</v>
      </c>
      <c r="M76" s="272">
        <f t="shared" ref="M76:M77" si="17">SUM(K76:L76)</f>
        <v>0</v>
      </c>
    </row>
    <row r="77" spans="1:14" x14ac:dyDescent="0.25">
      <c r="B77" s="22" t="s">
        <v>658</v>
      </c>
      <c r="C77" s="277"/>
      <c r="I77" s="272">
        <f t="shared" si="16"/>
        <v>0</v>
      </c>
      <c r="M77" s="272">
        <f t="shared" si="17"/>
        <v>0</v>
      </c>
    </row>
    <row r="78" spans="1:14" x14ac:dyDescent="0.25">
      <c r="B78" s="22" t="s">
        <v>669</v>
      </c>
      <c r="C78" s="277"/>
      <c r="I78" s="272">
        <f t="shared" si="16"/>
        <v>0</v>
      </c>
    </row>
    <row r="79" spans="1:14" x14ac:dyDescent="0.25">
      <c r="B79" s="22" t="s">
        <v>678</v>
      </c>
      <c r="C79" s="277"/>
      <c r="I79" s="272">
        <f t="shared" si="16"/>
        <v>0</v>
      </c>
    </row>
    <row r="80" spans="1:14" x14ac:dyDescent="0.25">
      <c r="C80" s="277"/>
      <c r="I80" s="272">
        <f t="shared" si="10"/>
        <v>0</v>
      </c>
      <c r="M80" s="272">
        <f t="shared" si="11"/>
        <v>0</v>
      </c>
    </row>
    <row r="81" spans="1:14" x14ac:dyDescent="0.25">
      <c r="B81" s="22" t="s">
        <v>57</v>
      </c>
      <c r="C81" s="277"/>
      <c r="I81" s="272">
        <f t="shared" ref="I81:I82" si="18">SUM(E81:H81)</f>
        <v>0</v>
      </c>
      <c r="M81" s="272">
        <f t="shared" ref="M81:M82" si="19">SUM(K81:L81)</f>
        <v>0</v>
      </c>
      <c r="N81" s="294"/>
    </row>
    <row r="82" spans="1:14" x14ac:dyDescent="0.25">
      <c r="B82" s="22" t="s">
        <v>58</v>
      </c>
      <c r="C82" s="277"/>
      <c r="I82" s="272">
        <f t="shared" si="18"/>
        <v>0</v>
      </c>
      <c r="M82" s="272">
        <f t="shared" si="19"/>
        <v>0</v>
      </c>
      <c r="N82" s="294"/>
    </row>
    <row r="83" spans="1:14" x14ac:dyDescent="0.25">
      <c r="B83" s="22" t="s">
        <v>622</v>
      </c>
      <c r="C83" s="277"/>
      <c r="I83" s="272">
        <f t="shared" si="10"/>
        <v>0</v>
      </c>
      <c r="M83" s="272">
        <f t="shared" si="11"/>
        <v>0</v>
      </c>
    </row>
    <row r="84" spans="1:14" x14ac:dyDescent="0.25">
      <c r="A84" s="276"/>
      <c r="B84" s="22" t="s">
        <v>657</v>
      </c>
      <c r="C84" s="277"/>
      <c r="I84" s="272">
        <f t="shared" ref="I84:I85" si="20">SUM(E84:H84)</f>
        <v>0</v>
      </c>
      <c r="M84" s="272">
        <f t="shared" ref="M84:M85" si="21">SUM(K84:L84)</f>
        <v>0</v>
      </c>
    </row>
    <row r="85" spans="1:14" x14ac:dyDescent="0.25">
      <c r="B85" s="22" t="s">
        <v>658</v>
      </c>
      <c r="C85" s="277"/>
      <c r="I85" s="272">
        <f t="shared" si="20"/>
        <v>0</v>
      </c>
      <c r="M85" s="272">
        <f t="shared" si="21"/>
        <v>0</v>
      </c>
    </row>
    <row r="86" spans="1:14" x14ac:dyDescent="0.25">
      <c r="B86" s="22" t="s">
        <v>669</v>
      </c>
      <c r="C86" s="277"/>
      <c r="I86" s="272">
        <f t="shared" si="10"/>
        <v>0</v>
      </c>
      <c r="M86" s="272">
        <f t="shared" si="11"/>
        <v>0</v>
      </c>
    </row>
    <row r="87" spans="1:14" x14ac:dyDescent="0.25">
      <c r="B87" s="22" t="s">
        <v>678</v>
      </c>
      <c r="C87" s="277"/>
      <c r="I87" s="272">
        <f t="shared" si="10"/>
        <v>0</v>
      </c>
      <c r="M87" s="272">
        <f t="shared" si="11"/>
        <v>0</v>
      </c>
    </row>
    <row r="88" spans="1:14" x14ac:dyDescent="0.25">
      <c r="C88" s="277"/>
      <c r="I88" s="272">
        <f t="shared" si="10"/>
        <v>0</v>
      </c>
      <c r="M88" s="272">
        <f t="shared" si="11"/>
        <v>0</v>
      </c>
    </row>
    <row r="89" spans="1:14" x14ac:dyDescent="0.25">
      <c r="I89" s="272">
        <f t="shared" si="10"/>
        <v>0</v>
      </c>
      <c r="M89" s="272">
        <f t="shared" si="11"/>
        <v>0</v>
      </c>
    </row>
    <row r="90" spans="1:14" x14ac:dyDescent="0.25">
      <c r="I90" s="272">
        <f t="shared" si="10"/>
        <v>0</v>
      </c>
      <c r="M90" s="272">
        <f t="shared" si="11"/>
        <v>0</v>
      </c>
    </row>
    <row r="91" spans="1:14" x14ac:dyDescent="0.25">
      <c r="I91" s="272">
        <f t="shared" si="10"/>
        <v>0</v>
      </c>
      <c r="M91" s="272">
        <f t="shared" si="11"/>
        <v>0</v>
      </c>
    </row>
    <row r="92" spans="1:14" x14ac:dyDescent="0.25">
      <c r="I92" s="272">
        <f t="shared" si="10"/>
        <v>0</v>
      </c>
      <c r="M92" s="272">
        <f t="shared" si="11"/>
        <v>0</v>
      </c>
    </row>
    <row r="93" spans="1:14" x14ac:dyDescent="0.25">
      <c r="I93" s="272">
        <f t="shared" si="10"/>
        <v>0</v>
      </c>
      <c r="M93" s="272">
        <f t="shared" si="11"/>
        <v>0</v>
      </c>
    </row>
    <row r="94" spans="1:14" x14ac:dyDescent="0.25">
      <c r="I94" s="272">
        <f t="shared" si="10"/>
        <v>0</v>
      </c>
      <c r="M94" s="272">
        <f t="shared" si="11"/>
        <v>0</v>
      </c>
    </row>
    <row r="95" spans="1:14" x14ac:dyDescent="0.25">
      <c r="I95" s="272">
        <f t="shared" ref="I95:I126" si="22">SUM(E95:H95)</f>
        <v>0</v>
      </c>
      <c r="M95" s="272">
        <f t="shared" ref="M95:M126" si="23">SUM(K95:L95)</f>
        <v>0</v>
      </c>
    </row>
    <row r="96" spans="1:14" x14ac:dyDescent="0.25">
      <c r="I96" s="272">
        <f t="shared" si="22"/>
        <v>0</v>
      </c>
      <c r="M96" s="272">
        <f t="shared" si="23"/>
        <v>0</v>
      </c>
    </row>
    <row r="97" spans="9:13" x14ac:dyDescent="0.25">
      <c r="I97" s="272">
        <f t="shared" si="22"/>
        <v>0</v>
      </c>
      <c r="M97" s="272">
        <f t="shared" si="23"/>
        <v>0</v>
      </c>
    </row>
    <row r="98" spans="9:13" x14ac:dyDescent="0.25">
      <c r="I98" s="272">
        <f t="shared" si="22"/>
        <v>0</v>
      </c>
      <c r="M98" s="272">
        <f t="shared" si="23"/>
        <v>0</v>
      </c>
    </row>
    <row r="99" spans="9:13" x14ac:dyDescent="0.25">
      <c r="I99" s="272">
        <f t="shared" si="22"/>
        <v>0</v>
      </c>
      <c r="M99" s="272">
        <f t="shared" si="23"/>
        <v>0</v>
      </c>
    </row>
    <row r="100" spans="9:13" x14ac:dyDescent="0.25">
      <c r="I100" s="272">
        <f t="shared" si="22"/>
        <v>0</v>
      </c>
      <c r="M100" s="272">
        <f t="shared" si="23"/>
        <v>0</v>
      </c>
    </row>
    <row r="101" spans="9:13" x14ac:dyDescent="0.25">
      <c r="I101" s="272">
        <f t="shared" si="22"/>
        <v>0</v>
      </c>
      <c r="M101" s="272">
        <f t="shared" si="23"/>
        <v>0</v>
      </c>
    </row>
    <row r="102" spans="9:13" x14ac:dyDescent="0.25">
      <c r="I102" s="272">
        <f t="shared" si="22"/>
        <v>0</v>
      </c>
      <c r="M102" s="272">
        <f t="shared" si="23"/>
        <v>0</v>
      </c>
    </row>
    <row r="103" spans="9:13" x14ac:dyDescent="0.25">
      <c r="I103" s="272">
        <f t="shared" si="22"/>
        <v>0</v>
      </c>
      <c r="M103" s="272">
        <f t="shared" si="23"/>
        <v>0</v>
      </c>
    </row>
    <row r="104" spans="9:13" x14ac:dyDescent="0.25">
      <c r="I104" s="272">
        <f t="shared" si="22"/>
        <v>0</v>
      </c>
      <c r="M104" s="272">
        <f t="shared" si="23"/>
        <v>0</v>
      </c>
    </row>
    <row r="105" spans="9:13" x14ac:dyDescent="0.25">
      <c r="I105" s="272">
        <f t="shared" si="22"/>
        <v>0</v>
      </c>
      <c r="M105" s="272">
        <f t="shared" si="23"/>
        <v>0</v>
      </c>
    </row>
    <row r="106" spans="9:13" x14ac:dyDescent="0.25">
      <c r="I106" s="272">
        <f t="shared" si="22"/>
        <v>0</v>
      </c>
      <c r="M106" s="272">
        <f t="shared" si="23"/>
        <v>0</v>
      </c>
    </row>
    <row r="107" spans="9:13" x14ac:dyDescent="0.25">
      <c r="I107" s="272">
        <f t="shared" si="22"/>
        <v>0</v>
      </c>
      <c r="M107" s="272">
        <f t="shared" si="23"/>
        <v>0</v>
      </c>
    </row>
    <row r="108" spans="9:13" x14ac:dyDescent="0.25">
      <c r="I108" s="272">
        <f t="shared" si="22"/>
        <v>0</v>
      </c>
      <c r="M108" s="272">
        <f t="shared" si="23"/>
        <v>0</v>
      </c>
    </row>
    <row r="109" spans="9:13" x14ac:dyDescent="0.25">
      <c r="I109" s="272">
        <f t="shared" si="22"/>
        <v>0</v>
      </c>
      <c r="M109" s="272">
        <f t="shared" si="23"/>
        <v>0</v>
      </c>
    </row>
    <row r="110" spans="9:13" x14ac:dyDescent="0.25">
      <c r="I110" s="272">
        <f t="shared" si="22"/>
        <v>0</v>
      </c>
      <c r="M110" s="272">
        <f t="shared" si="23"/>
        <v>0</v>
      </c>
    </row>
    <row r="111" spans="9:13" x14ac:dyDescent="0.25">
      <c r="I111" s="272">
        <f t="shared" si="22"/>
        <v>0</v>
      </c>
      <c r="M111" s="272">
        <f t="shared" si="23"/>
        <v>0</v>
      </c>
    </row>
    <row r="112" spans="9:13" x14ac:dyDescent="0.25">
      <c r="I112" s="272">
        <f t="shared" si="22"/>
        <v>0</v>
      </c>
      <c r="M112" s="272">
        <f t="shared" si="23"/>
        <v>0</v>
      </c>
    </row>
    <row r="113" spans="9:13" x14ac:dyDescent="0.25">
      <c r="I113" s="272">
        <f t="shared" si="22"/>
        <v>0</v>
      </c>
      <c r="M113" s="272">
        <f t="shared" si="23"/>
        <v>0</v>
      </c>
    </row>
    <row r="114" spans="9:13" x14ac:dyDescent="0.25">
      <c r="I114" s="272">
        <f t="shared" si="22"/>
        <v>0</v>
      </c>
      <c r="M114" s="272">
        <f t="shared" si="23"/>
        <v>0</v>
      </c>
    </row>
    <row r="115" spans="9:13" x14ac:dyDescent="0.25">
      <c r="I115" s="272">
        <f t="shared" si="22"/>
        <v>0</v>
      </c>
      <c r="M115" s="272">
        <f t="shared" si="23"/>
        <v>0</v>
      </c>
    </row>
    <row r="116" spans="9:13" x14ac:dyDescent="0.25">
      <c r="I116" s="272">
        <f t="shared" si="22"/>
        <v>0</v>
      </c>
      <c r="M116" s="272">
        <f t="shared" si="23"/>
        <v>0</v>
      </c>
    </row>
    <row r="117" spans="9:13" x14ac:dyDescent="0.25">
      <c r="I117" s="272">
        <f t="shared" si="22"/>
        <v>0</v>
      </c>
      <c r="M117" s="272">
        <f t="shared" si="23"/>
        <v>0</v>
      </c>
    </row>
    <row r="118" spans="9:13" x14ac:dyDescent="0.25">
      <c r="I118" s="272">
        <f t="shared" si="22"/>
        <v>0</v>
      </c>
      <c r="M118" s="272">
        <f t="shared" si="23"/>
        <v>0</v>
      </c>
    </row>
    <row r="119" spans="9:13" x14ac:dyDescent="0.25">
      <c r="I119" s="272">
        <f t="shared" si="22"/>
        <v>0</v>
      </c>
      <c r="M119" s="272">
        <f t="shared" si="23"/>
        <v>0</v>
      </c>
    </row>
    <row r="120" spans="9:13" x14ac:dyDescent="0.25">
      <c r="I120" s="272">
        <f t="shared" si="22"/>
        <v>0</v>
      </c>
      <c r="M120" s="272">
        <f t="shared" si="23"/>
        <v>0</v>
      </c>
    </row>
    <row r="121" spans="9:13" x14ac:dyDescent="0.25">
      <c r="I121" s="272">
        <f t="shared" si="22"/>
        <v>0</v>
      </c>
      <c r="M121" s="272">
        <f t="shared" si="23"/>
        <v>0</v>
      </c>
    </row>
    <row r="122" spans="9:13" x14ac:dyDescent="0.25">
      <c r="I122" s="272">
        <f t="shared" si="22"/>
        <v>0</v>
      </c>
      <c r="M122" s="272">
        <f t="shared" si="23"/>
        <v>0</v>
      </c>
    </row>
    <row r="123" spans="9:13" x14ac:dyDescent="0.25">
      <c r="I123" s="272">
        <f t="shared" si="22"/>
        <v>0</v>
      </c>
      <c r="M123" s="272">
        <f t="shared" si="23"/>
        <v>0</v>
      </c>
    </row>
    <row r="124" spans="9:13" x14ac:dyDescent="0.25">
      <c r="I124" s="272">
        <f t="shared" si="22"/>
        <v>0</v>
      </c>
      <c r="M124" s="272">
        <f t="shared" si="23"/>
        <v>0</v>
      </c>
    </row>
    <row r="125" spans="9:13" x14ac:dyDescent="0.25">
      <c r="I125" s="272">
        <f t="shared" si="22"/>
        <v>0</v>
      </c>
      <c r="M125" s="272">
        <f t="shared" si="23"/>
        <v>0</v>
      </c>
    </row>
    <row r="126" spans="9:13" x14ac:dyDescent="0.25">
      <c r="I126" s="272">
        <f t="shared" si="22"/>
        <v>0</v>
      </c>
      <c r="M126" s="272">
        <f t="shared" si="23"/>
        <v>0</v>
      </c>
    </row>
    <row r="127" spans="9:13" x14ac:dyDescent="0.25">
      <c r="I127" s="272">
        <f t="shared" ref="I127:I158" si="24">SUM(E127:H127)</f>
        <v>0</v>
      </c>
      <c r="M127" s="272">
        <f t="shared" ref="M127:M158" si="25">SUM(K127:L127)</f>
        <v>0</v>
      </c>
    </row>
    <row r="128" spans="9:13" x14ac:dyDescent="0.25">
      <c r="I128" s="272">
        <f t="shared" si="24"/>
        <v>0</v>
      </c>
      <c r="M128" s="272">
        <f t="shared" si="25"/>
        <v>0</v>
      </c>
    </row>
    <row r="129" spans="9:13" x14ac:dyDescent="0.25">
      <c r="I129" s="272">
        <f t="shared" si="24"/>
        <v>0</v>
      </c>
      <c r="M129" s="272">
        <f t="shared" si="25"/>
        <v>0</v>
      </c>
    </row>
    <row r="130" spans="9:13" x14ac:dyDescent="0.25">
      <c r="I130" s="272">
        <f t="shared" si="24"/>
        <v>0</v>
      </c>
      <c r="M130" s="272">
        <f t="shared" si="25"/>
        <v>0</v>
      </c>
    </row>
    <row r="131" spans="9:13" x14ac:dyDescent="0.25">
      <c r="I131" s="272">
        <f t="shared" si="24"/>
        <v>0</v>
      </c>
      <c r="M131" s="272">
        <f t="shared" si="25"/>
        <v>0</v>
      </c>
    </row>
    <row r="132" spans="9:13" x14ac:dyDescent="0.25">
      <c r="I132" s="272">
        <f t="shared" si="24"/>
        <v>0</v>
      </c>
      <c r="M132" s="272">
        <f t="shared" si="25"/>
        <v>0</v>
      </c>
    </row>
    <row r="133" spans="9:13" x14ac:dyDescent="0.25">
      <c r="I133" s="272">
        <f t="shared" si="24"/>
        <v>0</v>
      </c>
      <c r="M133" s="272">
        <f t="shared" si="25"/>
        <v>0</v>
      </c>
    </row>
    <row r="134" spans="9:13" x14ac:dyDescent="0.25">
      <c r="I134" s="272">
        <f t="shared" si="24"/>
        <v>0</v>
      </c>
      <c r="M134" s="272">
        <f t="shared" si="25"/>
        <v>0</v>
      </c>
    </row>
    <row r="135" spans="9:13" x14ac:dyDescent="0.25">
      <c r="I135" s="272">
        <f t="shared" si="24"/>
        <v>0</v>
      </c>
      <c r="M135" s="272">
        <f t="shared" si="25"/>
        <v>0</v>
      </c>
    </row>
    <row r="136" spans="9:13" x14ac:dyDescent="0.25">
      <c r="I136" s="272">
        <f t="shared" si="24"/>
        <v>0</v>
      </c>
      <c r="M136" s="272">
        <f t="shared" si="25"/>
        <v>0</v>
      </c>
    </row>
    <row r="137" spans="9:13" x14ac:dyDescent="0.25">
      <c r="I137" s="272">
        <f t="shared" si="24"/>
        <v>0</v>
      </c>
      <c r="M137" s="272">
        <f t="shared" si="25"/>
        <v>0</v>
      </c>
    </row>
    <row r="138" spans="9:13" x14ac:dyDescent="0.25">
      <c r="I138" s="272">
        <f t="shared" si="24"/>
        <v>0</v>
      </c>
      <c r="M138" s="272">
        <f t="shared" si="25"/>
        <v>0</v>
      </c>
    </row>
    <row r="139" spans="9:13" x14ac:dyDescent="0.25">
      <c r="I139" s="272">
        <f t="shared" si="24"/>
        <v>0</v>
      </c>
      <c r="M139" s="272">
        <f t="shared" si="25"/>
        <v>0</v>
      </c>
    </row>
    <row r="140" spans="9:13" x14ac:dyDescent="0.25">
      <c r="I140" s="272">
        <f t="shared" si="24"/>
        <v>0</v>
      </c>
      <c r="M140" s="272">
        <f t="shared" si="25"/>
        <v>0</v>
      </c>
    </row>
    <row r="141" spans="9:13" x14ac:dyDescent="0.25">
      <c r="I141" s="272">
        <f t="shared" si="24"/>
        <v>0</v>
      </c>
      <c r="M141" s="272">
        <f t="shared" si="25"/>
        <v>0</v>
      </c>
    </row>
    <row r="142" spans="9:13" x14ac:dyDescent="0.25">
      <c r="I142" s="272">
        <f t="shared" si="24"/>
        <v>0</v>
      </c>
      <c r="M142" s="272">
        <f t="shared" si="25"/>
        <v>0</v>
      </c>
    </row>
    <row r="143" spans="9:13" x14ac:dyDescent="0.25">
      <c r="I143" s="272">
        <f t="shared" si="24"/>
        <v>0</v>
      </c>
      <c r="M143" s="272">
        <f t="shared" si="25"/>
        <v>0</v>
      </c>
    </row>
    <row r="144" spans="9:13" x14ac:dyDescent="0.25">
      <c r="I144" s="272">
        <f t="shared" si="24"/>
        <v>0</v>
      </c>
      <c r="M144" s="272">
        <f t="shared" si="25"/>
        <v>0</v>
      </c>
    </row>
    <row r="145" spans="9:13" x14ac:dyDescent="0.25">
      <c r="I145" s="272">
        <f t="shared" si="24"/>
        <v>0</v>
      </c>
      <c r="M145" s="272">
        <f t="shared" si="25"/>
        <v>0</v>
      </c>
    </row>
    <row r="146" spans="9:13" x14ac:dyDescent="0.25">
      <c r="I146" s="272">
        <f t="shared" si="24"/>
        <v>0</v>
      </c>
      <c r="M146" s="272">
        <f t="shared" si="25"/>
        <v>0</v>
      </c>
    </row>
    <row r="147" spans="9:13" x14ac:dyDescent="0.25">
      <c r="I147" s="272">
        <f t="shared" si="24"/>
        <v>0</v>
      </c>
      <c r="M147" s="272">
        <f t="shared" si="25"/>
        <v>0</v>
      </c>
    </row>
    <row r="148" spans="9:13" x14ac:dyDescent="0.25">
      <c r="I148" s="272">
        <f t="shared" si="24"/>
        <v>0</v>
      </c>
      <c r="M148" s="272">
        <f t="shared" si="25"/>
        <v>0</v>
      </c>
    </row>
    <row r="149" spans="9:13" x14ac:dyDescent="0.25">
      <c r="I149" s="272">
        <f t="shared" si="24"/>
        <v>0</v>
      </c>
      <c r="M149" s="272">
        <f t="shared" si="25"/>
        <v>0</v>
      </c>
    </row>
    <row r="150" spans="9:13" x14ac:dyDescent="0.25">
      <c r="I150" s="272">
        <f t="shared" si="24"/>
        <v>0</v>
      </c>
      <c r="M150" s="272">
        <f t="shared" si="25"/>
        <v>0</v>
      </c>
    </row>
    <row r="151" spans="9:13" x14ac:dyDescent="0.25">
      <c r="I151" s="272">
        <f t="shared" si="24"/>
        <v>0</v>
      </c>
      <c r="M151" s="272">
        <f t="shared" si="25"/>
        <v>0</v>
      </c>
    </row>
    <row r="152" spans="9:13" x14ac:dyDescent="0.25">
      <c r="I152" s="272">
        <f t="shared" si="24"/>
        <v>0</v>
      </c>
      <c r="M152" s="272">
        <f t="shared" si="25"/>
        <v>0</v>
      </c>
    </row>
    <row r="153" spans="9:13" x14ac:dyDescent="0.25">
      <c r="I153" s="272">
        <f t="shared" si="24"/>
        <v>0</v>
      </c>
      <c r="M153" s="272">
        <f t="shared" si="25"/>
        <v>0</v>
      </c>
    </row>
    <row r="154" spans="9:13" x14ac:dyDescent="0.25">
      <c r="I154" s="272">
        <f t="shared" si="24"/>
        <v>0</v>
      </c>
      <c r="M154" s="272">
        <f t="shared" si="25"/>
        <v>0</v>
      </c>
    </row>
    <row r="155" spans="9:13" x14ac:dyDescent="0.25">
      <c r="I155" s="272">
        <f t="shared" si="24"/>
        <v>0</v>
      </c>
      <c r="M155" s="272">
        <f t="shared" si="25"/>
        <v>0</v>
      </c>
    </row>
    <row r="156" spans="9:13" x14ac:dyDescent="0.25">
      <c r="I156" s="272">
        <f t="shared" si="24"/>
        <v>0</v>
      </c>
      <c r="M156" s="272">
        <f t="shared" si="25"/>
        <v>0</v>
      </c>
    </row>
    <row r="157" spans="9:13" x14ac:dyDescent="0.25">
      <c r="I157" s="272">
        <f t="shared" si="24"/>
        <v>0</v>
      </c>
      <c r="M157" s="272">
        <f t="shared" si="25"/>
        <v>0</v>
      </c>
    </row>
    <row r="158" spans="9:13" x14ac:dyDescent="0.25">
      <c r="I158" s="272">
        <f t="shared" si="24"/>
        <v>0</v>
      </c>
      <c r="M158" s="272">
        <f t="shared" si="25"/>
        <v>0</v>
      </c>
    </row>
    <row r="159" spans="9:13" x14ac:dyDescent="0.25">
      <c r="I159" s="272">
        <f t="shared" ref="I159:I190" si="26">SUM(E159:H159)</f>
        <v>0</v>
      </c>
      <c r="M159" s="272">
        <f t="shared" ref="M159:M190" si="27">SUM(K159:L159)</f>
        <v>0</v>
      </c>
    </row>
    <row r="160" spans="9:13" x14ac:dyDescent="0.25">
      <c r="I160" s="272">
        <f t="shared" si="26"/>
        <v>0</v>
      </c>
      <c r="M160" s="272">
        <f t="shared" si="27"/>
        <v>0</v>
      </c>
    </row>
    <row r="161" spans="9:13" x14ac:dyDescent="0.25">
      <c r="I161" s="272">
        <f t="shared" si="26"/>
        <v>0</v>
      </c>
      <c r="M161" s="272">
        <f t="shared" si="27"/>
        <v>0</v>
      </c>
    </row>
    <row r="162" spans="9:13" x14ac:dyDescent="0.25">
      <c r="I162" s="272">
        <f t="shared" si="26"/>
        <v>0</v>
      </c>
      <c r="M162" s="272">
        <f t="shared" si="27"/>
        <v>0</v>
      </c>
    </row>
    <row r="163" spans="9:13" x14ac:dyDescent="0.25">
      <c r="I163" s="272">
        <f t="shared" si="26"/>
        <v>0</v>
      </c>
      <c r="M163" s="272">
        <f t="shared" si="27"/>
        <v>0</v>
      </c>
    </row>
    <row r="164" spans="9:13" x14ac:dyDescent="0.25">
      <c r="I164" s="272">
        <f t="shared" si="26"/>
        <v>0</v>
      </c>
      <c r="M164" s="272">
        <f t="shared" si="27"/>
        <v>0</v>
      </c>
    </row>
    <row r="165" spans="9:13" x14ac:dyDescent="0.25">
      <c r="I165" s="272">
        <f t="shared" si="26"/>
        <v>0</v>
      </c>
      <c r="M165" s="272">
        <f t="shared" si="27"/>
        <v>0</v>
      </c>
    </row>
    <row r="166" spans="9:13" x14ac:dyDescent="0.25">
      <c r="I166" s="272">
        <f t="shared" si="26"/>
        <v>0</v>
      </c>
      <c r="M166" s="272">
        <f t="shared" si="27"/>
        <v>0</v>
      </c>
    </row>
    <row r="167" spans="9:13" x14ac:dyDescent="0.25">
      <c r="I167" s="272">
        <f t="shared" si="26"/>
        <v>0</v>
      </c>
      <c r="M167" s="272">
        <f t="shared" si="27"/>
        <v>0</v>
      </c>
    </row>
    <row r="168" spans="9:13" x14ac:dyDescent="0.25">
      <c r="I168" s="272">
        <f t="shared" si="26"/>
        <v>0</v>
      </c>
      <c r="M168" s="272">
        <f t="shared" si="27"/>
        <v>0</v>
      </c>
    </row>
    <row r="169" spans="9:13" x14ac:dyDescent="0.25">
      <c r="I169" s="272">
        <f t="shared" si="26"/>
        <v>0</v>
      </c>
      <c r="M169" s="272">
        <f t="shared" si="27"/>
        <v>0</v>
      </c>
    </row>
    <row r="170" spans="9:13" x14ac:dyDescent="0.25">
      <c r="I170" s="272">
        <f t="shared" si="26"/>
        <v>0</v>
      </c>
      <c r="M170" s="272">
        <f t="shared" si="27"/>
        <v>0</v>
      </c>
    </row>
    <row r="171" spans="9:13" x14ac:dyDescent="0.25">
      <c r="I171" s="272">
        <f t="shared" si="26"/>
        <v>0</v>
      </c>
      <c r="M171" s="272">
        <f t="shared" si="27"/>
        <v>0</v>
      </c>
    </row>
    <row r="172" spans="9:13" x14ac:dyDescent="0.25">
      <c r="I172" s="272">
        <f t="shared" si="26"/>
        <v>0</v>
      </c>
      <c r="M172" s="272">
        <f t="shared" si="27"/>
        <v>0</v>
      </c>
    </row>
    <row r="173" spans="9:13" x14ac:dyDescent="0.25">
      <c r="I173" s="272">
        <f t="shared" si="26"/>
        <v>0</v>
      </c>
      <c r="M173" s="272">
        <f t="shared" si="27"/>
        <v>0</v>
      </c>
    </row>
    <row r="174" spans="9:13" x14ac:dyDescent="0.25">
      <c r="I174" s="272">
        <f t="shared" si="26"/>
        <v>0</v>
      </c>
      <c r="M174" s="272">
        <f t="shared" si="27"/>
        <v>0</v>
      </c>
    </row>
    <row r="175" spans="9:13" x14ac:dyDescent="0.25">
      <c r="I175" s="272">
        <f t="shared" si="26"/>
        <v>0</v>
      </c>
      <c r="M175" s="272">
        <f t="shared" si="27"/>
        <v>0</v>
      </c>
    </row>
    <row r="176" spans="9:13" x14ac:dyDescent="0.25">
      <c r="I176" s="272">
        <f t="shared" si="26"/>
        <v>0</v>
      </c>
      <c r="M176" s="272">
        <f t="shared" si="27"/>
        <v>0</v>
      </c>
    </row>
    <row r="177" spans="9:13" x14ac:dyDescent="0.25">
      <c r="I177" s="272">
        <f t="shared" si="26"/>
        <v>0</v>
      </c>
      <c r="M177" s="272">
        <f t="shared" si="27"/>
        <v>0</v>
      </c>
    </row>
    <row r="178" spans="9:13" x14ac:dyDescent="0.25">
      <c r="I178" s="272">
        <f t="shared" si="26"/>
        <v>0</v>
      </c>
      <c r="M178" s="272">
        <f t="shared" si="27"/>
        <v>0</v>
      </c>
    </row>
    <row r="179" spans="9:13" x14ac:dyDescent="0.25">
      <c r="I179" s="272">
        <f t="shared" si="26"/>
        <v>0</v>
      </c>
      <c r="M179" s="272">
        <f t="shared" si="27"/>
        <v>0</v>
      </c>
    </row>
    <row r="180" spans="9:13" x14ac:dyDescent="0.25">
      <c r="I180" s="272">
        <f t="shared" si="26"/>
        <v>0</v>
      </c>
      <c r="M180" s="272">
        <f t="shared" si="27"/>
        <v>0</v>
      </c>
    </row>
    <row r="181" spans="9:13" x14ac:dyDescent="0.25">
      <c r="I181" s="272">
        <f t="shared" si="26"/>
        <v>0</v>
      </c>
      <c r="M181" s="272">
        <f t="shared" si="27"/>
        <v>0</v>
      </c>
    </row>
    <row r="182" spans="9:13" x14ac:dyDescent="0.25">
      <c r="I182" s="272">
        <f t="shared" si="26"/>
        <v>0</v>
      </c>
      <c r="M182" s="272">
        <f t="shared" si="27"/>
        <v>0</v>
      </c>
    </row>
    <row r="183" spans="9:13" x14ac:dyDescent="0.25">
      <c r="I183" s="272">
        <f t="shared" si="26"/>
        <v>0</v>
      </c>
      <c r="M183" s="272">
        <f t="shared" si="27"/>
        <v>0</v>
      </c>
    </row>
    <row r="184" spans="9:13" x14ac:dyDescent="0.25">
      <c r="I184" s="272">
        <f t="shared" si="26"/>
        <v>0</v>
      </c>
      <c r="M184" s="272">
        <f t="shared" si="27"/>
        <v>0</v>
      </c>
    </row>
    <row r="185" spans="9:13" x14ac:dyDescent="0.25">
      <c r="I185" s="272">
        <f t="shared" si="26"/>
        <v>0</v>
      </c>
      <c r="M185" s="272">
        <f t="shared" si="27"/>
        <v>0</v>
      </c>
    </row>
    <row r="186" spans="9:13" x14ac:dyDescent="0.25">
      <c r="I186" s="272">
        <f t="shared" si="26"/>
        <v>0</v>
      </c>
      <c r="M186" s="272">
        <f t="shared" si="27"/>
        <v>0</v>
      </c>
    </row>
    <row r="187" spans="9:13" x14ac:dyDescent="0.25">
      <c r="I187" s="272">
        <f t="shared" si="26"/>
        <v>0</v>
      </c>
      <c r="M187" s="272">
        <f t="shared" si="27"/>
        <v>0</v>
      </c>
    </row>
    <row r="188" spans="9:13" x14ac:dyDescent="0.25">
      <c r="I188" s="272">
        <f t="shared" si="26"/>
        <v>0</v>
      </c>
      <c r="M188" s="272">
        <f t="shared" si="27"/>
        <v>0</v>
      </c>
    </row>
    <row r="189" spans="9:13" x14ac:dyDescent="0.25">
      <c r="I189" s="272">
        <f t="shared" si="26"/>
        <v>0</v>
      </c>
      <c r="M189" s="272">
        <f t="shared" si="27"/>
        <v>0</v>
      </c>
    </row>
    <row r="190" spans="9:13" x14ac:dyDescent="0.25">
      <c r="I190" s="272">
        <f t="shared" si="26"/>
        <v>0</v>
      </c>
      <c r="M190" s="272">
        <f t="shared" si="27"/>
        <v>0</v>
      </c>
    </row>
    <row r="191" spans="9:13" x14ac:dyDescent="0.25">
      <c r="I191" s="272">
        <f t="shared" ref="I191:I222" si="28">SUM(E191:H191)</f>
        <v>0</v>
      </c>
      <c r="M191" s="272">
        <f t="shared" ref="M191:M222" si="29">SUM(K191:L191)</f>
        <v>0</v>
      </c>
    </row>
    <row r="192" spans="9:13" x14ac:dyDescent="0.25">
      <c r="I192" s="272">
        <f t="shared" si="28"/>
        <v>0</v>
      </c>
      <c r="M192" s="272">
        <f t="shared" si="29"/>
        <v>0</v>
      </c>
    </row>
    <row r="193" spans="9:13" x14ac:dyDescent="0.25">
      <c r="I193" s="272">
        <f t="shared" si="28"/>
        <v>0</v>
      </c>
      <c r="M193" s="272">
        <f t="shared" si="29"/>
        <v>0</v>
      </c>
    </row>
    <row r="194" spans="9:13" x14ac:dyDescent="0.25">
      <c r="I194" s="272">
        <f t="shared" si="28"/>
        <v>0</v>
      </c>
      <c r="M194" s="272">
        <f t="shared" si="29"/>
        <v>0</v>
      </c>
    </row>
    <row r="195" spans="9:13" x14ac:dyDescent="0.25">
      <c r="I195" s="272">
        <f t="shared" si="28"/>
        <v>0</v>
      </c>
      <c r="M195" s="272">
        <f t="shared" si="29"/>
        <v>0</v>
      </c>
    </row>
    <row r="196" spans="9:13" x14ac:dyDescent="0.25">
      <c r="I196" s="272">
        <f t="shared" si="28"/>
        <v>0</v>
      </c>
      <c r="M196" s="272">
        <f t="shared" si="29"/>
        <v>0</v>
      </c>
    </row>
    <row r="197" spans="9:13" x14ac:dyDescent="0.25">
      <c r="I197" s="272">
        <f t="shared" si="28"/>
        <v>0</v>
      </c>
      <c r="M197" s="272">
        <f t="shared" si="29"/>
        <v>0</v>
      </c>
    </row>
    <row r="198" spans="9:13" x14ac:dyDescent="0.25">
      <c r="I198" s="272">
        <f t="shared" si="28"/>
        <v>0</v>
      </c>
      <c r="M198" s="272">
        <f t="shared" si="29"/>
        <v>0</v>
      </c>
    </row>
    <row r="199" spans="9:13" x14ac:dyDescent="0.25">
      <c r="I199" s="272">
        <f t="shared" si="28"/>
        <v>0</v>
      </c>
      <c r="M199" s="272">
        <f t="shared" si="29"/>
        <v>0</v>
      </c>
    </row>
    <row r="200" spans="9:13" x14ac:dyDescent="0.25">
      <c r="I200" s="272">
        <f t="shared" si="28"/>
        <v>0</v>
      </c>
      <c r="M200" s="272">
        <f t="shared" si="29"/>
        <v>0</v>
      </c>
    </row>
    <row r="201" spans="9:13" x14ac:dyDescent="0.25">
      <c r="I201" s="272">
        <f t="shared" si="28"/>
        <v>0</v>
      </c>
      <c r="M201" s="272">
        <f t="shared" si="29"/>
        <v>0</v>
      </c>
    </row>
    <row r="202" spans="9:13" x14ac:dyDescent="0.25">
      <c r="I202" s="272">
        <f t="shared" si="28"/>
        <v>0</v>
      </c>
      <c r="M202" s="272">
        <f t="shared" si="29"/>
        <v>0</v>
      </c>
    </row>
    <row r="203" spans="9:13" x14ac:dyDescent="0.25">
      <c r="I203" s="272">
        <f t="shared" si="28"/>
        <v>0</v>
      </c>
      <c r="M203" s="272">
        <f t="shared" si="29"/>
        <v>0</v>
      </c>
    </row>
    <row r="204" spans="9:13" x14ac:dyDescent="0.25">
      <c r="I204" s="272">
        <f t="shared" si="28"/>
        <v>0</v>
      </c>
      <c r="M204" s="272">
        <f t="shared" si="29"/>
        <v>0</v>
      </c>
    </row>
    <row r="205" spans="9:13" x14ac:dyDescent="0.25">
      <c r="I205" s="272">
        <f t="shared" si="28"/>
        <v>0</v>
      </c>
      <c r="M205" s="272">
        <f t="shared" si="29"/>
        <v>0</v>
      </c>
    </row>
    <row r="206" spans="9:13" x14ac:dyDescent="0.25">
      <c r="I206" s="272">
        <f t="shared" si="28"/>
        <v>0</v>
      </c>
      <c r="M206" s="272">
        <f t="shared" si="29"/>
        <v>0</v>
      </c>
    </row>
    <row r="207" spans="9:13" x14ac:dyDescent="0.25">
      <c r="I207" s="272">
        <f t="shared" si="28"/>
        <v>0</v>
      </c>
      <c r="M207" s="272">
        <f t="shared" si="29"/>
        <v>0</v>
      </c>
    </row>
    <row r="208" spans="9:13" x14ac:dyDescent="0.25">
      <c r="I208" s="272">
        <f t="shared" si="28"/>
        <v>0</v>
      </c>
      <c r="M208" s="272">
        <f t="shared" si="29"/>
        <v>0</v>
      </c>
    </row>
    <row r="209" spans="9:13" x14ac:dyDescent="0.25">
      <c r="I209" s="272">
        <f t="shared" si="28"/>
        <v>0</v>
      </c>
      <c r="M209" s="272">
        <f t="shared" si="29"/>
        <v>0</v>
      </c>
    </row>
    <row r="210" spans="9:13" x14ac:dyDescent="0.25">
      <c r="I210" s="272">
        <f t="shared" si="28"/>
        <v>0</v>
      </c>
      <c r="M210" s="272">
        <f t="shared" si="29"/>
        <v>0</v>
      </c>
    </row>
    <row r="211" spans="9:13" x14ac:dyDescent="0.25">
      <c r="I211" s="272">
        <f t="shared" si="28"/>
        <v>0</v>
      </c>
      <c r="M211" s="272">
        <f t="shared" si="29"/>
        <v>0</v>
      </c>
    </row>
    <row r="212" spans="9:13" x14ac:dyDescent="0.25">
      <c r="I212" s="272">
        <f t="shared" si="28"/>
        <v>0</v>
      </c>
      <c r="M212" s="272">
        <f t="shared" si="29"/>
        <v>0</v>
      </c>
    </row>
    <row r="213" spans="9:13" x14ac:dyDescent="0.25">
      <c r="I213" s="272">
        <f t="shared" si="28"/>
        <v>0</v>
      </c>
      <c r="M213" s="272">
        <f t="shared" si="29"/>
        <v>0</v>
      </c>
    </row>
    <row r="214" spans="9:13" x14ac:dyDescent="0.25">
      <c r="I214" s="272">
        <f t="shared" si="28"/>
        <v>0</v>
      </c>
      <c r="M214" s="272">
        <f t="shared" si="29"/>
        <v>0</v>
      </c>
    </row>
    <row r="215" spans="9:13" x14ac:dyDescent="0.25">
      <c r="I215" s="272">
        <f t="shared" si="28"/>
        <v>0</v>
      </c>
      <c r="M215" s="272">
        <f t="shared" si="29"/>
        <v>0</v>
      </c>
    </row>
    <row r="216" spans="9:13" x14ac:dyDescent="0.25">
      <c r="I216" s="272">
        <f t="shared" si="28"/>
        <v>0</v>
      </c>
      <c r="M216" s="272">
        <f t="shared" si="29"/>
        <v>0</v>
      </c>
    </row>
    <row r="217" spans="9:13" x14ac:dyDescent="0.25">
      <c r="I217" s="272">
        <f t="shared" si="28"/>
        <v>0</v>
      </c>
      <c r="M217" s="272">
        <f t="shared" si="29"/>
        <v>0</v>
      </c>
    </row>
    <row r="218" spans="9:13" x14ac:dyDescent="0.25">
      <c r="I218" s="272">
        <f t="shared" si="28"/>
        <v>0</v>
      </c>
      <c r="M218" s="272">
        <f t="shared" si="29"/>
        <v>0</v>
      </c>
    </row>
    <row r="219" spans="9:13" x14ac:dyDescent="0.25">
      <c r="I219" s="272">
        <f t="shared" si="28"/>
        <v>0</v>
      </c>
      <c r="M219" s="272">
        <f t="shared" si="29"/>
        <v>0</v>
      </c>
    </row>
    <row r="220" spans="9:13" x14ac:dyDescent="0.25">
      <c r="I220" s="272">
        <f t="shared" si="28"/>
        <v>0</v>
      </c>
      <c r="M220" s="272">
        <f t="shared" si="29"/>
        <v>0</v>
      </c>
    </row>
    <row r="221" spans="9:13" x14ac:dyDescent="0.25">
      <c r="I221" s="272">
        <f t="shared" si="28"/>
        <v>0</v>
      </c>
      <c r="M221" s="272">
        <f t="shared" si="29"/>
        <v>0</v>
      </c>
    </row>
    <row r="222" spans="9:13" x14ac:dyDescent="0.25">
      <c r="I222" s="272">
        <f t="shared" si="28"/>
        <v>0</v>
      </c>
      <c r="M222" s="272">
        <f t="shared" si="29"/>
        <v>0</v>
      </c>
    </row>
    <row r="223" spans="9:13" x14ac:dyDescent="0.25">
      <c r="I223" s="272">
        <f>SUM(E223:H223)</f>
        <v>0</v>
      </c>
      <c r="M223" s="272">
        <f>SUM(K223:L223)</f>
        <v>0</v>
      </c>
    </row>
    <row r="224" spans="9:13" x14ac:dyDescent="0.25">
      <c r="I224" s="272">
        <f>SUM(E224:H224)</f>
        <v>0</v>
      </c>
      <c r="M224" s="272">
        <f>SUM(K224:L224)</f>
        <v>0</v>
      </c>
    </row>
    <row r="225" spans="9:13" x14ac:dyDescent="0.25">
      <c r="I225" s="272">
        <f>SUM(E225:H225)</f>
        <v>0</v>
      </c>
      <c r="M225" s="272">
        <f>SUM(K225:L225)</f>
        <v>0</v>
      </c>
    </row>
    <row r="226" spans="9:13" x14ac:dyDescent="0.25">
      <c r="I226" s="272">
        <f>SUM(E226:H226)</f>
        <v>0</v>
      </c>
      <c r="M226" s="272">
        <f>SUM(K226:L226)</f>
        <v>0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filterMode="1"/>
  <dimension ref="A1:T158"/>
  <sheetViews>
    <sheetView showZeros="0" topLeftCell="B1" zoomScaleNormal="100" workbookViewId="0">
      <pane ySplit="2" topLeftCell="A3" activePane="bottomLeft" state="frozen"/>
      <selection activeCell="D3" sqref="D3"/>
      <selection pane="bottomLeft" activeCell="I19" sqref="I19"/>
    </sheetView>
  </sheetViews>
  <sheetFormatPr defaultRowHeight="13.2" x14ac:dyDescent="0.25"/>
  <cols>
    <col min="1" max="1" width="0" hidden="1" customWidth="1"/>
    <col min="2" max="2" width="15.5546875"/>
    <col min="3" max="3" width="11"/>
    <col min="4" max="4" width="19.5546875"/>
    <col min="5" max="9" width="11"/>
    <col min="10" max="10" width="12.44140625"/>
    <col min="11" max="12" width="9.5546875"/>
    <col min="13" max="13" width="14.5546875"/>
    <col min="14" max="14" width="34.44140625"/>
    <col min="15" max="1025" width="11"/>
  </cols>
  <sheetData>
    <row r="1" spans="1:20" x14ac:dyDescent="0.25">
      <c r="A1" s="279"/>
      <c r="B1" s="280"/>
      <c r="C1" s="281"/>
      <c r="D1" s="281"/>
      <c r="E1" s="281" t="s">
        <v>31</v>
      </c>
      <c r="F1" s="180" t="s">
        <v>31</v>
      </c>
      <c r="G1" s="180" t="s">
        <v>138</v>
      </c>
      <c r="H1" s="180" t="s">
        <v>138</v>
      </c>
      <c r="I1" s="180" t="s">
        <v>464</v>
      </c>
      <c r="J1" s="180" t="s">
        <v>464</v>
      </c>
      <c r="K1" s="180"/>
      <c r="L1" s="180" t="s">
        <v>526</v>
      </c>
      <c r="M1" s="180" t="s">
        <v>478</v>
      </c>
      <c r="N1" s="279"/>
    </row>
    <row r="2" spans="1:20" hidden="1" x14ac:dyDescent="0.25">
      <c r="A2" s="259" t="s">
        <v>465</v>
      </c>
      <c r="B2" s="282" t="s">
        <v>446</v>
      </c>
      <c r="C2" s="156" t="s">
        <v>477</v>
      </c>
      <c r="D2" s="156" t="s">
        <v>138</v>
      </c>
      <c r="E2" s="156" t="s">
        <v>445</v>
      </c>
      <c r="F2" s="67" t="s">
        <v>488</v>
      </c>
      <c r="G2" s="67" t="s">
        <v>128</v>
      </c>
      <c r="H2" s="67" t="s">
        <v>489</v>
      </c>
      <c r="I2" s="67" t="s">
        <v>128</v>
      </c>
      <c r="J2" s="67" t="s">
        <v>489</v>
      </c>
      <c r="K2" s="67" t="s">
        <v>490</v>
      </c>
      <c r="L2" s="67" t="s">
        <v>491</v>
      </c>
      <c r="M2" s="67" t="s">
        <v>477</v>
      </c>
      <c r="N2" s="259" t="s">
        <v>492</v>
      </c>
    </row>
    <row r="3" spans="1:20" hidden="1" x14ac:dyDescent="0.25">
      <c r="A3" s="283" t="str">
        <f t="shared" ref="A3:A44" si="0">B3&amp;":"&amp;C3</f>
        <v>:</v>
      </c>
      <c r="B3" s="284"/>
      <c r="C3" s="285"/>
      <c r="D3" s="15" t="s">
        <v>527</v>
      </c>
      <c r="E3" s="285" t="s">
        <v>528</v>
      </c>
      <c r="F3" s="286" t="s">
        <v>529</v>
      </c>
      <c r="G3" s="76">
        <v>0</v>
      </c>
      <c r="H3" s="76">
        <v>0</v>
      </c>
      <c r="I3" s="76">
        <f ca="1">G3*(1-OFFSET(payMgmtRate,0,L3))</f>
        <v>0</v>
      </c>
      <c r="J3" s="76"/>
      <c r="K3" s="287" t="s">
        <v>530</v>
      </c>
      <c r="L3" s="288">
        <v>1</v>
      </c>
      <c r="M3" s="288">
        <v>1</v>
      </c>
      <c r="N3" s="289"/>
    </row>
    <row r="4" spans="1:20" hidden="1" x14ac:dyDescent="0.25">
      <c r="A4" s="283" t="str">
        <f t="shared" si="0"/>
        <v>ANZ:ARH</v>
      </c>
      <c r="B4" s="284" t="s">
        <v>397</v>
      </c>
      <c r="C4" s="285" t="s">
        <v>531</v>
      </c>
      <c r="D4" s="15" t="s">
        <v>239</v>
      </c>
      <c r="E4" s="285" t="s">
        <v>528</v>
      </c>
      <c r="F4" s="286" t="s">
        <v>529</v>
      </c>
      <c r="G4" s="76">
        <v>875</v>
      </c>
      <c r="H4" s="76">
        <v>875</v>
      </c>
      <c r="I4" s="76">
        <f ca="1">G4*(1-OFFSET(payMgmtRate,0,L4))</f>
        <v>831.25</v>
      </c>
      <c r="J4" s="76"/>
      <c r="K4" s="287" t="s">
        <v>530</v>
      </c>
      <c r="L4" s="288">
        <v>1</v>
      </c>
      <c r="M4" s="288">
        <v>1</v>
      </c>
      <c r="N4" s="289"/>
    </row>
    <row r="5" spans="1:20" hidden="1" x14ac:dyDescent="0.25">
      <c r="A5" s="283" t="str">
        <f t="shared" si="0"/>
        <v>AVANTIS:SMB</v>
      </c>
      <c r="B5" s="284" t="s">
        <v>532</v>
      </c>
      <c r="C5" s="285" t="s">
        <v>533</v>
      </c>
      <c r="D5" s="15" t="s">
        <v>195</v>
      </c>
      <c r="E5" s="285" t="s">
        <v>528</v>
      </c>
      <c r="F5" s="286" t="s">
        <v>529</v>
      </c>
      <c r="G5" s="76">
        <v>800</v>
      </c>
      <c r="H5" s="76">
        <v>800</v>
      </c>
      <c r="I5" s="76">
        <v>760</v>
      </c>
      <c r="J5" s="76"/>
      <c r="K5" s="287" t="s">
        <v>534</v>
      </c>
      <c r="L5" s="288"/>
      <c r="M5" s="288">
        <v>1</v>
      </c>
      <c r="N5" s="289"/>
    </row>
    <row r="6" spans="1:20" hidden="1" x14ac:dyDescent="0.25">
      <c r="A6" s="283" t="str">
        <f t="shared" si="0"/>
        <v>BCB:SRP</v>
      </c>
      <c r="B6" s="284" t="s">
        <v>535</v>
      </c>
      <c r="C6" s="285" t="s">
        <v>536</v>
      </c>
      <c r="D6" s="15" t="s">
        <v>537</v>
      </c>
      <c r="E6" s="285" t="s">
        <v>538</v>
      </c>
      <c r="F6" s="286" t="s">
        <v>539</v>
      </c>
      <c r="G6" s="76">
        <v>100</v>
      </c>
      <c r="H6" s="76">
        <v>100</v>
      </c>
      <c r="I6" s="76">
        <f ca="1">G6*(1-OFFSET(payMgmtRate,0,L6))</f>
        <v>95</v>
      </c>
      <c r="J6" s="76"/>
      <c r="K6" s="287" t="s">
        <v>530</v>
      </c>
      <c r="L6" s="288">
        <v>1</v>
      </c>
      <c r="M6" s="288">
        <v>1</v>
      </c>
      <c r="N6" s="289"/>
    </row>
    <row r="7" spans="1:20" hidden="1" x14ac:dyDescent="0.25">
      <c r="A7" s="283" t="str">
        <f t="shared" si="0"/>
        <v>C3:RR</v>
      </c>
      <c r="B7" s="284" t="s">
        <v>540</v>
      </c>
      <c r="C7" s="285" t="s">
        <v>541</v>
      </c>
      <c r="D7" s="15" t="s">
        <v>542</v>
      </c>
      <c r="E7" s="285" t="s">
        <v>528</v>
      </c>
      <c r="F7" s="286" t="s">
        <v>529</v>
      </c>
      <c r="G7" s="76">
        <v>800</v>
      </c>
      <c r="H7" s="76">
        <v>800</v>
      </c>
      <c r="I7" s="76">
        <v>5600</v>
      </c>
      <c r="J7" s="76"/>
      <c r="K7" s="287" t="s">
        <v>530</v>
      </c>
      <c r="L7" s="288"/>
      <c r="M7" s="288"/>
      <c r="N7" s="289"/>
    </row>
    <row r="8" spans="1:20" hidden="1" x14ac:dyDescent="0.25">
      <c r="A8" s="283" t="str">
        <f t="shared" si="0"/>
        <v>CBA:CRP</v>
      </c>
      <c r="B8" s="284" t="s">
        <v>543</v>
      </c>
      <c r="C8" s="285" t="s">
        <v>57</v>
      </c>
      <c r="D8" s="15" t="s">
        <v>209</v>
      </c>
      <c r="E8" s="285" t="s">
        <v>538</v>
      </c>
      <c r="F8" s="286" t="s">
        <v>529</v>
      </c>
      <c r="G8" s="76">
        <v>650</v>
      </c>
      <c r="H8" s="76">
        <v>650</v>
      </c>
      <c r="I8" s="76">
        <f ca="1">G8*(1-OFFSET(payMgmtRate,0,L8))</f>
        <v>617.5</v>
      </c>
      <c r="J8" s="76"/>
      <c r="K8" s="287" t="s">
        <v>530</v>
      </c>
      <c r="L8" s="288">
        <v>1</v>
      </c>
      <c r="M8" s="288">
        <v>1</v>
      </c>
      <c r="N8" s="289"/>
    </row>
    <row r="9" spans="1:20" hidden="1" x14ac:dyDescent="0.25">
      <c r="A9" s="283" t="str">
        <f t="shared" si="0"/>
        <v>CBA1:CRP</v>
      </c>
      <c r="B9" s="284" t="s">
        <v>544</v>
      </c>
      <c r="C9" s="285" t="s">
        <v>57</v>
      </c>
      <c r="D9" s="15" t="s">
        <v>214</v>
      </c>
      <c r="E9" s="285" t="s">
        <v>528</v>
      </c>
      <c r="F9" s="286" t="s">
        <v>529</v>
      </c>
      <c r="G9" s="76">
        <v>800</v>
      </c>
      <c r="H9" s="76">
        <v>100</v>
      </c>
      <c r="I9" s="76">
        <f ca="1">G9*(1-OFFSET(payMgmtRate,0,L9))</f>
        <v>760</v>
      </c>
      <c r="J9" s="76">
        <v>100</v>
      </c>
      <c r="K9" s="287" t="s">
        <v>530</v>
      </c>
      <c r="L9" s="288">
        <v>1</v>
      </c>
      <c r="M9" s="288">
        <v>1</v>
      </c>
      <c r="N9" s="289"/>
    </row>
    <row r="10" spans="1:20" hidden="1" x14ac:dyDescent="0.25">
      <c r="A10" s="283" t="str">
        <f t="shared" si="0"/>
        <v>CCA:SMB</v>
      </c>
      <c r="B10" s="284" t="s">
        <v>197</v>
      </c>
      <c r="C10" s="285" t="s">
        <v>533</v>
      </c>
      <c r="D10" s="15" t="s">
        <v>545</v>
      </c>
      <c r="E10" s="285" t="s">
        <v>528</v>
      </c>
      <c r="F10" s="286" t="s">
        <v>529</v>
      </c>
      <c r="G10" s="76">
        <v>725</v>
      </c>
      <c r="H10" s="76">
        <v>725</v>
      </c>
      <c r="I10" s="76">
        <f ca="1">G10*(1-OFFSET(payDirRate,0,L10))</f>
        <v>688.75</v>
      </c>
      <c r="J10" s="76"/>
      <c r="K10" s="287" t="s">
        <v>534</v>
      </c>
      <c r="L10" s="288"/>
      <c r="M10" s="288">
        <v>1</v>
      </c>
      <c r="N10" s="289"/>
    </row>
    <row r="11" spans="1:20" hidden="1" x14ac:dyDescent="0.25">
      <c r="A11" s="283" t="str">
        <f t="shared" si="0"/>
        <v>CIS:EB</v>
      </c>
      <c r="B11" s="284" t="s">
        <v>546</v>
      </c>
      <c r="C11" s="285" t="s">
        <v>547</v>
      </c>
      <c r="D11" s="15" t="s">
        <v>388</v>
      </c>
      <c r="E11" s="285" t="s">
        <v>528</v>
      </c>
      <c r="F11" s="286" t="s">
        <v>529</v>
      </c>
      <c r="G11" s="76">
        <v>800</v>
      </c>
      <c r="H11" s="76">
        <v>800</v>
      </c>
      <c r="I11" s="76">
        <v>0</v>
      </c>
      <c r="J11" s="76"/>
      <c r="K11" s="287" t="s">
        <v>530</v>
      </c>
      <c r="L11" s="288"/>
      <c r="M11" s="288">
        <v>1</v>
      </c>
      <c r="N11" s="289"/>
    </row>
    <row r="12" spans="1:20" hidden="1" x14ac:dyDescent="0.25">
      <c r="A12" s="283" t="str">
        <f t="shared" si="0"/>
        <v>CIT:SRP</v>
      </c>
      <c r="B12" s="284" t="s">
        <v>548</v>
      </c>
      <c r="C12" s="285" t="s">
        <v>536</v>
      </c>
      <c r="D12" s="15" t="s">
        <v>233</v>
      </c>
      <c r="E12" s="285" t="s">
        <v>528</v>
      </c>
      <c r="F12" s="286" t="s">
        <v>529</v>
      </c>
      <c r="G12" s="76">
        <v>1100</v>
      </c>
      <c r="H12" s="76">
        <v>1100</v>
      </c>
      <c r="I12" s="76">
        <f t="shared" ref="I12:I31" ca="1" si="1">G12*(1-OFFSET(payMgmtRate,0,L12))</f>
        <v>1045</v>
      </c>
      <c r="J12" s="76">
        <v>760</v>
      </c>
      <c r="K12" s="287" t="s">
        <v>534</v>
      </c>
      <c r="L12" s="288">
        <v>1</v>
      </c>
      <c r="M12" s="288">
        <v>1</v>
      </c>
      <c r="N12" s="289"/>
    </row>
    <row r="13" spans="1:20" hidden="1" x14ac:dyDescent="0.25">
      <c r="A13" s="283" t="str">
        <f t="shared" si="0"/>
        <v>COAL:ARH</v>
      </c>
      <c r="B13" s="284" t="s">
        <v>549</v>
      </c>
      <c r="C13" s="285" t="s">
        <v>531</v>
      </c>
      <c r="D13" s="15" t="s">
        <v>550</v>
      </c>
      <c r="E13" s="285" t="s">
        <v>528</v>
      </c>
      <c r="F13" s="286" t="s">
        <v>529</v>
      </c>
      <c r="G13" s="76">
        <v>950</v>
      </c>
      <c r="H13" s="76">
        <v>950</v>
      </c>
      <c r="I13" s="76">
        <f t="shared" ca="1" si="1"/>
        <v>902.5</v>
      </c>
      <c r="J13" s="76"/>
      <c r="K13" s="287" t="s">
        <v>530</v>
      </c>
      <c r="L13" s="288">
        <v>1</v>
      </c>
      <c r="M13" s="288">
        <v>1</v>
      </c>
      <c r="N13" s="289"/>
    </row>
    <row r="14" spans="1:20" hidden="1" x14ac:dyDescent="0.25">
      <c r="A14" s="283" t="str">
        <f t="shared" si="0"/>
        <v>CRP:SM</v>
      </c>
      <c r="B14" s="284" t="s">
        <v>57</v>
      </c>
      <c r="C14" s="285" t="s">
        <v>58</v>
      </c>
      <c r="D14" s="15" t="s">
        <v>209</v>
      </c>
      <c r="E14" s="285" t="s">
        <v>528</v>
      </c>
      <c r="F14" s="286" t="s">
        <v>529</v>
      </c>
      <c r="G14" s="76"/>
      <c r="H14" s="76"/>
      <c r="I14" s="76">
        <f t="shared" ca="1" si="1"/>
        <v>0</v>
      </c>
      <c r="J14" s="76">
        <v>5000</v>
      </c>
      <c r="K14" s="287" t="s">
        <v>530</v>
      </c>
      <c r="L14" s="288">
        <v>1</v>
      </c>
      <c r="M14" s="288">
        <v>1</v>
      </c>
      <c r="N14" s="289" t="s">
        <v>551</v>
      </c>
    </row>
    <row r="15" spans="1:20" hidden="1" x14ac:dyDescent="0.25">
      <c r="A15" s="283" t="str">
        <f t="shared" si="0"/>
        <v>CRP1:SM</v>
      </c>
      <c r="B15" s="284" t="s">
        <v>552</v>
      </c>
      <c r="C15" s="285" t="s">
        <v>58</v>
      </c>
      <c r="D15" s="15" t="s">
        <v>209</v>
      </c>
      <c r="E15" s="285" t="s">
        <v>528</v>
      </c>
      <c r="F15" s="286" t="s">
        <v>529</v>
      </c>
      <c r="G15" s="76"/>
      <c r="H15" s="76"/>
      <c r="I15" s="76">
        <f t="shared" ca="1" si="1"/>
        <v>0</v>
      </c>
      <c r="J15" s="76">
        <v>2000</v>
      </c>
      <c r="K15" s="287" t="s">
        <v>530</v>
      </c>
      <c r="L15" s="288">
        <v>1</v>
      </c>
      <c r="M15" s="288">
        <v>1</v>
      </c>
      <c r="N15" s="289" t="s">
        <v>551</v>
      </c>
    </row>
    <row r="16" spans="1:20" hidden="1" x14ac:dyDescent="0.25">
      <c r="A16" s="283" t="str">
        <f t="shared" si="0"/>
        <v>CRP2:SKR</v>
      </c>
      <c r="B16" s="284" t="s">
        <v>553</v>
      </c>
      <c r="C16" s="285" t="s">
        <v>554</v>
      </c>
      <c r="D16" s="15" t="s">
        <v>209</v>
      </c>
      <c r="E16" s="285" t="s">
        <v>528</v>
      </c>
      <c r="F16" s="286" t="s">
        <v>529</v>
      </c>
      <c r="G16" s="76"/>
      <c r="H16" s="76"/>
      <c r="I16" s="76">
        <f t="shared" ca="1" si="1"/>
        <v>0</v>
      </c>
      <c r="J16" s="76">
        <v>6000</v>
      </c>
      <c r="K16" s="287" t="s">
        <v>534</v>
      </c>
      <c r="L16" s="288">
        <v>1</v>
      </c>
      <c r="M16" s="288">
        <v>1</v>
      </c>
      <c r="N16" s="289" t="s">
        <v>555</v>
      </c>
      <c r="T16" s="62"/>
    </row>
    <row r="17" spans="1:14" hidden="1" x14ac:dyDescent="0.25">
      <c r="A17" s="283" t="str">
        <f t="shared" si="0"/>
        <v>CRP2:SM</v>
      </c>
      <c r="B17" s="284" t="s">
        <v>553</v>
      </c>
      <c r="C17" s="285" t="s">
        <v>58</v>
      </c>
      <c r="D17" s="15" t="s">
        <v>209</v>
      </c>
      <c r="E17" s="285" t="s">
        <v>528</v>
      </c>
      <c r="F17" s="286" t="s">
        <v>529</v>
      </c>
      <c r="G17" s="76"/>
      <c r="H17" s="76"/>
      <c r="I17" s="76">
        <f t="shared" ca="1" si="1"/>
        <v>0</v>
      </c>
      <c r="J17" s="76">
        <v>3000</v>
      </c>
      <c r="K17" s="287" t="s">
        <v>530</v>
      </c>
      <c r="L17" s="288">
        <v>1</v>
      </c>
      <c r="M17" s="288">
        <v>1</v>
      </c>
      <c r="N17" s="289" t="s">
        <v>551</v>
      </c>
    </row>
    <row r="18" spans="1:14" hidden="1" x14ac:dyDescent="0.25">
      <c r="A18" s="283" t="str">
        <f t="shared" si="0"/>
        <v>CRP3:SM</v>
      </c>
      <c r="B18" s="284" t="s">
        <v>556</v>
      </c>
      <c r="C18" s="285" t="s">
        <v>58</v>
      </c>
      <c r="D18" s="15" t="s">
        <v>209</v>
      </c>
      <c r="E18" s="285" t="s">
        <v>528</v>
      </c>
      <c r="F18" s="286" t="s">
        <v>529</v>
      </c>
      <c r="G18" s="76"/>
      <c r="H18" s="76"/>
      <c r="I18" s="76">
        <f t="shared" ca="1" si="1"/>
        <v>0</v>
      </c>
      <c r="J18" s="76">
        <v>8000</v>
      </c>
      <c r="K18" s="287" t="s">
        <v>534</v>
      </c>
      <c r="L18" s="288">
        <v>1</v>
      </c>
      <c r="M18" s="288">
        <v>1</v>
      </c>
      <c r="N18" s="289" t="s">
        <v>555</v>
      </c>
    </row>
    <row r="19" spans="1:14" hidden="1" x14ac:dyDescent="0.25">
      <c r="A19" s="283" t="str">
        <f t="shared" si="0"/>
        <v>EQLD50:CRP</v>
      </c>
      <c r="B19" s="284" t="s">
        <v>668</v>
      </c>
      <c r="C19" s="285" t="s">
        <v>57</v>
      </c>
      <c r="D19" s="15" t="s">
        <v>571</v>
      </c>
      <c r="E19" s="285" t="s">
        <v>528</v>
      </c>
      <c r="F19" s="286" t="s">
        <v>529</v>
      </c>
      <c r="G19" s="76">
        <f>1000*0.5</f>
        <v>500</v>
      </c>
      <c r="H19" s="76">
        <f>1000*0.5</f>
        <v>500</v>
      </c>
      <c r="I19" s="76">
        <f>1000*0.98*0.5</f>
        <v>490</v>
      </c>
      <c r="J19" s="76"/>
      <c r="K19" s="287" t="s">
        <v>573</v>
      </c>
      <c r="L19" s="288">
        <v>1</v>
      </c>
      <c r="M19" s="288">
        <v>1</v>
      </c>
      <c r="N19" s="289"/>
    </row>
    <row r="20" spans="1:14" hidden="1" x14ac:dyDescent="0.25">
      <c r="A20" s="283" t="str">
        <f t="shared" si="0"/>
        <v>EQLD50:SM</v>
      </c>
      <c r="B20" s="284" t="s">
        <v>668</v>
      </c>
      <c r="C20" s="285" t="s">
        <v>58</v>
      </c>
      <c r="D20" s="15" t="s">
        <v>571</v>
      </c>
      <c r="E20" s="285" t="s">
        <v>528</v>
      </c>
      <c r="F20" s="286" t="s">
        <v>529</v>
      </c>
      <c r="G20" s="76">
        <f>1000*0.5</f>
        <v>500</v>
      </c>
      <c r="H20" s="76">
        <f>1000*0.5</f>
        <v>500</v>
      </c>
      <c r="I20" s="76">
        <f>1000*0.98*0.5</f>
        <v>490</v>
      </c>
      <c r="J20" s="76"/>
      <c r="K20" s="287" t="s">
        <v>573</v>
      </c>
      <c r="L20" s="288">
        <v>1</v>
      </c>
      <c r="M20" s="288">
        <v>1</v>
      </c>
      <c r="N20" s="289"/>
    </row>
    <row r="21" spans="1:14" hidden="1" x14ac:dyDescent="0.25">
      <c r="A21" s="283" t="str">
        <f t="shared" ref="A21:A22" si="2">B21&amp;":"&amp;C21</f>
        <v>EQLD50:DP</v>
      </c>
      <c r="B21" s="284" t="s">
        <v>668</v>
      </c>
      <c r="C21" s="285" t="s">
        <v>669</v>
      </c>
      <c r="D21" s="15" t="s">
        <v>571</v>
      </c>
      <c r="E21" s="285" t="s">
        <v>570</v>
      </c>
      <c r="F21" s="286" t="s">
        <v>529</v>
      </c>
      <c r="G21" s="76">
        <f>900*0.5</f>
        <v>450</v>
      </c>
      <c r="H21" s="76">
        <f>900*0.5</f>
        <v>450</v>
      </c>
      <c r="I21" s="76">
        <f>900*0.95*0.5</f>
        <v>427.5</v>
      </c>
      <c r="J21" s="76"/>
      <c r="K21" s="287" t="s">
        <v>573</v>
      </c>
      <c r="L21" s="288">
        <v>1</v>
      </c>
      <c r="M21" s="288">
        <v>1</v>
      </c>
      <c r="N21" s="289"/>
    </row>
    <row r="22" spans="1:14" hidden="1" x14ac:dyDescent="0.25">
      <c r="A22" s="283" t="str">
        <f t="shared" si="2"/>
        <v>EQLD50:ANK</v>
      </c>
      <c r="B22" s="284" t="s">
        <v>668</v>
      </c>
      <c r="C22" s="285" t="s">
        <v>678</v>
      </c>
      <c r="D22" s="15" t="s">
        <v>571</v>
      </c>
      <c r="E22" s="285" t="s">
        <v>570</v>
      </c>
      <c r="F22" s="286" t="s">
        <v>529</v>
      </c>
      <c r="G22" s="76">
        <f>900*0.5</f>
        <v>450</v>
      </c>
      <c r="H22" s="76">
        <f>900*0.5</f>
        <v>450</v>
      </c>
      <c r="I22" s="76">
        <f>900*0.95*0.5</f>
        <v>427.5</v>
      </c>
      <c r="J22" s="76"/>
      <c r="K22" s="287" t="s">
        <v>573</v>
      </c>
      <c r="L22" s="288">
        <v>1</v>
      </c>
      <c r="M22" s="288">
        <v>1</v>
      </c>
      <c r="N22" s="289"/>
    </row>
    <row r="23" spans="1:14" hidden="1" x14ac:dyDescent="0.25">
      <c r="A23" s="283" t="str">
        <f t="shared" si="0"/>
        <v>EQLD50:VAK</v>
      </c>
      <c r="B23" s="284" t="s">
        <v>668</v>
      </c>
      <c r="C23" s="285" t="s">
        <v>657</v>
      </c>
      <c r="D23" s="15" t="s">
        <v>660</v>
      </c>
      <c r="E23" s="285" t="s">
        <v>528</v>
      </c>
      <c r="F23" s="286" t="s">
        <v>529</v>
      </c>
      <c r="G23" s="76">
        <f>890*0.5</f>
        <v>445</v>
      </c>
      <c r="H23" s="76">
        <f>890*0.5</f>
        <v>445</v>
      </c>
      <c r="I23" s="76">
        <f>890*0.95*0.5</f>
        <v>422.75</v>
      </c>
      <c r="J23" s="76"/>
      <c r="K23" s="287" t="s">
        <v>573</v>
      </c>
      <c r="L23" s="288">
        <v>1</v>
      </c>
      <c r="M23" s="288">
        <v>1</v>
      </c>
      <c r="N23" s="289"/>
    </row>
    <row r="24" spans="1:14" hidden="1" x14ac:dyDescent="0.25">
      <c r="A24" s="283" t="str">
        <f t="shared" si="0"/>
        <v>EQLD50:ASW</v>
      </c>
      <c r="B24" s="284" t="s">
        <v>668</v>
      </c>
      <c r="C24" s="285" t="s">
        <v>658</v>
      </c>
      <c r="D24" s="15" t="s">
        <v>660</v>
      </c>
      <c r="E24" s="285" t="s">
        <v>528</v>
      </c>
      <c r="F24" s="286" t="s">
        <v>529</v>
      </c>
      <c r="G24" s="76">
        <f>890*0.5</f>
        <v>445</v>
      </c>
      <c r="H24" s="76">
        <f>890*0.5</f>
        <v>445</v>
      </c>
      <c r="I24" s="76">
        <f>890*0.95*0.5</f>
        <v>422.75</v>
      </c>
      <c r="J24" s="76"/>
      <c r="K24" s="287" t="s">
        <v>573</v>
      </c>
      <c r="L24" s="288">
        <v>1</v>
      </c>
      <c r="M24" s="288">
        <v>1</v>
      </c>
      <c r="N24" s="289"/>
    </row>
    <row r="25" spans="1:14" hidden="1" x14ac:dyDescent="0.25">
      <c r="A25" s="283" t="str">
        <f t="shared" ref="A25:A26" si="3">B25&amp;":"&amp;C25</f>
        <v>EQLD62:VAK</v>
      </c>
      <c r="B25" s="284" t="s">
        <v>674</v>
      </c>
      <c r="C25" s="285" t="s">
        <v>657</v>
      </c>
      <c r="D25" s="15" t="s">
        <v>660</v>
      </c>
      <c r="E25" s="285" t="s">
        <v>528</v>
      </c>
      <c r="F25" s="286" t="s">
        <v>529</v>
      </c>
      <c r="G25" s="76">
        <f>890*0.7</f>
        <v>623</v>
      </c>
      <c r="H25" s="76">
        <f>890*0.7</f>
        <v>623</v>
      </c>
      <c r="I25" s="76">
        <f>890*0.95*0.62</f>
        <v>524.21</v>
      </c>
      <c r="J25" s="76"/>
      <c r="K25" s="287" t="s">
        <v>573</v>
      </c>
      <c r="L25" s="288">
        <v>1</v>
      </c>
      <c r="M25" s="288">
        <v>1</v>
      </c>
      <c r="N25" s="289"/>
    </row>
    <row r="26" spans="1:14" hidden="1" x14ac:dyDescent="0.25">
      <c r="A26" s="283" t="str">
        <f t="shared" si="3"/>
        <v>EQLD38:ASW</v>
      </c>
      <c r="B26" s="284" t="s">
        <v>673</v>
      </c>
      <c r="C26" s="285" t="s">
        <v>658</v>
      </c>
      <c r="D26" s="15" t="s">
        <v>660</v>
      </c>
      <c r="E26" s="285" t="s">
        <v>528</v>
      </c>
      <c r="F26" s="286" t="s">
        <v>529</v>
      </c>
      <c r="G26" s="76">
        <f>890*0.3</f>
        <v>267</v>
      </c>
      <c r="H26" s="76">
        <f>890*0.3</f>
        <v>267</v>
      </c>
      <c r="I26" s="76">
        <f>890*0.95*0.38</f>
        <v>321.29000000000002</v>
      </c>
      <c r="J26" s="76"/>
      <c r="K26" s="287" t="s">
        <v>573</v>
      </c>
      <c r="L26" s="288">
        <v>1</v>
      </c>
      <c r="M26" s="288">
        <v>1</v>
      </c>
      <c r="N26" s="289"/>
    </row>
    <row r="27" spans="1:14" hidden="1" x14ac:dyDescent="0.25">
      <c r="A27" s="283" t="str">
        <f t="shared" ref="A27:A28" si="4">B27&amp;":"&amp;C27</f>
        <v>EQLD62a:VAK</v>
      </c>
      <c r="B27" s="284" t="s">
        <v>777</v>
      </c>
      <c r="C27" s="285" t="s">
        <v>657</v>
      </c>
      <c r="D27" s="15" t="s">
        <v>660</v>
      </c>
      <c r="E27" s="285" t="s">
        <v>528</v>
      </c>
      <c r="F27" s="286" t="s">
        <v>529</v>
      </c>
      <c r="G27" s="76">
        <f>890.21*0.7</f>
        <v>623.14699999999993</v>
      </c>
      <c r="H27" s="76">
        <f>890.21*0.7</f>
        <v>623.14699999999993</v>
      </c>
      <c r="I27" s="76">
        <f>890.21*0.95*0.62</f>
        <v>524.33368999999993</v>
      </c>
      <c r="J27" s="76"/>
      <c r="K27" s="287" t="s">
        <v>573</v>
      </c>
      <c r="L27" s="288">
        <v>1</v>
      </c>
      <c r="M27" s="288">
        <v>1</v>
      </c>
      <c r="N27" s="289"/>
    </row>
    <row r="28" spans="1:14" hidden="1" x14ac:dyDescent="0.25">
      <c r="A28" s="283" t="str">
        <f t="shared" si="4"/>
        <v>EQLD38a:ASW</v>
      </c>
      <c r="B28" s="284" t="s">
        <v>778</v>
      </c>
      <c r="C28" s="285" t="s">
        <v>658</v>
      </c>
      <c r="D28" s="15" t="s">
        <v>660</v>
      </c>
      <c r="E28" s="285" t="s">
        <v>528</v>
      </c>
      <c r="F28" s="286" t="s">
        <v>529</v>
      </c>
      <c r="G28" s="76">
        <f>890.21*0.3</f>
        <v>267.06299999999999</v>
      </c>
      <c r="H28" s="76">
        <f>890.21*0.3</f>
        <v>267.06299999999999</v>
      </c>
      <c r="I28" s="76">
        <f>890.21*0.95*0.38</f>
        <v>321.36581000000001</v>
      </c>
      <c r="J28" s="76"/>
      <c r="K28" s="287" t="s">
        <v>573</v>
      </c>
      <c r="L28" s="288">
        <v>1</v>
      </c>
      <c r="M28" s="288">
        <v>1</v>
      </c>
      <c r="N28" s="289"/>
    </row>
    <row r="29" spans="1:14" hidden="1" x14ac:dyDescent="0.25">
      <c r="A29" s="283" t="str">
        <f t="shared" si="0"/>
        <v>CWB:SRP</v>
      </c>
      <c r="B29" s="284" t="s">
        <v>557</v>
      </c>
      <c r="C29" s="285" t="s">
        <v>536</v>
      </c>
      <c r="D29" s="15" t="s">
        <v>537</v>
      </c>
      <c r="E29" s="285" t="s">
        <v>538</v>
      </c>
      <c r="F29" s="286" t="s">
        <v>539</v>
      </c>
      <c r="G29" s="76">
        <v>100</v>
      </c>
      <c r="H29" s="76">
        <v>100</v>
      </c>
      <c r="I29" s="76">
        <f t="shared" ca="1" si="1"/>
        <v>95</v>
      </c>
      <c r="J29" s="76"/>
      <c r="K29" s="287" t="s">
        <v>530</v>
      </c>
      <c r="L29" s="288">
        <v>1</v>
      </c>
      <c r="M29" s="288">
        <v>1</v>
      </c>
      <c r="N29" s="289"/>
    </row>
    <row r="30" spans="1:14" hidden="1" x14ac:dyDescent="0.25">
      <c r="A30" s="283" t="str">
        <f t="shared" si="0"/>
        <v>DUMMY:SRP</v>
      </c>
      <c r="B30" s="284" t="s">
        <v>558</v>
      </c>
      <c r="C30" s="285" t="s">
        <v>536</v>
      </c>
      <c r="D30" s="15" t="s">
        <v>559</v>
      </c>
      <c r="E30" s="285" t="s">
        <v>528</v>
      </c>
      <c r="F30" s="286" t="s">
        <v>529</v>
      </c>
      <c r="G30" s="76">
        <v>631.58000000000004</v>
      </c>
      <c r="H30" s="76">
        <v>1090</v>
      </c>
      <c r="I30" s="76">
        <f t="shared" ca="1" si="1"/>
        <v>600.00099999999998</v>
      </c>
      <c r="J30" s="76"/>
      <c r="K30" s="287" t="s">
        <v>530</v>
      </c>
      <c r="L30" s="288">
        <v>1</v>
      </c>
      <c r="M30" s="288">
        <v>1</v>
      </c>
      <c r="N30" s="289"/>
    </row>
    <row r="31" spans="1:14" hidden="1" x14ac:dyDescent="0.25">
      <c r="A31" s="283" t="str">
        <f t="shared" si="0"/>
        <v>EB:CRP</v>
      </c>
      <c r="B31" s="284" t="s">
        <v>547</v>
      </c>
      <c r="C31" s="285" t="s">
        <v>57</v>
      </c>
      <c r="D31" s="15" t="s">
        <v>234</v>
      </c>
      <c r="E31" s="285" t="s">
        <v>528</v>
      </c>
      <c r="F31" s="286" t="s">
        <v>529</v>
      </c>
      <c r="G31" s="76">
        <v>900</v>
      </c>
      <c r="H31" s="76">
        <v>100</v>
      </c>
      <c r="I31" s="76">
        <f t="shared" ca="1" si="1"/>
        <v>855</v>
      </c>
      <c r="J31" s="76">
        <v>100</v>
      </c>
      <c r="K31" s="287" t="s">
        <v>534</v>
      </c>
      <c r="L31" s="288">
        <v>1</v>
      </c>
      <c r="M31" s="288">
        <v>1</v>
      </c>
      <c r="N31" s="289"/>
    </row>
    <row r="32" spans="1:14" hidden="1" x14ac:dyDescent="0.25">
      <c r="A32" s="283" t="str">
        <f t="shared" si="0"/>
        <v>EB:KMP</v>
      </c>
      <c r="B32" s="284" t="s">
        <v>547</v>
      </c>
      <c r="C32" s="285" t="s">
        <v>560</v>
      </c>
      <c r="D32" s="15" t="s">
        <v>388</v>
      </c>
      <c r="E32" s="285" t="s">
        <v>528</v>
      </c>
      <c r="F32" s="286" t="s">
        <v>529</v>
      </c>
      <c r="G32" s="76"/>
      <c r="H32" s="76"/>
      <c r="I32" s="76"/>
      <c r="J32" s="76">
        <v>6000</v>
      </c>
      <c r="K32" s="287" t="s">
        <v>534</v>
      </c>
      <c r="L32" s="288"/>
      <c r="M32" s="288">
        <v>1</v>
      </c>
      <c r="N32" s="289"/>
    </row>
    <row r="33" spans="1:14" hidden="1" x14ac:dyDescent="0.25">
      <c r="A33" s="283" t="str">
        <f t="shared" si="0"/>
        <v>EB:SKR</v>
      </c>
      <c r="B33" s="284" t="s">
        <v>547</v>
      </c>
      <c r="C33" s="285" t="s">
        <v>554</v>
      </c>
      <c r="D33" s="15" t="s">
        <v>388</v>
      </c>
      <c r="E33" s="285" t="s">
        <v>528</v>
      </c>
      <c r="F33" s="286" t="s">
        <v>529</v>
      </c>
      <c r="G33" s="76"/>
      <c r="H33" s="76"/>
      <c r="I33" s="76"/>
      <c r="J33" s="76">
        <v>7000</v>
      </c>
      <c r="K33" s="287" t="s">
        <v>534</v>
      </c>
      <c r="L33" s="288"/>
      <c r="M33" s="288">
        <v>1</v>
      </c>
      <c r="N33" s="289"/>
    </row>
    <row r="34" spans="1:14" hidden="1" x14ac:dyDescent="0.25">
      <c r="A34" s="283" t="str">
        <f t="shared" si="0"/>
        <v>EB:SRP</v>
      </c>
      <c r="B34" s="284" t="s">
        <v>547</v>
      </c>
      <c r="C34" s="285" t="s">
        <v>536</v>
      </c>
      <c r="D34" s="15" t="s">
        <v>388</v>
      </c>
      <c r="E34" s="285" t="s">
        <v>528</v>
      </c>
      <c r="F34" s="286" t="s">
        <v>529</v>
      </c>
      <c r="G34" s="76"/>
      <c r="H34" s="76"/>
      <c r="I34" s="76"/>
      <c r="J34" s="76">
        <v>7000</v>
      </c>
      <c r="K34" s="287" t="s">
        <v>534</v>
      </c>
      <c r="L34" s="288"/>
      <c r="M34" s="288"/>
      <c r="N34" s="289"/>
    </row>
    <row r="35" spans="1:14" hidden="1" x14ac:dyDescent="0.25">
      <c r="A35" s="283" t="str">
        <f t="shared" si="0"/>
        <v>EB:SS</v>
      </c>
      <c r="B35" s="284" t="s">
        <v>547</v>
      </c>
      <c r="C35" s="285" t="s">
        <v>561</v>
      </c>
      <c r="D35" s="15" t="s">
        <v>388</v>
      </c>
      <c r="E35" s="285" t="s">
        <v>528</v>
      </c>
      <c r="F35" s="286" t="s">
        <v>529</v>
      </c>
      <c r="G35" s="76"/>
      <c r="H35" s="76"/>
      <c r="I35" s="76"/>
      <c r="J35" s="76">
        <v>8000</v>
      </c>
      <c r="K35" s="287" t="s">
        <v>534</v>
      </c>
      <c r="L35" s="288"/>
      <c r="M35" s="288">
        <v>1</v>
      </c>
      <c r="N35" s="289"/>
    </row>
    <row r="36" spans="1:14" hidden="1" x14ac:dyDescent="0.25">
      <c r="A36" s="283" t="str">
        <f t="shared" si="0"/>
        <v>EB1:CRP</v>
      </c>
      <c r="B36" s="284" t="s">
        <v>562</v>
      </c>
      <c r="C36" s="285" t="s">
        <v>57</v>
      </c>
      <c r="D36" s="15" t="s">
        <v>388</v>
      </c>
      <c r="E36" s="285" t="s">
        <v>528</v>
      </c>
      <c r="F36" s="286" t="s">
        <v>529</v>
      </c>
      <c r="G36" s="76"/>
      <c r="H36" s="76"/>
      <c r="I36" s="76"/>
      <c r="J36" s="76">
        <v>12000</v>
      </c>
      <c r="K36" s="287" t="s">
        <v>534</v>
      </c>
      <c r="L36" s="288"/>
      <c r="M36" s="288"/>
      <c r="N36" s="289"/>
    </row>
    <row r="37" spans="1:14" hidden="1" x14ac:dyDescent="0.25">
      <c r="A37" s="283" t="str">
        <f t="shared" si="0"/>
        <v>EB1:SRP</v>
      </c>
      <c r="B37" s="284" t="s">
        <v>562</v>
      </c>
      <c r="C37" s="285" t="s">
        <v>536</v>
      </c>
      <c r="D37" s="15" t="s">
        <v>388</v>
      </c>
      <c r="E37" s="285" t="s">
        <v>528</v>
      </c>
      <c r="F37" s="286" t="s">
        <v>529</v>
      </c>
      <c r="G37" s="76"/>
      <c r="H37" s="76"/>
      <c r="I37" s="76"/>
      <c r="J37" s="76">
        <v>13440</v>
      </c>
      <c r="K37" s="287" t="s">
        <v>534</v>
      </c>
      <c r="L37" s="288"/>
      <c r="M37" s="288"/>
      <c r="N37" s="289"/>
    </row>
    <row r="38" spans="1:14" hidden="1" x14ac:dyDescent="0.25">
      <c r="A38" s="283" t="str">
        <f t="shared" si="0"/>
        <v>EXPERIS:CRP</v>
      </c>
      <c r="B38" s="284" t="s">
        <v>563</v>
      </c>
      <c r="C38" s="285" t="s">
        <v>57</v>
      </c>
      <c r="D38" s="15" t="s">
        <v>559</v>
      </c>
      <c r="E38" s="285" t="s">
        <v>528</v>
      </c>
      <c r="F38" s="286" t="s">
        <v>539</v>
      </c>
      <c r="G38" s="76">
        <v>94.07</v>
      </c>
      <c r="H38" s="76">
        <v>94.07</v>
      </c>
      <c r="I38" s="76">
        <f ca="1">G38*(1-OFFSET(payMgmtRate,0,L38))</f>
        <v>90.777549999999991</v>
      </c>
      <c r="J38" s="76"/>
      <c r="K38" s="287" t="s">
        <v>534</v>
      </c>
      <c r="L38" s="288">
        <v>2</v>
      </c>
      <c r="M38" s="288">
        <v>1</v>
      </c>
      <c r="N38" s="289"/>
    </row>
    <row r="39" spans="1:14" hidden="1" x14ac:dyDescent="0.25">
      <c r="A39" s="283" t="str">
        <f t="shared" si="0"/>
        <v>EXPERIS:SRP</v>
      </c>
      <c r="B39" s="284" t="s">
        <v>563</v>
      </c>
      <c r="C39" s="285" t="s">
        <v>536</v>
      </c>
      <c r="D39" s="15" t="s">
        <v>559</v>
      </c>
      <c r="E39" s="285" t="s">
        <v>528</v>
      </c>
      <c r="F39" s="286" t="s">
        <v>539</v>
      </c>
      <c r="G39" s="76">
        <v>94.07</v>
      </c>
      <c r="H39" s="76">
        <v>94.07</v>
      </c>
      <c r="I39" s="76">
        <f ca="1">G39*(1-OFFSET(payMgmtRate,0,L39))</f>
        <v>90.777549999999991</v>
      </c>
      <c r="J39" s="76"/>
      <c r="K39" s="287" t="s">
        <v>534</v>
      </c>
      <c r="L39" s="288">
        <v>2</v>
      </c>
      <c r="M39" s="288">
        <v>1</v>
      </c>
      <c r="N39" s="289"/>
    </row>
    <row r="40" spans="1:14" hidden="1" x14ac:dyDescent="0.25">
      <c r="A40" s="283" t="str">
        <f t="shared" si="0"/>
        <v>HCL:AP</v>
      </c>
      <c r="B40" s="284" t="s">
        <v>231</v>
      </c>
      <c r="C40" s="285" t="s">
        <v>564</v>
      </c>
      <c r="D40" s="15" t="s">
        <v>212</v>
      </c>
      <c r="E40" s="285" t="s">
        <v>528</v>
      </c>
      <c r="F40" s="286" t="s">
        <v>529</v>
      </c>
      <c r="G40" s="76">
        <v>700</v>
      </c>
      <c r="H40" s="76">
        <v>700</v>
      </c>
      <c r="I40" s="76">
        <v>630</v>
      </c>
      <c r="J40" s="76"/>
      <c r="K40" s="287" t="s">
        <v>530</v>
      </c>
      <c r="L40" s="288"/>
      <c r="M40" s="288">
        <v>1</v>
      </c>
      <c r="N40" s="289"/>
    </row>
    <row r="41" spans="1:14" hidden="1" x14ac:dyDescent="0.25">
      <c r="A41" s="283" t="str">
        <f t="shared" si="0"/>
        <v>HCL2:AP</v>
      </c>
      <c r="B41" s="284" t="s">
        <v>565</v>
      </c>
      <c r="C41" s="285" t="s">
        <v>564</v>
      </c>
      <c r="D41" s="15" t="s">
        <v>212</v>
      </c>
      <c r="E41" s="285" t="s">
        <v>528</v>
      </c>
      <c r="F41" s="286" t="s">
        <v>529</v>
      </c>
      <c r="G41" s="76">
        <v>800</v>
      </c>
      <c r="H41" s="76">
        <v>800</v>
      </c>
      <c r="I41" s="76">
        <v>752</v>
      </c>
      <c r="J41" s="76"/>
      <c r="K41" s="287" t="s">
        <v>530</v>
      </c>
      <c r="L41" s="288"/>
      <c r="M41" s="288">
        <v>1</v>
      </c>
      <c r="N41" s="289"/>
    </row>
    <row r="42" spans="1:14" hidden="1" x14ac:dyDescent="0.25">
      <c r="A42" s="283" t="str">
        <f t="shared" si="0"/>
        <v>IAG:MAM</v>
      </c>
      <c r="B42" s="284" t="s">
        <v>350</v>
      </c>
      <c r="C42" s="285" t="s">
        <v>55</v>
      </c>
      <c r="D42" s="15" t="s">
        <v>217</v>
      </c>
      <c r="E42" s="285" t="s">
        <v>528</v>
      </c>
      <c r="F42" s="286" t="s">
        <v>529</v>
      </c>
      <c r="G42" s="76">
        <v>900</v>
      </c>
      <c r="H42" s="76">
        <v>900</v>
      </c>
      <c r="I42" s="76"/>
      <c r="J42" s="76"/>
      <c r="K42" s="287" t="s">
        <v>530</v>
      </c>
      <c r="L42" s="288">
        <v>2</v>
      </c>
      <c r="M42" s="288"/>
      <c r="N42" s="289"/>
    </row>
    <row r="43" spans="1:14" hidden="1" x14ac:dyDescent="0.25">
      <c r="A43" s="283" t="str">
        <f t="shared" si="0"/>
        <v>TMB:MAM</v>
      </c>
      <c r="B43" s="284" t="s">
        <v>566</v>
      </c>
      <c r="C43" s="285" t="s">
        <v>55</v>
      </c>
      <c r="D43" s="15" t="s">
        <v>567</v>
      </c>
      <c r="E43" s="285" t="s">
        <v>528</v>
      </c>
      <c r="F43" s="286" t="s">
        <v>529</v>
      </c>
      <c r="G43" s="76">
        <v>800</v>
      </c>
      <c r="H43" s="76">
        <v>800</v>
      </c>
      <c r="I43" s="76"/>
      <c r="J43" s="76"/>
      <c r="K43" s="287" t="s">
        <v>530</v>
      </c>
      <c r="L43" s="288">
        <v>2</v>
      </c>
      <c r="M43" s="288"/>
      <c r="N43" s="289"/>
    </row>
    <row r="44" spans="1:14" hidden="1" x14ac:dyDescent="0.25">
      <c r="A44" s="283" t="str">
        <f t="shared" si="0"/>
        <v>MAGMA:MAM</v>
      </c>
      <c r="B44" s="284" t="s">
        <v>495</v>
      </c>
      <c r="C44" s="285" t="s">
        <v>55</v>
      </c>
      <c r="D44" s="15" t="s">
        <v>559</v>
      </c>
      <c r="E44" s="285" t="s">
        <v>568</v>
      </c>
      <c r="F44" s="286" t="s">
        <v>529</v>
      </c>
      <c r="G44" s="76"/>
      <c r="H44" s="76"/>
      <c r="I44" s="76">
        <v>60000</v>
      </c>
      <c r="J44" s="76"/>
      <c r="K44" s="287" t="s">
        <v>534</v>
      </c>
      <c r="L44" s="288"/>
      <c r="M44" s="288"/>
      <c r="N44" s="289"/>
    </row>
    <row r="45" spans="1:14" hidden="1" x14ac:dyDescent="0.25">
      <c r="A45" s="283" t="str">
        <f t="shared" ref="A45:A77" si="5">B45&amp;":"&amp;C45</f>
        <v>MAGMA:JEC</v>
      </c>
      <c r="B45" s="284" t="s">
        <v>495</v>
      </c>
      <c r="C45" s="285" t="s">
        <v>56</v>
      </c>
      <c r="D45" s="15" t="s">
        <v>559</v>
      </c>
      <c r="E45" s="285" t="s">
        <v>528</v>
      </c>
      <c r="F45" s="286" t="s">
        <v>529</v>
      </c>
      <c r="G45" s="76">
        <v>6000</v>
      </c>
      <c r="H45" s="76">
        <v>6000</v>
      </c>
      <c r="I45" s="76">
        <v>5820</v>
      </c>
      <c r="J45" s="76"/>
      <c r="K45" s="287" t="s">
        <v>534</v>
      </c>
      <c r="L45" s="288">
        <v>0</v>
      </c>
      <c r="M45" s="288">
        <v>1</v>
      </c>
      <c r="N45" s="289"/>
    </row>
    <row r="46" spans="1:14" hidden="1" x14ac:dyDescent="0.25">
      <c r="A46" s="283" t="str">
        <f t="shared" si="5"/>
        <v>MLC:MAM</v>
      </c>
      <c r="B46" s="284" t="s">
        <v>180</v>
      </c>
      <c r="C46" s="285" t="s">
        <v>55</v>
      </c>
      <c r="D46" s="15" t="s">
        <v>182</v>
      </c>
      <c r="E46" s="285" t="s">
        <v>528</v>
      </c>
      <c r="F46" s="286" t="s">
        <v>529</v>
      </c>
      <c r="G46" s="76">
        <v>945</v>
      </c>
      <c r="H46" s="76">
        <v>945</v>
      </c>
      <c r="I46" s="76">
        <v>15000</v>
      </c>
      <c r="J46" s="76"/>
      <c r="K46" s="287" t="s">
        <v>530</v>
      </c>
      <c r="L46" s="288">
        <v>2</v>
      </c>
      <c r="M46" s="288">
        <v>1</v>
      </c>
      <c r="N46" s="289"/>
    </row>
    <row r="47" spans="1:14" hidden="1" x14ac:dyDescent="0.25">
      <c r="A47" s="283" t="str">
        <f t="shared" si="5"/>
        <v>NAB:MAM</v>
      </c>
      <c r="B47" s="284" t="s">
        <v>504</v>
      </c>
      <c r="C47" s="285" t="s">
        <v>55</v>
      </c>
      <c r="D47" s="15" t="s">
        <v>183</v>
      </c>
      <c r="E47" s="285" t="s">
        <v>528</v>
      </c>
      <c r="F47" s="286" t="s">
        <v>529</v>
      </c>
      <c r="G47" s="76">
        <v>950</v>
      </c>
      <c r="H47" s="76">
        <v>950</v>
      </c>
      <c r="I47" s="76">
        <v>900</v>
      </c>
      <c r="J47" s="76"/>
      <c r="K47" s="287" t="s">
        <v>530</v>
      </c>
      <c r="L47" s="288">
        <v>1</v>
      </c>
      <c r="M47" s="288">
        <v>1</v>
      </c>
      <c r="N47" s="289"/>
    </row>
    <row r="48" spans="1:14" hidden="1" x14ac:dyDescent="0.25">
      <c r="A48" s="283" t="str">
        <f t="shared" si="5"/>
        <v>MINE:MAM</v>
      </c>
      <c r="B48" s="284" t="s">
        <v>659</v>
      </c>
      <c r="C48" s="285" t="s">
        <v>55</v>
      </c>
      <c r="D48" s="15" t="s">
        <v>559</v>
      </c>
      <c r="E48" s="285" t="s">
        <v>528</v>
      </c>
      <c r="F48" s="286" t="s">
        <v>529</v>
      </c>
      <c r="G48" s="76">
        <v>950</v>
      </c>
      <c r="H48" s="76">
        <v>950</v>
      </c>
      <c r="I48" s="76">
        <v>900</v>
      </c>
      <c r="J48" s="76"/>
      <c r="K48" s="287" t="s">
        <v>530</v>
      </c>
      <c r="L48" s="288">
        <v>1</v>
      </c>
      <c r="M48" s="288">
        <v>1</v>
      </c>
      <c r="N48" s="289"/>
    </row>
    <row r="49" spans="1:14" hidden="1" x14ac:dyDescent="0.25">
      <c r="A49" s="283" t="str">
        <f t="shared" si="5"/>
        <v>NEWS:MAM</v>
      </c>
      <c r="B49" s="284" t="s">
        <v>503</v>
      </c>
      <c r="C49" s="285" t="s">
        <v>55</v>
      </c>
      <c r="D49" s="15" t="s">
        <v>224</v>
      </c>
      <c r="E49" s="285" t="s">
        <v>528</v>
      </c>
      <c r="F49" s="286" t="s">
        <v>529</v>
      </c>
      <c r="G49" s="76">
        <v>950</v>
      </c>
      <c r="H49" s="76">
        <v>950</v>
      </c>
      <c r="I49" s="76"/>
      <c r="J49" s="76"/>
      <c r="K49" s="287" t="s">
        <v>530</v>
      </c>
      <c r="L49" s="288">
        <v>2</v>
      </c>
      <c r="M49" s="288">
        <v>1</v>
      </c>
      <c r="N49" s="289"/>
    </row>
    <row r="50" spans="1:14" hidden="1" x14ac:dyDescent="0.25">
      <c r="A50" s="283" t="str">
        <f t="shared" si="5"/>
        <v>NEWS:SRP</v>
      </c>
      <c r="B50" s="284" t="s">
        <v>503</v>
      </c>
      <c r="C50" s="285" t="s">
        <v>536</v>
      </c>
      <c r="D50" s="15" t="s">
        <v>569</v>
      </c>
      <c r="E50" s="285" t="s">
        <v>570</v>
      </c>
      <c r="F50" s="286" t="s">
        <v>529</v>
      </c>
      <c r="G50" s="76">
        <v>850</v>
      </c>
      <c r="H50" s="76">
        <v>850</v>
      </c>
      <c r="I50" s="76">
        <f ca="1">G50*(1-OFFSET(payMgmtRate,0,L50))</f>
        <v>807.5</v>
      </c>
      <c r="J50" s="76"/>
      <c r="K50" s="287" t="s">
        <v>530</v>
      </c>
      <c r="L50" s="288">
        <v>1</v>
      </c>
      <c r="M50" s="288">
        <v>1</v>
      </c>
      <c r="N50" s="289"/>
    </row>
    <row r="51" spans="1:14" hidden="1" x14ac:dyDescent="0.25">
      <c r="A51" s="283" t="str">
        <f t="shared" si="5"/>
        <v>NBN:MAM</v>
      </c>
      <c r="B51" s="284" t="s">
        <v>370</v>
      </c>
      <c r="C51" s="285" t="s">
        <v>55</v>
      </c>
      <c r="D51" s="15" t="s">
        <v>571</v>
      </c>
      <c r="E51" s="285" t="s">
        <v>528</v>
      </c>
      <c r="F51" s="286" t="s">
        <v>529</v>
      </c>
      <c r="G51" s="76">
        <v>800</v>
      </c>
      <c r="H51" s="76">
        <v>800</v>
      </c>
      <c r="I51" s="76"/>
      <c r="J51" s="76"/>
      <c r="K51" s="287" t="s">
        <v>530</v>
      </c>
      <c r="L51" s="288">
        <v>2</v>
      </c>
      <c r="M51" s="288">
        <v>1</v>
      </c>
      <c r="N51" s="289"/>
    </row>
    <row r="52" spans="1:14" hidden="1" x14ac:dyDescent="0.25">
      <c r="A52" s="283" t="str">
        <f t="shared" si="5"/>
        <v>NBN2:MAM</v>
      </c>
      <c r="B52" s="284" t="s">
        <v>500</v>
      </c>
      <c r="C52" s="285" t="s">
        <v>55</v>
      </c>
      <c r="D52" s="15" t="s">
        <v>571</v>
      </c>
      <c r="E52" s="285" t="s">
        <v>528</v>
      </c>
      <c r="F52" s="286" t="s">
        <v>529</v>
      </c>
      <c r="G52" s="76">
        <v>850</v>
      </c>
      <c r="H52" s="76">
        <v>850</v>
      </c>
      <c r="I52" s="76"/>
      <c r="J52" s="76"/>
      <c r="K52" s="287" t="s">
        <v>530</v>
      </c>
      <c r="L52" s="288">
        <v>2</v>
      </c>
      <c r="M52" s="288">
        <v>1</v>
      </c>
      <c r="N52" s="289"/>
    </row>
    <row r="53" spans="1:14" hidden="1" x14ac:dyDescent="0.25">
      <c r="A53" s="283" t="str">
        <f t="shared" si="5"/>
        <v>NBN:RPG</v>
      </c>
      <c r="B53" s="284" t="s">
        <v>370</v>
      </c>
      <c r="C53" s="285" t="s">
        <v>59</v>
      </c>
      <c r="D53" s="15" t="s">
        <v>571</v>
      </c>
      <c r="E53" s="285" t="s">
        <v>528</v>
      </c>
      <c r="F53" s="286" t="s">
        <v>529</v>
      </c>
      <c r="G53" s="76">
        <v>700</v>
      </c>
      <c r="H53" s="76">
        <v>700</v>
      </c>
      <c r="I53" s="76">
        <f ca="1">G53*(1-OFFSET(payMgmtRate,0,L53))</f>
        <v>665</v>
      </c>
      <c r="J53" s="76"/>
      <c r="K53" s="287" t="s">
        <v>530</v>
      </c>
      <c r="L53" s="288">
        <v>1</v>
      </c>
      <c r="M53" s="288">
        <v>1</v>
      </c>
      <c r="N53" s="289"/>
    </row>
    <row r="54" spans="1:14" hidden="1" x14ac:dyDescent="0.25">
      <c r="A54" s="283" t="str">
        <f t="shared" si="5"/>
        <v>NEWS:RPG</v>
      </c>
      <c r="B54" s="284" t="s">
        <v>503</v>
      </c>
      <c r="C54" s="285" t="s">
        <v>59</v>
      </c>
      <c r="D54" s="15" t="s">
        <v>571</v>
      </c>
      <c r="E54" s="285" t="s">
        <v>528</v>
      </c>
      <c r="F54" s="286" t="s">
        <v>529</v>
      </c>
      <c r="G54" s="76">
        <v>700</v>
      </c>
      <c r="H54" s="76">
        <v>700</v>
      </c>
      <c r="I54" s="76">
        <f ca="1">G54*(1-OFFSET(payMgmtRate,0,L54))</f>
        <v>665</v>
      </c>
      <c r="J54" s="76"/>
      <c r="K54" s="287" t="s">
        <v>530</v>
      </c>
      <c r="L54" s="288">
        <v>1</v>
      </c>
      <c r="M54" s="288">
        <v>1</v>
      </c>
      <c r="N54" s="289"/>
    </row>
    <row r="55" spans="1:14" hidden="1" x14ac:dyDescent="0.25">
      <c r="A55" s="283" t="str">
        <f t="shared" si="5"/>
        <v>QSUPER:MAM</v>
      </c>
      <c r="B55" s="284" t="s">
        <v>572</v>
      </c>
      <c r="C55" s="285" t="s">
        <v>55</v>
      </c>
      <c r="D55" s="15" t="s">
        <v>224</v>
      </c>
      <c r="E55" s="285" t="s">
        <v>528</v>
      </c>
      <c r="F55" s="286" t="s">
        <v>529</v>
      </c>
      <c r="G55" s="76">
        <v>800</v>
      </c>
      <c r="H55" s="76">
        <v>800</v>
      </c>
      <c r="I55" s="76">
        <v>0</v>
      </c>
      <c r="J55" s="76"/>
      <c r="K55" s="287" t="s">
        <v>573</v>
      </c>
      <c r="L55" s="288"/>
      <c r="M55" s="288">
        <v>1</v>
      </c>
      <c r="N55" s="289"/>
    </row>
    <row r="56" spans="1:14" hidden="1" x14ac:dyDescent="0.25">
      <c r="A56" s="283" t="str">
        <f t="shared" si="5"/>
        <v>SATYAM:EP</v>
      </c>
      <c r="B56" s="284" t="s">
        <v>574</v>
      </c>
      <c r="C56" s="285" t="s">
        <v>575</v>
      </c>
      <c r="D56" s="15" t="s">
        <v>212</v>
      </c>
      <c r="E56" s="285" t="s">
        <v>568</v>
      </c>
      <c r="F56" s="286" t="s">
        <v>529</v>
      </c>
      <c r="G56" s="76">
        <v>400</v>
      </c>
      <c r="H56" s="76">
        <v>400</v>
      </c>
      <c r="I56" s="76">
        <v>3333.33</v>
      </c>
      <c r="J56" s="76"/>
      <c r="K56" s="287" t="s">
        <v>576</v>
      </c>
      <c r="L56" s="288"/>
      <c r="M56" s="288"/>
      <c r="N56" s="289"/>
    </row>
    <row r="57" spans="1:14" hidden="1" x14ac:dyDescent="0.25">
      <c r="A57" s="283" t="str">
        <f t="shared" si="5"/>
        <v>SATYAM:MK</v>
      </c>
      <c r="B57" s="284" t="s">
        <v>574</v>
      </c>
      <c r="C57" s="285" t="s">
        <v>577</v>
      </c>
      <c r="D57" s="15" t="s">
        <v>212</v>
      </c>
      <c r="E57" s="285" t="s">
        <v>568</v>
      </c>
      <c r="F57" s="286" t="s">
        <v>529</v>
      </c>
      <c r="G57" s="76">
        <v>400</v>
      </c>
      <c r="H57" s="76">
        <v>400</v>
      </c>
      <c r="I57" s="76">
        <v>3333.33</v>
      </c>
      <c r="J57" s="76"/>
      <c r="K57" s="287" t="s">
        <v>576</v>
      </c>
      <c r="L57" s="288"/>
      <c r="M57" s="288"/>
      <c r="N57" s="289"/>
    </row>
    <row r="58" spans="1:14" hidden="1" x14ac:dyDescent="0.25">
      <c r="A58" s="283" t="str">
        <f t="shared" si="5"/>
        <v>SATYAM:NK</v>
      </c>
      <c r="B58" s="284" t="s">
        <v>574</v>
      </c>
      <c r="C58" s="285" t="s">
        <v>578</v>
      </c>
      <c r="D58" s="15" t="s">
        <v>212</v>
      </c>
      <c r="E58" s="285" t="s">
        <v>568</v>
      </c>
      <c r="F58" s="286" t="s">
        <v>529</v>
      </c>
      <c r="G58" s="76">
        <v>400</v>
      </c>
      <c r="H58" s="76">
        <v>400</v>
      </c>
      <c r="I58" s="76">
        <v>3333.33</v>
      </c>
      <c r="J58" s="76"/>
      <c r="K58" s="287" t="s">
        <v>576</v>
      </c>
      <c r="L58" s="288"/>
      <c r="M58" s="288"/>
      <c r="N58" s="289"/>
    </row>
    <row r="59" spans="1:14" hidden="1" x14ac:dyDescent="0.25">
      <c r="A59" s="283" t="str">
        <f t="shared" si="5"/>
        <v>SATYAM:PK</v>
      </c>
      <c r="B59" s="284" t="s">
        <v>574</v>
      </c>
      <c r="C59" s="285" t="s">
        <v>579</v>
      </c>
      <c r="D59" s="15" t="s">
        <v>212</v>
      </c>
      <c r="E59" s="285" t="s">
        <v>568</v>
      </c>
      <c r="F59" s="286" t="s">
        <v>529</v>
      </c>
      <c r="G59" s="76">
        <v>400</v>
      </c>
      <c r="H59" s="76">
        <v>400</v>
      </c>
      <c r="I59" s="76">
        <v>3333.33</v>
      </c>
      <c r="J59" s="76"/>
      <c r="K59" s="287" t="s">
        <v>576</v>
      </c>
      <c r="L59" s="288"/>
      <c r="M59" s="288"/>
      <c r="N59" s="289"/>
    </row>
    <row r="60" spans="1:14" hidden="1" x14ac:dyDescent="0.25">
      <c r="A60" s="283" t="str">
        <f t="shared" si="5"/>
        <v>SATYAM:SRP</v>
      </c>
      <c r="B60" s="284" t="s">
        <v>574</v>
      </c>
      <c r="C60" s="285" t="s">
        <v>536</v>
      </c>
      <c r="D60" s="15" t="s">
        <v>212</v>
      </c>
      <c r="E60" s="285" t="s">
        <v>528</v>
      </c>
      <c r="F60" s="286" t="s">
        <v>529</v>
      </c>
      <c r="G60" s="76">
        <v>875</v>
      </c>
      <c r="H60" s="76">
        <v>875</v>
      </c>
      <c r="I60" s="76">
        <f ca="1">G60*(1-OFFSET(payMgmtRate,0,L60))</f>
        <v>831.25</v>
      </c>
      <c r="J60" s="76"/>
      <c r="K60" s="287" t="s">
        <v>576</v>
      </c>
      <c r="L60" s="288">
        <v>1</v>
      </c>
      <c r="M60" s="288">
        <v>1</v>
      </c>
      <c r="N60" s="289"/>
    </row>
    <row r="61" spans="1:14" hidden="1" x14ac:dyDescent="0.25">
      <c r="A61" s="283" t="str">
        <f t="shared" si="5"/>
        <v>SATYAM_OS:SRP</v>
      </c>
      <c r="B61" s="284" t="s">
        <v>580</v>
      </c>
      <c r="C61" s="285" t="s">
        <v>536</v>
      </c>
      <c r="D61" s="15" t="s">
        <v>212</v>
      </c>
      <c r="E61" s="285" t="s">
        <v>528</v>
      </c>
      <c r="F61" s="286" t="s">
        <v>529</v>
      </c>
      <c r="G61" s="76">
        <v>1100</v>
      </c>
      <c r="H61" s="76">
        <v>1100</v>
      </c>
      <c r="I61" s="76">
        <f ca="1">G61*(1-OFFSET(payMgmtRate,0,L61))</f>
        <v>1045</v>
      </c>
      <c r="J61" s="76"/>
      <c r="K61" s="287" t="s">
        <v>534</v>
      </c>
      <c r="L61" s="288">
        <v>1</v>
      </c>
      <c r="M61" s="288">
        <v>1</v>
      </c>
      <c r="N61" s="289"/>
    </row>
    <row r="62" spans="1:14" hidden="1" x14ac:dyDescent="0.25">
      <c r="A62" s="283" t="str">
        <f t="shared" si="5"/>
        <v>SATYAM1:EP</v>
      </c>
      <c r="B62" s="284" t="s">
        <v>581</v>
      </c>
      <c r="C62" s="285" t="s">
        <v>575</v>
      </c>
      <c r="D62" s="15" t="s">
        <v>212</v>
      </c>
      <c r="E62" s="285" t="s">
        <v>568</v>
      </c>
      <c r="F62" s="286" t="s">
        <v>529</v>
      </c>
      <c r="G62" s="76">
        <v>400</v>
      </c>
      <c r="H62" s="76">
        <v>400</v>
      </c>
      <c r="I62" s="76">
        <v>3833.33</v>
      </c>
      <c r="J62" s="76">
        <f>I62/21.6666</f>
        <v>176.92346745682295</v>
      </c>
      <c r="K62" s="287" t="s">
        <v>576</v>
      </c>
      <c r="L62" s="288"/>
      <c r="M62" s="288"/>
      <c r="N62" s="289"/>
    </row>
    <row r="63" spans="1:14" hidden="1" x14ac:dyDescent="0.25">
      <c r="A63" s="283" t="str">
        <f t="shared" si="5"/>
        <v>SATYAM1:MK</v>
      </c>
      <c r="B63" s="284" t="s">
        <v>581</v>
      </c>
      <c r="C63" s="285" t="s">
        <v>577</v>
      </c>
      <c r="D63" s="15" t="s">
        <v>212</v>
      </c>
      <c r="E63" s="285" t="s">
        <v>568</v>
      </c>
      <c r="F63" s="286" t="s">
        <v>529</v>
      </c>
      <c r="G63" s="76">
        <v>400</v>
      </c>
      <c r="H63" s="76">
        <v>400</v>
      </c>
      <c r="I63" s="76">
        <v>3833.33</v>
      </c>
      <c r="J63" s="76">
        <f>I63/21.6666</f>
        <v>176.92346745682295</v>
      </c>
      <c r="K63" s="287" t="s">
        <v>576</v>
      </c>
      <c r="L63" s="288"/>
      <c r="M63" s="288"/>
      <c r="N63" s="289"/>
    </row>
    <row r="64" spans="1:14" hidden="1" x14ac:dyDescent="0.25">
      <c r="A64" s="283" t="str">
        <f t="shared" si="5"/>
        <v>SATYAM1:NK</v>
      </c>
      <c r="B64" s="284" t="s">
        <v>581</v>
      </c>
      <c r="C64" s="285" t="s">
        <v>578</v>
      </c>
      <c r="D64" s="15" t="s">
        <v>212</v>
      </c>
      <c r="E64" s="285" t="s">
        <v>568</v>
      </c>
      <c r="F64" s="286" t="s">
        <v>529</v>
      </c>
      <c r="G64" s="76">
        <v>400</v>
      </c>
      <c r="H64" s="76">
        <v>400</v>
      </c>
      <c r="I64" s="76">
        <v>3833.33</v>
      </c>
      <c r="J64" s="76">
        <f>I64/21.6666</f>
        <v>176.92346745682295</v>
      </c>
      <c r="K64" s="287" t="s">
        <v>576</v>
      </c>
      <c r="L64" s="288"/>
      <c r="M64" s="288"/>
      <c r="N64" s="289"/>
    </row>
    <row r="65" spans="1:14" hidden="1" x14ac:dyDescent="0.25">
      <c r="A65" s="283" t="str">
        <f t="shared" si="5"/>
        <v>SATYAM1:PK</v>
      </c>
      <c r="B65" s="284" t="s">
        <v>581</v>
      </c>
      <c r="C65" s="285" t="s">
        <v>579</v>
      </c>
      <c r="D65" s="15" t="s">
        <v>212</v>
      </c>
      <c r="E65" s="285" t="s">
        <v>568</v>
      </c>
      <c r="F65" s="286" t="s">
        <v>529</v>
      </c>
      <c r="G65" s="76">
        <v>400</v>
      </c>
      <c r="H65" s="76">
        <v>400</v>
      </c>
      <c r="I65" s="76">
        <v>3833.33</v>
      </c>
      <c r="J65" s="76">
        <f>I65/21.6666</f>
        <v>176.92346745682295</v>
      </c>
      <c r="K65" s="287" t="s">
        <v>576</v>
      </c>
      <c r="L65" s="288"/>
      <c r="M65" s="288"/>
      <c r="N65" s="289"/>
    </row>
    <row r="66" spans="1:14" hidden="1" x14ac:dyDescent="0.25">
      <c r="A66" s="283" t="str">
        <f t="shared" si="5"/>
        <v>SATYAM1:SRP</v>
      </c>
      <c r="B66" s="284" t="s">
        <v>581</v>
      </c>
      <c r="C66" s="285" t="s">
        <v>536</v>
      </c>
      <c r="D66" s="15" t="s">
        <v>212</v>
      </c>
      <c r="E66" s="285" t="s">
        <v>528</v>
      </c>
      <c r="F66" s="286" t="s">
        <v>529</v>
      </c>
      <c r="G66" s="76">
        <v>1100</v>
      </c>
      <c r="H66" s="76">
        <v>1100</v>
      </c>
      <c r="I66" s="76">
        <f ca="1">G66*(1-OFFSET(payMgmtRate,0,L66))</f>
        <v>1045</v>
      </c>
      <c r="J66" s="76"/>
      <c r="K66" s="287" t="s">
        <v>576</v>
      </c>
      <c r="L66" s="288">
        <v>1</v>
      </c>
      <c r="M66" s="288">
        <v>1</v>
      </c>
      <c r="N66" s="289"/>
    </row>
    <row r="67" spans="1:14" hidden="1" x14ac:dyDescent="0.25">
      <c r="A67" s="283" t="str">
        <f t="shared" si="5"/>
        <v>SATYAM2:AP</v>
      </c>
      <c r="B67" s="284" t="s">
        <v>582</v>
      </c>
      <c r="C67" s="285" t="s">
        <v>564</v>
      </c>
      <c r="D67" s="15" t="s">
        <v>212</v>
      </c>
      <c r="E67" s="285" t="s">
        <v>528</v>
      </c>
      <c r="F67" s="286" t="s">
        <v>529</v>
      </c>
      <c r="G67" s="76">
        <v>800</v>
      </c>
      <c r="H67" s="76">
        <v>800</v>
      </c>
      <c r="I67" s="76">
        <v>640</v>
      </c>
      <c r="J67" s="76"/>
      <c r="K67" s="287" t="s">
        <v>576</v>
      </c>
      <c r="L67" s="288"/>
      <c r="M67" s="288">
        <v>1</v>
      </c>
      <c r="N67" s="289"/>
    </row>
    <row r="68" spans="1:14" hidden="1" x14ac:dyDescent="0.25">
      <c r="A68" s="283" t="str">
        <f t="shared" si="5"/>
        <v>SATYAM2:EP</v>
      </c>
      <c r="B68" s="284" t="s">
        <v>582</v>
      </c>
      <c r="C68" s="285" t="s">
        <v>575</v>
      </c>
      <c r="D68" s="15" t="s">
        <v>212</v>
      </c>
      <c r="E68" s="285" t="s">
        <v>568</v>
      </c>
      <c r="F68" s="286" t="s">
        <v>529</v>
      </c>
      <c r="G68" s="76">
        <v>400</v>
      </c>
      <c r="H68" s="76">
        <v>400</v>
      </c>
      <c r="I68" s="76">
        <v>4600</v>
      </c>
      <c r="J68" s="76">
        <f>I68/21.6666</f>
        <v>212.30834556414021</v>
      </c>
      <c r="K68" s="287" t="s">
        <v>576</v>
      </c>
      <c r="L68" s="288"/>
      <c r="M68" s="288"/>
      <c r="N68" s="289"/>
    </row>
    <row r="69" spans="1:14" hidden="1" x14ac:dyDescent="0.25">
      <c r="A69" s="283" t="str">
        <f t="shared" si="5"/>
        <v>SATYAM3:AP</v>
      </c>
      <c r="B69" s="284" t="s">
        <v>583</v>
      </c>
      <c r="C69" s="285" t="s">
        <v>564</v>
      </c>
      <c r="D69" s="15" t="s">
        <v>212</v>
      </c>
      <c r="E69" s="285" t="s">
        <v>528</v>
      </c>
      <c r="F69" s="286" t="s">
        <v>529</v>
      </c>
      <c r="G69" s="76">
        <v>800</v>
      </c>
      <c r="H69" s="76">
        <v>800</v>
      </c>
      <c r="I69" s="76">
        <v>680</v>
      </c>
      <c r="J69" s="76"/>
      <c r="K69" s="287" t="s">
        <v>576</v>
      </c>
      <c r="L69" s="288"/>
      <c r="M69" s="288">
        <v>1</v>
      </c>
      <c r="N69" s="289"/>
    </row>
    <row r="70" spans="1:14" hidden="1" x14ac:dyDescent="0.25">
      <c r="A70" s="283" t="str">
        <f t="shared" si="5"/>
        <v>SATYAM4:AP</v>
      </c>
      <c r="B70" s="284" t="s">
        <v>584</v>
      </c>
      <c r="C70" s="285" t="s">
        <v>564</v>
      </c>
      <c r="D70" s="15" t="s">
        <v>212</v>
      </c>
      <c r="E70" s="285" t="s">
        <v>528</v>
      </c>
      <c r="F70" s="286" t="s">
        <v>529</v>
      </c>
      <c r="G70" s="76">
        <v>800</v>
      </c>
      <c r="H70" s="76">
        <v>800</v>
      </c>
      <c r="I70" s="76">
        <v>720</v>
      </c>
      <c r="J70" s="76"/>
      <c r="K70" s="287" t="s">
        <v>576</v>
      </c>
      <c r="L70" s="288"/>
      <c r="M70" s="288">
        <v>1</v>
      </c>
      <c r="N70" s="289"/>
    </row>
    <row r="71" spans="1:14" hidden="1" x14ac:dyDescent="0.25">
      <c r="A71" s="283" t="str">
        <f t="shared" si="5"/>
        <v>SATYAMtr:CRP</v>
      </c>
      <c r="B71" s="284" t="s">
        <v>585</v>
      </c>
      <c r="C71" s="285" t="s">
        <v>57</v>
      </c>
      <c r="D71" s="15" t="s">
        <v>212</v>
      </c>
      <c r="E71" s="285" t="s">
        <v>538</v>
      </c>
      <c r="F71" s="286" t="s">
        <v>529</v>
      </c>
      <c r="G71" s="76">
        <v>7500</v>
      </c>
      <c r="H71" s="76">
        <v>7500</v>
      </c>
      <c r="I71" s="76">
        <f t="shared" ref="I71:I82" ca="1" si="6">G71*(1-OFFSET(payMgmtRate,0,L71))</f>
        <v>7125</v>
      </c>
      <c r="J71" s="76"/>
      <c r="K71" s="287" t="s">
        <v>576</v>
      </c>
      <c r="L71" s="288">
        <v>1</v>
      </c>
      <c r="M71" s="288">
        <v>1</v>
      </c>
      <c r="N71" s="289"/>
    </row>
    <row r="72" spans="1:14" hidden="1" x14ac:dyDescent="0.25">
      <c r="A72" s="283" t="str">
        <f t="shared" si="5"/>
        <v>SATYAMtr2:CRP</v>
      </c>
      <c r="B72" s="284" t="s">
        <v>586</v>
      </c>
      <c r="C72" s="285" t="s">
        <v>57</v>
      </c>
      <c r="D72" s="15" t="s">
        <v>212</v>
      </c>
      <c r="E72" s="285" t="s">
        <v>538</v>
      </c>
      <c r="F72" s="286" t="s">
        <v>529</v>
      </c>
      <c r="G72" s="76">
        <v>1000</v>
      </c>
      <c r="H72" s="76">
        <v>1000</v>
      </c>
      <c r="I72" s="76">
        <f t="shared" ca="1" si="6"/>
        <v>950</v>
      </c>
      <c r="J72" s="76"/>
      <c r="K72" s="287" t="s">
        <v>576</v>
      </c>
      <c r="L72" s="288">
        <v>1</v>
      </c>
      <c r="M72" s="288">
        <v>1</v>
      </c>
      <c r="N72" s="289"/>
    </row>
    <row r="73" spans="1:14" hidden="1" x14ac:dyDescent="0.25">
      <c r="A73" s="283" t="str">
        <f t="shared" si="5"/>
        <v>SPA:CRP</v>
      </c>
      <c r="B73" s="284" t="s">
        <v>587</v>
      </c>
      <c r="C73" s="285" t="s">
        <v>57</v>
      </c>
      <c r="D73" s="15" t="s">
        <v>237</v>
      </c>
      <c r="E73" s="285" t="s">
        <v>528</v>
      </c>
      <c r="F73" s="286" t="s">
        <v>529</v>
      </c>
      <c r="G73" s="76">
        <v>1000</v>
      </c>
      <c r="H73" s="76">
        <v>1000</v>
      </c>
      <c r="I73" s="76">
        <f t="shared" ca="1" si="6"/>
        <v>965</v>
      </c>
      <c r="J73" s="76"/>
      <c r="K73" s="287" t="s">
        <v>534</v>
      </c>
      <c r="L73" s="288">
        <v>2</v>
      </c>
      <c r="M73" s="288">
        <v>1</v>
      </c>
      <c r="N73" s="289"/>
    </row>
    <row r="74" spans="1:14" hidden="1" x14ac:dyDescent="0.25">
      <c r="A74" s="283" t="str">
        <f t="shared" si="5"/>
        <v>SPA:KMP</v>
      </c>
      <c r="B74" s="284" t="s">
        <v>587</v>
      </c>
      <c r="C74" s="285" t="s">
        <v>560</v>
      </c>
      <c r="D74" s="15" t="s">
        <v>237</v>
      </c>
      <c r="E74" s="285" t="s">
        <v>528</v>
      </c>
      <c r="F74" s="286" t="s">
        <v>529</v>
      </c>
      <c r="G74" s="76">
        <v>1000</v>
      </c>
      <c r="H74" s="76">
        <v>1000</v>
      </c>
      <c r="I74" s="76">
        <f t="shared" ca="1" si="6"/>
        <v>965</v>
      </c>
      <c r="J74" s="76"/>
      <c r="K74" s="287" t="s">
        <v>534</v>
      </c>
      <c r="L74" s="288">
        <v>2</v>
      </c>
      <c r="M74" s="288">
        <v>1</v>
      </c>
      <c r="N74" s="289"/>
    </row>
    <row r="75" spans="1:14" hidden="1" x14ac:dyDescent="0.25">
      <c r="A75" s="283" t="str">
        <f t="shared" si="5"/>
        <v>SPA:SKR</v>
      </c>
      <c r="B75" s="284" t="s">
        <v>587</v>
      </c>
      <c r="C75" s="285" t="s">
        <v>554</v>
      </c>
      <c r="D75" s="15" t="s">
        <v>237</v>
      </c>
      <c r="E75" s="285" t="s">
        <v>528</v>
      </c>
      <c r="F75" s="286" t="s">
        <v>529</v>
      </c>
      <c r="G75" s="76">
        <v>1000</v>
      </c>
      <c r="H75" s="76">
        <v>1000</v>
      </c>
      <c r="I75" s="76">
        <f t="shared" ca="1" si="6"/>
        <v>965</v>
      </c>
      <c r="J75" s="76"/>
      <c r="K75" s="287" t="s">
        <v>534</v>
      </c>
      <c r="L75" s="288">
        <v>2</v>
      </c>
      <c r="M75" s="288">
        <v>1</v>
      </c>
      <c r="N75" s="289"/>
    </row>
    <row r="76" spans="1:14" hidden="1" x14ac:dyDescent="0.25">
      <c r="A76" s="283" t="str">
        <f t="shared" si="5"/>
        <v>SPA:SRP</v>
      </c>
      <c r="B76" s="284" t="s">
        <v>587</v>
      </c>
      <c r="C76" s="285" t="s">
        <v>536</v>
      </c>
      <c r="D76" s="15" t="s">
        <v>237</v>
      </c>
      <c r="E76" s="285" t="s">
        <v>528</v>
      </c>
      <c r="F76" s="286" t="s">
        <v>529</v>
      </c>
      <c r="G76" s="76">
        <v>1000</v>
      </c>
      <c r="H76" s="76">
        <v>1000</v>
      </c>
      <c r="I76" s="76">
        <f t="shared" ca="1" si="6"/>
        <v>965</v>
      </c>
      <c r="J76" s="76"/>
      <c r="K76" s="287" t="s">
        <v>534</v>
      </c>
      <c r="L76" s="288">
        <v>2</v>
      </c>
      <c r="M76" s="288">
        <v>1</v>
      </c>
      <c r="N76" s="289"/>
    </row>
    <row r="77" spans="1:14" hidden="1" x14ac:dyDescent="0.25">
      <c r="A77" s="283" t="str">
        <f t="shared" si="5"/>
        <v>SPA1:CRP</v>
      </c>
      <c r="B77" s="284" t="s">
        <v>588</v>
      </c>
      <c r="C77" s="285" t="s">
        <v>57</v>
      </c>
      <c r="D77" s="15" t="s">
        <v>237</v>
      </c>
      <c r="E77" s="285" t="s">
        <v>528</v>
      </c>
      <c r="F77" s="286" t="s">
        <v>529</v>
      </c>
      <c r="G77" s="76">
        <v>1000</v>
      </c>
      <c r="H77" s="76">
        <v>1000</v>
      </c>
      <c r="I77" s="76">
        <f t="shared" ca="1" si="6"/>
        <v>950</v>
      </c>
      <c r="J77" s="76"/>
      <c r="K77" s="287" t="s">
        <v>534</v>
      </c>
      <c r="L77" s="288">
        <v>1</v>
      </c>
      <c r="M77" s="288">
        <v>1</v>
      </c>
      <c r="N77" s="289"/>
    </row>
    <row r="78" spans="1:14" hidden="1" x14ac:dyDescent="0.25">
      <c r="A78" s="283" t="str">
        <f t="shared" ref="A78:A124" si="7">B78&amp;":"&amp;C78</f>
        <v>SPA1:KMP</v>
      </c>
      <c r="B78" s="284" t="s">
        <v>588</v>
      </c>
      <c r="C78" s="285" t="s">
        <v>560</v>
      </c>
      <c r="D78" s="15" t="s">
        <v>237</v>
      </c>
      <c r="E78" s="285" t="s">
        <v>528</v>
      </c>
      <c r="F78" s="286" t="s">
        <v>529</v>
      </c>
      <c r="G78" s="76">
        <v>1000</v>
      </c>
      <c r="H78" s="76">
        <v>1000</v>
      </c>
      <c r="I78" s="76">
        <f t="shared" ca="1" si="6"/>
        <v>950</v>
      </c>
      <c r="J78" s="76"/>
      <c r="K78" s="287" t="s">
        <v>534</v>
      </c>
      <c r="L78" s="288">
        <v>1</v>
      </c>
      <c r="M78" s="288">
        <v>1</v>
      </c>
      <c r="N78" s="289"/>
    </row>
    <row r="79" spans="1:14" hidden="1" x14ac:dyDescent="0.25">
      <c r="A79" s="283" t="str">
        <f t="shared" si="7"/>
        <v>SPA1:SKR</v>
      </c>
      <c r="B79" s="284" t="s">
        <v>588</v>
      </c>
      <c r="C79" s="285" t="s">
        <v>554</v>
      </c>
      <c r="D79" s="15" t="s">
        <v>237</v>
      </c>
      <c r="E79" s="285" t="s">
        <v>528</v>
      </c>
      <c r="F79" s="286" t="s">
        <v>529</v>
      </c>
      <c r="G79" s="76">
        <v>1000</v>
      </c>
      <c r="H79" s="76">
        <v>1000</v>
      </c>
      <c r="I79" s="76">
        <f t="shared" ca="1" si="6"/>
        <v>950</v>
      </c>
      <c r="J79" s="76"/>
      <c r="K79" s="287" t="s">
        <v>534</v>
      </c>
      <c r="L79" s="288">
        <v>1</v>
      </c>
      <c r="M79" s="288">
        <v>1</v>
      </c>
      <c r="N79" s="289"/>
    </row>
    <row r="80" spans="1:14" hidden="1" x14ac:dyDescent="0.25">
      <c r="A80" s="283" t="str">
        <f t="shared" si="7"/>
        <v>SPA1:SM</v>
      </c>
      <c r="B80" s="284" t="s">
        <v>588</v>
      </c>
      <c r="C80" s="285" t="s">
        <v>58</v>
      </c>
      <c r="D80" s="15" t="s">
        <v>237</v>
      </c>
      <c r="E80" s="285" t="s">
        <v>528</v>
      </c>
      <c r="F80" s="286" t="s">
        <v>529</v>
      </c>
      <c r="G80" s="76">
        <v>1000</v>
      </c>
      <c r="H80" s="76">
        <v>1000</v>
      </c>
      <c r="I80" s="76">
        <f t="shared" ca="1" si="6"/>
        <v>950</v>
      </c>
      <c r="J80" s="76"/>
      <c r="K80" s="287" t="s">
        <v>534</v>
      </c>
      <c r="L80" s="288">
        <v>1</v>
      </c>
      <c r="M80" s="288">
        <v>1</v>
      </c>
      <c r="N80" s="289"/>
    </row>
    <row r="81" spans="1:14" hidden="1" x14ac:dyDescent="0.25">
      <c r="A81" s="283" t="str">
        <f t="shared" si="7"/>
        <v>SPA1:SRP</v>
      </c>
      <c r="B81" s="284" t="s">
        <v>588</v>
      </c>
      <c r="C81" s="285" t="s">
        <v>536</v>
      </c>
      <c r="D81" s="15" t="s">
        <v>237</v>
      </c>
      <c r="E81" s="285" t="s">
        <v>528</v>
      </c>
      <c r="F81" s="286" t="s">
        <v>529</v>
      </c>
      <c r="G81" s="76">
        <v>1000</v>
      </c>
      <c r="H81" s="76">
        <v>1000</v>
      </c>
      <c r="I81" s="76">
        <f t="shared" ca="1" si="6"/>
        <v>950</v>
      </c>
      <c r="J81" s="76"/>
      <c r="K81" s="287" t="s">
        <v>534</v>
      </c>
      <c r="L81" s="288">
        <v>1</v>
      </c>
      <c r="M81" s="288">
        <v>1</v>
      </c>
      <c r="N81" s="289"/>
    </row>
    <row r="82" spans="1:14" hidden="1" x14ac:dyDescent="0.25">
      <c r="A82" s="283" t="str">
        <f t="shared" si="7"/>
        <v>SPA1:SS</v>
      </c>
      <c r="B82" s="284" t="s">
        <v>588</v>
      </c>
      <c r="C82" s="285" t="s">
        <v>561</v>
      </c>
      <c r="D82" s="15" t="s">
        <v>237</v>
      </c>
      <c r="E82" s="285" t="s">
        <v>528</v>
      </c>
      <c r="F82" s="286" t="s">
        <v>529</v>
      </c>
      <c r="G82" s="76">
        <v>1000</v>
      </c>
      <c r="H82" s="76">
        <v>1000</v>
      </c>
      <c r="I82" s="76">
        <f t="shared" ca="1" si="6"/>
        <v>950</v>
      </c>
      <c r="J82" s="76"/>
      <c r="K82" s="287" t="s">
        <v>534</v>
      </c>
      <c r="L82" s="288">
        <v>1</v>
      </c>
      <c r="M82" s="288">
        <v>1</v>
      </c>
      <c r="N82" s="289"/>
    </row>
    <row r="83" spans="1:14" hidden="1" x14ac:dyDescent="0.25">
      <c r="A83" s="283" t="str">
        <f t="shared" si="7"/>
        <v>SPARQ100:CRP</v>
      </c>
      <c r="B83" s="284" t="s">
        <v>589</v>
      </c>
      <c r="C83" s="285" t="s">
        <v>57</v>
      </c>
      <c r="D83" s="15" t="s">
        <v>571</v>
      </c>
      <c r="E83" s="285" t="s">
        <v>528</v>
      </c>
      <c r="F83" s="286" t="s">
        <v>529</v>
      </c>
      <c r="G83" s="76">
        <v>970</v>
      </c>
      <c r="H83" s="76">
        <v>970</v>
      </c>
      <c r="I83" s="76">
        <f>970*0.97</f>
        <v>940.9</v>
      </c>
      <c r="J83" s="76"/>
      <c r="K83" s="287" t="s">
        <v>573</v>
      </c>
      <c r="L83" s="288"/>
      <c r="M83" s="288">
        <v>1</v>
      </c>
      <c r="N83" s="289"/>
    </row>
    <row r="84" spans="1:14" hidden="1" x14ac:dyDescent="0.25">
      <c r="A84" s="283" t="str">
        <f t="shared" si="7"/>
        <v>SPARQ100:SM</v>
      </c>
      <c r="B84" s="284" t="s">
        <v>589</v>
      </c>
      <c r="C84" s="285" t="s">
        <v>58</v>
      </c>
      <c r="D84" s="15" t="s">
        <v>571</v>
      </c>
      <c r="E84" s="285" t="s">
        <v>528</v>
      </c>
      <c r="F84" s="286" t="s">
        <v>529</v>
      </c>
      <c r="G84" s="76">
        <v>970</v>
      </c>
      <c r="H84" s="76">
        <v>970</v>
      </c>
      <c r="I84" s="76">
        <f>970*0.97</f>
        <v>940.9</v>
      </c>
      <c r="J84" s="76"/>
      <c r="K84" s="287" t="s">
        <v>573</v>
      </c>
      <c r="L84" s="288"/>
      <c r="M84" s="288">
        <v>1</v>
      </c>
      <c r="N84" s="289"/>
    </row>
    <row r="85" spans="1:14" hidden="1" x14ac:dyDescent="0.25">
      <c r="A85" s="283" t="str">
        <f t="shared" ref="A85:A86" si="8">B85&amp;":"&amp;C85</f>
        <v>SPARQ70:CRP</v>
      </c>
      <c r="B85" s="284" t="s">
        <v>493</v>
      </c>
      <c r="C85" s="285" t="s">
        <v>57</v>
      </c>
      <c r="D85" s="15" t="s">
        <v>571</v>
      </c>
      <c r="E85" s="285" t="s">
        <v>528</v>
      </c>
      <c r="F85" s="286" t="s">
        <v>529</v>
      </c>
      <c r="G85" s="76">
        <f>970*0.7</f>
        <v>679</v>
      </c>
      <c r="H85" s="76">
        <f>970*0.7</f>
        <v>679</v>
      </c>
      <c r="I85" s="76">
        <f>970*0.97*0.7</f>
        <v>658.63</v>
      </c>
      <c r="J85" s="76"/>
      <c r="K85" s="287" t="s">
        <v>573</v>
      </c>
      <c r="L85" s="288"/>
      <c r="M85" s="288">
        <v>1</v>
      </c>
      <c r="N85" s="289"/>
    </row>
    <row r="86" spans="1:14" hidden="1" x14ac:dyDescent="0.25">
      <c r="A86" s="283" t="str">
        <f t="shared" si="8"/>
        <v>SPARQ30:SM</v>
      </c>
      <c r="B86" s="284" t="s">
        <v>494</v>
      </c>
      <c r="C86" s="285" t="s">
        <v>58</v>
      </c>
      <c r="D86" s="15" t="s">
        <v>571</v>
      </c>
      <c r="E86" s="285" t="s">
        <v>528</v>
      </c>
      <c r="F86" s="286" t="s">
        <v>529</v>
      </c>
      <c r="G86" s="76">
        <f>970*0.3</f>
        <v>291</v>
      </c>
      <c r="H86" s="76">
        <f>970*0.3</f>
        <v>291</v>
      </c>
      <c r="I86" s="76">
        <f>970*0.97*0.3</f>
        <v>282.27</v>
      </c>
      <c r="J86" s="76"/>
      <c r="K86" s="287" t="s">
        <v>573</v>
      </c>
      <c r="L86" s="288"/>
      <c r="M86" s="288">
        <v>1</v>
      </c>
      <c r="N86" s="289"/>
    </row>
    <row r="87" spans="1:14" hidden="1" x14ac:dyDescent="0.25">
      <c r="A87" s="283" t="str">
        <f t="shared" si="7"/>
        <v>SPARQ50:CRP</v>
      </c>
      <c r="B87" s="284" t="s">
        <v>643</v>
      </c>
      <c r="C87" s="285" t="s">
        <v>57</v>
      </c>
      <c r="D87" s="15" t="s">
        <v>571</v>
      </c>
      <c r="E87" s="285" t="s">
        <v>528</v>
      </c>
      <c r="F87" s="286" t="s">
        <v>529</v>
      </c>
      <c r="G87" s="76">
        <f>970*0.5</f>
        <v>485</v>
      </c>
      <c r="H87" s="76">
        <f>970*0.5</f>
        <v>485</v>
      </c>
      <c r="I87" s="76">
        <f>970*0.97*0.5</f>
        <v>470.45</v>
      </c>
      <c r="J87" s="76"/>
      <c r="K87" s="287" t="s">
        <v>573</v>
      </c>
      <c r="L87" s="288"/>
      <c r="M87" s="288">
        <v>1</v>
      </c>
      <c r="N87" s="289"/>
    </row>
    <row r="88" spans="1:14" hidden="1" x14ac:dyDescent="0.25">
      <c r="A88" s="283" t="str">
        <f t="shared" si="7"/>
        <v>SPARQ50:SM</v>
      </c>
      <c r="B88" s="284" t="s">
        <v>643</v>
      </c>
      <c r="C88" s="285" t="s">
        <v>58</v>
      </c>
      <c r="D88" s="15" t="s">
        <v>571</v>
      </c>
      <c r="E88" s="285" t="s">
        <v>528</v>
      </c>
      <c r="F88" s="286" t="s">
        <v>529</v>
      </c>
      <c r="G88" s="76">
        <f>970*0.5</f>
        <v>485</v>
      </c>
      <c r="H88" s="76">
        <f>970*0.5</f>
        <v>485</v>
      </c>
      <c r="I88" s="76">
        <f>970*0.97*0.5</f>
        <v>470.45</v>
      </c>
      <c r="J88" s="76"/>
      <c r="K88" s="287" t="s">
        <v>573</v>
      </c>
      <c r="L88" s="288"/>
      <c r="M88" s="288">
        <v>1</v>
      </c>
      <c r="N88" s="289"/>
    </row>
    <row r="89" spans="1:14" hidden="1" x14ac:dyDescent="0.25">
      <c r="A89" s="283" t="str">
        <f t="shared" si="7"/>
        <v>SPARQa70:CRP</v>
      </c>
      <c r="B89" s="284" t="s">
        <v>590</v>
      </c>
      <c r="C89" s="285" t="s">
        <v>57</v>
      </c>
      <c r="D89" s="15" t="s">
        <v>571</v>
      </c>
      <c r="E89" s="285" t="s">
        <v>528</v>
      </c>
      <c r="F89" s="286" t="s">
        <v>529</v>
      </c>
      <c r="G89" s="76">
        <f>970*0.7</f>
        <v>679</v>
      </c>
      <c r="H89" s="76">
        <f>970*0.7</f>
        <v>679</v>
      </c>
      <c r="I89" s="76">
        <f>970*0.98*0.7</f>
        <v>665.42</v>
      </c>
      <c r="J89" s="76"/>
      <c r="K89" s="287" t="s">
        <v>573</v>
      </c>
      <c r="L89" s="288"/>
      <c r="M89" s="288">
        <v>1</v>
      </c>
      <c r="N89" s="289" t="s">
        <v>591</v>
      </c>
    </row>
    <row r="90" spans="1:14" hidden="1" x14ac:dyDescent="0.25">
      <c r="A90" s="283" t="str">
        <f t="shared" si="7"/>
        <v>SPARQa30:SM</v>
      </c>
      <c r="B90" s="284" t="s">
        <v>592</v>
      </c>
      <c r="C90" s="285" t="s">
        <v>58</v>
      </c>
      <c r="D90" s="15" t="s">
        <v>571</v>
      </c>
      <c r="E90" s="285" t="s">
        <v>528</v>
      </c>
      <c r="F90" s="286" t="s">
        <v>529</v>
      </c>
      <c r="G90" s="76">
        <f>970*0.3</f>
        <v>291</v>
      </c>
      <c r="H90" s="76">
        <f>970*0.3</f>
        <v>291</v>
      </c>
      <c r="I90" s="76">
        <f>970*0.98*0.3</f>
        <v>285.18</v>
      </c>
      <c r="J90" s="76"/>
      <c r="K90" s="287" t="s">
        <v>573</v>
      </c>
      <c r="L90" s="288"/>
      <c r="M90" s="288">
        <v>1</v>
      </c>
      <c r="N90" s="289"/>
    </row>
    <row r="91" spans="1:14" hidden="1" x14ac:dyDescent="0.25">
      <c r="A91" s="283" t="str">
        <f t="shared" si="7"/>
        <v>QUU80:CRP</v>
      </c>
      <c r="B91" s="284" t="s">
        <v>662</v>
      </c>
      <c r="C91" s="285" t="s">
        <v>57</v>
      </c>
      <c r="D91" s="15" t="s">
        <v>571</v>
      </c>
      <c r="E91" s="285" t="s">
        <v>528</v>
      </c>
      <c r="F91" s="286" t="s">
        <v>529</v>
      </c>
      <c r="G91" s="76">
        <f>1000*0.8</f>
        <v>800</v>
      </c>
      <c r="H91" s="76">
        <f>1000*0.8</f>
        <v>800</v>
      </c>
      <c r="I91" s="76">
        <f>1000*0.97*0.8</f>
        <v>776</v>
      </c>
      <c r="J91" s="76"/>
      <c r="K91" s="287" t="s">
        <v>573</v>
      </c>
      <c r="L91" s="288"/>
      <c r="M91" s="288">
        <v>1</v>
      </c>
      <c r="N91" s="289"/>
    </row>
    <row r="92" spans="1:14" hidden="1" x14ac:dyDescent="0.25">
      <c r="A92" s="283" t="str">
        <f t="shared" si="7"/>
        <v>QUU20:SM</v>
      </c>
      <c r="B92" s="284" t="s">
        <v>663</v>
      </c>
      <c r="C92" s="285" t="s">
        <v>58</v>
      </c>
      <c r="D92" s="15" t="s">
        <v>571</v>
      </c>
      <c r="E92" s="285" t="s">
        <v>528</v>
      </c>
      <c r="F92" s="286" t="s">
        <v>529</v>
      </c>
      <c r="G92" s="76">
        <f>1000*0.2</f>
        <v>200</v>
      </c>
      <c r="H92" s="76">
        <f>1000*0.2</f>
        <v>200</v>
      </c>
      <c r="I92" s="76">
        <f>1000*0.97*0.2</f>
        <v>194</v>
      </c>
      <c r="J92" s="76"/>
      <c r="K92" s="287" t="s">
        <v>573</v>
      </c>
      <c r="L92" s="288"/>
      <c r="M92" s="288">
        <v>1</v>
      </c>
      <c r="N92" s="289"/>
    </row>
    <row r="93" spans="1:14" hidden="1" x14ac:dyDescent="0.25">
      <c r="A93" s="283" t="str">
        <f t="shared" ref="A93:A94" si="9">B93&amp;":"&amp;C93</f>
        <v>QUU80a:CRP</v>
      </c>
      <c r="B93" s="284" t="s">
        <v>671</v>
      </c>
      <c r="C93" s="285" t="s">
        <v>57</v>
      </c>
      <c r="D93" s="15" t="s">
        <v>571</v>
      </c>
      <c r="E93" s="285" t="s">
        <v>528</v>
      </c>
      <c r="F93" s="286" t="s">
        <v>529</v>
      </c>
      <c r="G93" s="76">
        <f>1000*0.8</f>
        <v>800</v>
      </c>
      <c r="H93" s="76">
        <f>1000*0.8</f>
        <v>800</v>
      </c>
      <c r="I93" s="76">
        <f>1000*0.98*0.8</f>
        <v>784</v>
      </c>
      <c r="J93" s="76"/>
      <c r="K93" s="287" t="s">
        <v>573</v>
      </c>
      <c r="L93" s="288"/>
      <c r="M93" s="288">
        <v>1</v>
      </c>
      <c r="N93" s="289" t="s">
        <v>675</v>
      </c>
    </row>
    <row r="94" spans="1:14" hidden="1" x14ac:dyDescent="0.25">
      <c r="A94" s="283" t="str">
        <f t="shared" si="9"/>
        <v>QUU20a:SM</v>
      </c>
      <c r="B94" s="284" t="s">
        <v>672</v>
      </c>
      <c r="C94" s="285" t="s">
        <v>58</v>
      </c>
      <c r="D94" s="15" t="s">
        <v>571</v>
      </c>
      <c r="E94" s="285" t="s">
        <v>528</v>
      </c>
      <c r="F94" s="286" t="s">
        <v>529</v>
      </c>
      <c r="G94" s="76">
        <f>1000*0.2</f>
        <v>200</v>
      </c>
      <c r="H94" s="76">
        <f>1000*0.2</f>
        <v>200</v>
      </c>
      <c r="I94" s="76">
        <f>1000*0.98*0.2</f>
        <v>196</v>
      </c>
      <c r="J94" s="76"/>
      <c r="K94" s="287" t="s">
        <v>573</v>
      </c>
      <c r="L94" s="288"/>
      <c r="M94" s="288">
        <v>1</v>
      </c>
      <c r="N94" s="289"/>
    </row>
    <row r="95" spans="1:14" hidden="1" x14ac:dyDescent="0.25">
      <c r="A95" s="283" t="str">
        <f t="shared" ref="A95:A96" si="10">B95&amp;":"&amp;C95</f>
        <v>QUU50a:CRP</v>
      </c>
      <c r="B95" s="284" t="s">
        <v>682</v>
      </c>
      <c r="C95" s="285" t="s">
        <v>57</v>
      </c>
      <c r="D95" s="15" t="s">
        <v>571</v>
      </c>
      <c r="E95" s="285" t="s">
        <v>528</v>
      </c>
      <c r="F95" s="286" t="s">
        <v>529</v>
      </c>
      <c r="G95" s="76">
        <f>1000*0.5</f>
        <v>500</v>
      </c>
      <c r="H95" s="76">
        <f>1000*0.5</f>
        <v>500</v>
      </c>
      <c r="I95" s="76">
        <f>1000*0.98*0.5</f>
        <v>490</v>
      </c>
      <c r="J95" s="76"/>
      <c r="K95" s="287" t="s">
        <v>573</v>
      </c>
      <c r="L95" s="288"/>
      <c r="M95" s="288">
        <v>1</v>
      </c>
      <c r="N95" s="289" t="s">
        <v>675</v>
      </c>
    </row>
    <row r="96" spans="1:14" hidden="1" x14ac:dyDescent="0.25">
      <c r="A96" s="283" t="str">
        <f t="shared" si="10"/>
        <v>QUU50a:SM</v>
      </c>
      <c r="B96" s="284" t="s">
        <v>682</v>
      </c>
      <c r="C96" s="285" t="s">
        <v>58</v>
      </c>
      <c r="D96" s="15" t="s">
        <v>571</v>
      </c>
      <c r="E96" s="285" t="s">
        <v>528</v>
      </c>
      <c r="F96" s="286" t="s">
        <v>529</v>
      </c>
      <c r="G96" s="76">
        <f>1000*0.5</f>
        <v>500</v>
      </c>
      <c r="H96" s="76">
        <f>1000*0.5</f>
        <v>500</v>
      </c>
      <c r="I96" s="76">
        <f>1000*0.98*0.5</f>
        <v>490</v>
      </c>
      <c r="J96" s="76"/>
      <c r="K96" s="287" t="s">
        <v>573</v>
      </c>
      <c r="L96" s="288"/>
      <c r="M96" s="288">
        <v>1</v>
      </c>
      <c r="N96" s="289"/>
    </row>
    <row r="97" spans="1:14" hidden="1" x14ac:dyDescent="0.25">
      <c r="A97" s="283" t="str">
        <f t="shared" ref="A97:A100" si="11">B97&amp;":"&amp;C97</f>
        <v>QUU75:CRP</v>
      </c>
      <c r="B97" s="284" t="s">
        <v>653</v>
      </c>
      <c r="C97" s="285" t="s">
        <v>57</v>
      </c>
      <c r="D97" s="15" t="s">
        <v>571</v>
      </c>
      <c r="E97" s="285" t="s">
        <v>528</v>
      </c>
      <c r="F97" s="286" t="s">
        <v>529</v>
      </c>
      <c r="G97" s="76">
        <f>1000*0.75</f>
        <v>750</v>
      </c>
      <c r="H97" s="76">
        <f>1000*0.75</f>
        <v>750</v>
      </c>
      <c r="I97" s="76">
        <f>1000*0.97*0.75</f>
        <v>727.5</v>
      </c>
      <c r="J97" s="76"/>
      <c r="K97" s="287" t="s">
        <v>573</v>
      </c>
      <c r="L97" s="288"/>
      <c r="M97" s="288">
        <v>1</v>
      </c>
      <c r="N97" s="289"/>
    </row>
    <row r="98" spans="1:14" hidden="1" x14ac:dyDescent="0.25">
      <c r="A98" s="283" t="str">
        <f t="shared" si="11"/>
        <v>QUU25:SM</v>
      </c>
      <c r="B98" s="284" t="s">
        <v>654</v>
      </c>
      <c r="C98" s="285" t="s">
        <v>58</v>
      </c>
      <c r="D98" s="15" t="s">
        <v>571</v>
      </c>
      <c r="E98" s="285" t="s">
        <v>528</v>
      </c>
      <c r="F98" s="286" t="s">
        <v>529</v>
      </c>
      <c r="G98" s="76">
        <f>1000*0.25</f>
        <v>250</v>
      </c>
      <c r="H98" s="76">
        <f>1000*0.25</f>
        <v>250</v>
      </c>
      <c r="I98" s="76">
        <f>1000*0.97*0.25</f>
        <v>242.5</v>
      </c>
      <c r="J98" s="76"/>
      <c r="K98" s="287" t="s">
        <v>573</v>
      </c>
      <c r="L98" s="288"/>
      <c r="M98" s="288">
        <v>1</v>
      </c>
      <c r="N98" s="289"/>
    </row>
    <row r="99" spans="1:14" hidden="1" x14ac:dyDescent="0.25">
      <c r="A99" s="283" t="str">
        <f t="shared" si="11"/>
        <v>QUU50:CRP</v>
      </c>
      <c r="B99" s="284" t="s">
        <v>647</v>
      </c>
      <c r="C99" s="285" t="s">
        <v>57</v>
      </c>
      <c r="D99" s="15" t="s">
        <v>571</v>
      </c>
      <c r="E99" s="285" t="s">
        <v>528</v>
      </c>
      <c r="F99" s="286" t="s">
        <v>529</v>
      </c>
      <c r="G99" s="76">
        <f>1000*0.5</f>
        <v>500</v>
      </c>
      <c r="H99" s="76">
        <f>1000*0.5</f>
        <v>500</v>
      </c>
      <c r="I99" s="76">
        <f>1000*0.97*0.5</f>
        <v>485</v>
      </c>
      <c r="J99" s="76"/>
      <c r="K99" s="287" t="s">
        <v>573</v>
      </c>
      <c r="L99" s="288"/>
      <c r="M99" s="288">
        <v>1</v>
      </c>
      <c r="N99" s="289"/>
    </row>
    <row r="100" spans="1:14" hidden="1" x14ac:dyDescent="0.25">
      <c r="A100" s="283" t="str">
        <f t="shared" si="11"/>
        <v>QUU50:SM</v>
      </c>
      <c r="B100" s="284" t="s">
        <v>647</v>
      </c>
      <c r="C100" s="285" t="s">
        <v>58</v>
      </c>
      <c r="D100" s="15" t="s">
        <v>571</v>
      </c>
      <c r="E100" s="285" t="s">
        <v>528</v>
      </c>
      <c r="F100" s="286" t="s">
        <v>529</v>
      </c>
      <c r="G100" s="76">
        <f>1000*0.5</f>
        <v>500</v>
      </c>
      <c r="H100" s="76">
        <f>1000*0.5</f>
        <v>500</v>
      </c>
      <c r="I100" s="76">
        <f>1000*0.97*0.5</f>
        <v>485</v>
      </c>
      <c r="J100" s="76"/>
      <c r="K100" s="287" t="s">
        <v>573</v>
      </c>
      <c r="L100" s="288"/>
      <c r="M100" s="288">
        <v>1</v>
      </c>
      <c r="N100" s="289"/>
    </row>
    <row r="101" spans="1:14" hidden="1" x14ac:dyDescent="0.25">
      <c r="A101" s="283" t="str">
        <f t="shared" ref="A101:A102" si="12">B101&amp;":"&amp;C101</f>
        <v>QUU50:DP</v>
      </c>
      <c r="B101" s="284" t="s">
        <v>647</v>
      </c>
      <c r="C101" s="285" t="s">
        <v>669</v>
      </c>
      <c r="D101" s="15" t="s">
        <v>571</v>
      </c>
      <c r="E101" s="285" t="s">
        <v>570</v>
      </c>
      <c r="F101" s="286" t="s">
        <v>529</v>
      </c>
      <c r="G101" s="76">
        <f>915*0.5</f>
        <v>457.5</v>
      </c>
      <c r="H101" s="76">
        <f>915*0.5</f>
        <v>457.5</v>
      </c>
      <c r="I101" s="76">
        <f>915*0.94*0.5</f>
        <v>430.04999999999995</v>
      </c>
      <c r="J101" s="76"/>
      <c r="K101" s="287" t="s">
        <v>573</v>
      </c>
      <c r="L101" s="288">
        <v>1</v>
      </c>
      <c r="M101" s="288">
        <v>1</v>
      </c>
      <c r="N101" s="289"/>
    </row>
    <row r="102" spans="1:14" hidden="1" x14ac:dyDescent="0.25">
      <c r="A102" s="283" t="str">
        <f t="shared" si="12"/>
        <v>QUU50:ANK</v>
      </c>
      <c r="B102" s="284" t="s">
        <v>647</v>
      </c>
      <c r="C102" s="285" t="s">
        <v>678</v>
      </c>
      <c r="D102" s="15" t="s">
        <v>571</v>
      </c>
      <c r="E102" s="285" t="s">
        <v>570</v>
      </c>
      <c r="F102" s="286" t="s">
        <v>529</v>
      </c>
      <c r="G102" s="76">
        <f>915*0.5</f>
        <v>457.5</v>
      </c>
      <c r="H102" s="76">
        <f>915*0.5</f>
        <v>457.5</v>
      </c>
      <c r="I102" s="76">
        <f>915*0.94*0.5</f>
        <v>430.04999999999995</v>
      </c>
      <c r="J102" s="76"/>
      <c r="K102" s="287" t="s">
        <v>573</v>
      </c>
      <c r="L102" s="288"/>
      <c r="M102" s="288">
        <v>1</v>
      </c>
      <c r="N102" s="289"/>
    </row>
    <row r="103" spans="1:14" hidden="1" x14ac:dyDescent="0.25">
      <c r="A103" s="283" t="str">
        <f t="shared" si="7"/>
        <v>SRP:SS</v>
      </c>
      <c r="B103" s="284" t="s">
        <v>536</v>
      </c>
      <c r="C103" s="285" t="s">
        <v>561</v>
      </c>
      <c r="D103" s="15" t="s">
        <v>209</v>
      </c>
      <c r="E103" s="285" t="s">
        <v>528</v>
      </c>
      <c r="F103" s="286" t="s">
        <v>529</v>
      </c>
      <c r="G103" s="76"/>
      <c r="H103" s="76"/>
      <c r="I103" s="76">
        <f ca="1">G103*(1-OFFSET(payMgmtRate,0,L103))</f>
        <v>0</v>
      </c>
      <c r="J103" s="76">
        <v>8000</v>
      </c>
      <c r="K103" s="287" t="s">
        <v>534</v>
      </c>
      <c r="L103" s="288">
        <v>1</v>
      </c>
      <c r="M103" s="288">
        <v>1</v>
      </c>
      <c r="N103" s="289" t="s">
        <v>593</v>
      </c>
    </row>
    <row r="104" spans="1:14" hidden="1" x14ac:dyDescent="0.25">
      <c r="A104" s="283" t="str">
        <f t="shared" si="7"/>
        <v>STANDARD:RR</v>
      </c>
      <c r="B104" s="284" t="s">
        <v>594</v>
      </c>
      <c r="C104" s="285" t="s">
        <v>541</v>
      </c>
      <c r="D104" s="15" t="s">
        <v>212</v>
      </c>
      <c r="E104" s="285" t="s">
        <v>568</v>
      </c>
      <c r="F104" s="286" t="s">
        <v>529</v>
      </c>
      <c r="G104" s="76">
        <v>725</v>
      </c>
      <c r="H104" s="76">
        <v>725</v>
      </c>
      <c r="I104" s="76">
        <v>4400</v>
      </c>
      <c r="J104" s="76">
        <v>222.22219999999999</v>
      </c>
      <c r="K104" s="287" t="s">
        <v>534</v>
      </c>
      <c r="L104" s="288"/>
      <c r="M104" s="288"/>
      <c r="N104" s="289"/>
    </row>
    <row r="105" spans="1:14" hidden="1" x14ac:dyDescent="0.25">
      <c r="A105" s="283" t="str">
        <f t="shared" si="7"/>
        <v>SUNCORP:ABD</v>
      </c>
      <c r="B105" s="284" t="s">
        <v>595</v>
      </c>
      <c r="C105" s="285" t="s">
        <v>596</v>
      </c>
      <c r="D105" s="15" t="s">
        <v>597</v>
      </c>
      <c r="E105" s="285" t="s">
        <v>568</v>
      </c>
      <c r="F105" s="286" t="s">
        <v>529</v>
      </c>
      <c r="G105" s="76">
        <v>600</v>
      </c>
      <c r="H105" s="76">
        <v>600</v>
      </c>
      <c r="I105" s="76">
        <v>5600</v>
      </c>
      <c r="J105" s="76">
        <f>I105/21.6666</f>
        <v>258.46233373025763</v>
      </c>
      <c r="K105" s="287" t="s">
        <v>530</v>
      </c>
      <c r="L105" s="288"/>
      <c r="M105" s="288"/>
      <c r="N105" s="289"/>
    </row>
    <row r="106" spans="1:14" hidden="1" x14ac:dyDescent="0.25">
      <c r="A106" s="283" t="str">
        <f t="shared" si="7"/>
        <v>SUNCORP:RR</v>
      </c>
      <c r="B106" s="284" t="s">
        <v>595</v>
      </c>
      <c r="C106" s="285" t="s">
        <v>541</v>
      </c>
      <c r="D106" s="15" t="s">
        <v>212</v>
      </c>
      <c r="E106" s="285" t="s">
        <v>568</v>
      </c>
      <c r="F106" s="286" t="s">
        <v>529</v>
      </c>
      <c r="G106" s="76">
        <v>660</v>
      </c>
      <c r="H106" s="76">
        <v>660</v>
      </c>
      <c r="I106" s="76">
        <v>5600</v>
      </c>
      <c r="J106" s="76">
        <f>I106/21.6666</f>
        <v>258.46233373025763</v>
      </c>
      <c r="K106" s="287" t="s">
        <v>573</v>
      </c>
      <c r="L106" s="288"/>
      <c r="M106" s="288"/>
      <c r="N106" s="289"/>
    </row>
    <row r="107" spans="1:14" x14ac:dyDescent="0.25">
      <c r="A107" s="283" t="str">
        <f>B107&amp;":"&amp;C107</f>
        <v>TAGGLE:GEO</v>
      </c>
      <c r="B107" s="284" t="s">
        <v>499</v>
      </c>
      <c r="C107" s="285" t="s">
        <v>622</v>
      </c>
      <c r="D107" s="15" t="s">
        <v>559</v>
      </c>
      <c r="E107" s="285" t="s">
        <v>528</v>
      </c>
      <c r="F107" s="286" t="s">
        <v>529</v>
      </c>
      <c r="G107" s="76">
        <v>700</v>
      </c>
      <c r="H107" s="76">
        <v>700</v>
      </c>
      <c r="I107" s="76">
        <f>H107*0.95</f>
        <v>665</v>
      </c>
      <c r="J107" s="76"/>
      <c r="K107" s="287" t="s">
        <v>530</v>
      </c>
      <c r="L107" s="288">
        <v>2</v>
      </c>
      <c r="M107" s="288">
        <v>1</v>
      </c>
      <c r="N107" s="289"/>
    </row>
    <row r="108" spans="1:14" hidden="1" x14ac:dyDescent="0.25">
      <c r="A108" s="283" t="str">
        <f t="shared" si="7"/>
        <v>TAGGLE:JOC</v>
      </c>
      <c r="B108" s="284" t="s">
        <v>499</v>
      </c>
      <c r="C108" s="285" t="s">
        <v>146</v>
      </c>
      <c r="D108" s="15" t="s">
        <v>559</v>
      </c>
      <c r="E108" s="285" t="s">
        <v>528</v>
      </c>
      <c r="F108" s="286" t="s">
        <v>529</v>
      </c>
      <c r="G108" s="76">
        <v>950</v>
      </c>
      <c r="H108" s="76">
        <v>950</v>
      </c>
      <c r="I108" s="76"/>
      <c r="J108" s="76"/>
      <c r="K108" s="287" t="s">
        <v>530</v>
      </c>
      <c r="L108" s="288">
        <v>3</v>
      </c>
      <c r="M108" s="288">
        <v>1</v>
      </c>
      <c r="N108" s="289"/>
    </row>
    <row r="109" spans="1:14" hidden="1" x14ac:dyDescent="0.25">
      <c r="A109" s="283" t="str">
        <f t="shared" si="7"/>
        <v>TASUNI:MAM</v>
      </c>
      <c r="B109" s="284" t="s">
        <v>598</v>
      </c>
      <c r="C109" s="285" t="s">
        <v>55</v>
      </c>
      <c r="D109" s="15" t="s">
        <v>559</v>
      </c>
      <c r="E109" s="285" t="s">
        <v>528</v>
      </c>
      <c r="F109" s="286" t="s">
        <v>529</v>
      </c>
      <c r="G109" s="76">
        <v>1000</v>
      </c>
      <c r="H109" s="76">
        <v>1000</v>
      </c>
      <c r="I109" s="76">
        <f ca="1">G109*(1-OFFSET(payMgmtRate,0,L109))</f>
        <v>965</v>
      </c>
      <c r="J109" s="76"/>
      <c r="K109" s="287" t="s">
        <v>599</v>
      </c>
      <c r="L109" s="288">
        <v>2</v>
      </c>
      <c r="M109" s="288">
        <v>1</v>
      </c>
      <c r="N109" s="289"/>
    </row>
    <row r="110" spans="1:14" hidden="1" x14ac:dyDescent="0.25">
      <c r="A110" s="283" t="str">
        <f t="shared" si="7"/>
        <v>TELSTRA:SRP</v>
      </c>
      <c r="B110" s="284" t="s">
        <v>600</v>
      </c>
      <c r="C110" s="285" t="s">
        <v>536</v>
      </c>
      <c r="D110" s="15" t="s">
        <v>231</v>
      </c>
      <c r="E110" s="285" t="s">
        <v>528</v>
      </c>
      <c r="F110" s="286" t="s">
        <v>529</v>
      </c>
      <c r="G110" s="76">
        <v>800</v>
      </c>
      <c r="H110" s="76">
        <v>800</v>
      </c>
      <c r="I110" s="76">
        <f ca="1">G110*(1-OFFSET(payMgmtRate,0,L110))</f>
        <v>760</v>
      </c>
      <c r="J110" s="76"/>
      <c r="K110" s="287" t="s">
        <v>576</v>
      </c>
      <c r="L110" s="288">
        <v>1</v>
      </c>
      <c r="M110" s="288">
        <v>1</v>
      </c>
      <c r="N110" s="289"/>
    </row>
    <row r="111" spans="1:14" hidden="1" x14ac:dyDescent="0.25">
      <c r="A111" s="283" t="str">
        <f t="shared" si="7"/>
        <v>TRAIN:CRP</v>
      </c>
      <c r="B111" s="284" t="s">
        <v>601</v>
      </c>
      <c r="C111" s="285" t="s">
        <v>57</v>
      </c>
      <c r="D111" s="15" t="s">
        <v>559</v>
      </c>
      <c r="E111" s="285" t="s">
        <v>568</v>
      </c>
      <c r="F111" s="286" t="s">
        <v>529</v>
      </c>
      <c r="G111" s="76">
        <v>400</v>
      </c>
      <c r="H111" s="76">
        <v>400</v>
      </c>
      <c r="I111" s="76">
        <v>100</v>
      </c>
      <c r="J111" s="76"/>
      <c r="K111" s="287" t="s">
        <v>530</v>
      </c>
      <c r="L111" s="288">
        <v>1</v>
      </c>
      <c r="M111" s="288">
        <v>1</v>
      </c>
      <c r="N111" s="289"/>
    </row>
    <row r="112" spans="1:14" hidden="1" x14ac:dyDescent="0.25">
      <c r="A112" s="283" t="str">
        <f t="shared" si="7"/>
        <v>UNILEVER:EP</v>
      </c>
      <c r="B112" s="284" t="s">
        <v>602</v>
      </c>
      <c r="C112" s="285" t="s">
        <v>575</v>
      </c>
      <c r="D112" s="15" t="s">
        <v>212</v>
      </c>
      <c r="E112" s="285" t="s">
        <v>568</v>
      </c>
      <c r="F112" s="286" t="s">
        <v>529</v>
      </c>
      <c r="G112" s="76">
        <v>400</v>
      </c>
      <c r="H112" s="76">
        <v>400</v>
      </c>
      <c r="I112" s="76">
        <v>4000</v>
      </c>
      <c r="J112" s="76"/>
      <c r="K112" s="287" t="s">
        <v>530</v>
      </c>
      <c r="L112" s="288"/>
      <c r="M112" s="288"/>
      <c r="N112" s="289"/>
    </row>
    <row r="113" spans="1:14" hidden="1" x14ac:dyDescent="0.25">
      <c r="A113" s="283" t="str">
        <f t="shared" si="7"/>
        <v>UNILEVER1:SK</v>
      </c>
      <c r="B113" s="284" t="s">
        <v>603</v>
      </c>
      <c r="C113" s="285" t="s">
        <v>604</v>
      </c>
      <c r="D113" s="15" t="s">
        <v>212</v>
      </c>
      <c r="E113" s="285" t="s">
        <v>528</v>
      </c>
      <c r="F113" s="286" t="s">
        <v>529</v>
      </c>
      <c r="G113" s="76">
        <v>700</v>
      </c>
      <c r="H113" s="76">
        <v>700</v>
      </c>
      <c r="I113" s="76">
        <v>600</v>
      </c>
      <c r="J113" s="76"/>
      <c r="K113" s="287" t="s">
        <v>530</v>
      </c>
      <c r="L113" s="288"/>
      <c r="M113" s="288">
        <v>1</v>
      </c>
      <c r="N113" s="289"/>
    </row>
    <row r="114" spans="1:14" hidden="1" x14ac:dyDescent="0.25">
      <c r="A114" s="283" t="str">
        <f t="shared" si="7"/>
        <v>URBAN:HVO</v>
      </c>
      <c r="B114" s="284" t="s">
        <v>605</v>
      </c>
      <c r="C114" s="285" t="s">
        <v>606</v>
      </c>
      <c r="D114" s="15" t="s">
        <v>388</v>
      </c>
      <c r="E114" s="285" t="s">
        <v>528</v>
      </c>
      <c r="F114" s="286" t="s">
        <v>529</v>
      </c>
      <c r="G114" s="76">
        <v>850</v>
      </c>
      <c r="H114" s="76">
        <v>850</v>
      </c>
      <c r="I114" s="76">
        <v>725</v>
      </c>
      <c r="J114" s="76"/>
      <c r="K114" s="287" t="s">
        <v>530</v>
      </c>
      <c r="L114" s="288"/>
      <c r="M114" s="288">
        <v>1</v>
      </c>
      <c r="N114" s="289"/>
    </row>
    <row r="115" spans="1:14" hidden="1" x14ac:dyDescent="0.25">
      <c r="A115" s="290" t="str">
        <f t="shared" si="7"/>
        <v>MAGMA:RPG</v>
      </c>
      <c r="B115" s="284" t="s">
        <v>495</v>
      </c>
      <c r="C115" s="285" t="s">
        <v>59</v>
      </c>
      <c r="D115" s="15" t="s">
        <v>559</v>
      </c>
      <c r="E115" s="285" t="s">
        <v>568</v>
      </c>
      <c r="F115" s="286" t="s">
        <v>529</v>
      </c>
      <c r="G115" s="76">
        <f>82000/12</f>
        <v>6833.333333333333</v>
      </c>
      <c r="H115" s="76"/>
      <c r="I115" s="76">
        <f ca="1">G115*(1-OFFSET(payMgmtRate,0,L115))</f>
        <v>6491.6666666666661</v>
      </c>
      <c r="J115" s="76"/>
      <c r="K115" s="287" t="s">
        <v>530</v>
      </c>
      <c r="L115" s="288">
        <v>1</v>
      </c>
      <c r="M115" s="288">
        <v>1</v>
      </c>
      <c r="N115" s="289"/>
    </row>
    <row r="116" spans="1:14" hidden="1" x14ac:dyDescent="0.25">
      <c r="A116" s="290" t="str">
        <f t="shared" si="7"/>
        <v>SPARQ:RPG</v>
      </c>
      <c r="B116" s="284" t="s">
        <v>607</v>
      </c>
      <c r="C116" s="285" t="s">
        <v>59</v>
      </c>
      <c r="D116" s="15" t="s">
        <v>571</v>
      </c>
      <c r="E116" s="285" t="s">
        <v>528</v>
      </c>
      <c r="F116" s="286" t="s">
        <v>529</v>
      </c>
      <c r="G116" s="76">
        <v>800</v>
      </c>
      <c r="H116" s="76">
        <v>800</v>
      </c>
      <c r="I116" s="76">
        <f ca="1">G116*(1-OFFSET(payMgmtRate,0,L116))</f>
        <v>760</v>
      </c>
      <c r="J116" s="76"/>
      <c r="K116" s="287" t="s">
        <v>573</v>
      </c>
      <c r="L116" s="288">
        <v>1</v>
      </c>
      <c r="M116" s="288">
        <v>1</v>
      </c>
      <c r="N116" s="289"/>
    </row>
    <row r="117" spans="1:14" hidden="1" x14ac:dyDescent="0.25">
      <c r="A117" s="290" t="str">
        <f t="shared" si="7"/>
        <v>AMP55:QJZ</v>
      </c>
      <c r="B117" s="284" t="s">
        <v>608</v>
      </c>
      <c r="C117" s="285" t="s">
        <v>635</v>
      </c>
      <c r="D117" s="15" t="s">
        <v>227</v>
      </c>
      <c r="E117" s="285" t="s">
        <v>528</v>
      </c>
      <c r="F117" s="286" t="s">
        <v>529</v>
      </c>
      <c r="G117" s="76">
        <f>800*0.55</f>
        <v>440.00000000000006</v>
      </c>
      <c r="H117" s="76">
        <f>800*0.55</f>
        <v>440.00000000000006</v>
      </c>
      <c r="I117" s="76">
        <f>800*0.97*0.55</f>
        <v>426.8</v>
      </c>
      <c r="J117" s="76"/>
      <c r="K117" s="287" t="s">
        <v>530</v>
      </c>
      <c r="L117" s="287"/>
      <c r="M117" s="288">
        <v>1</v>
      </c>
      <c r="N117" s="289"/>
    </row>
    <row r="118" spans="1:14" hidden="1" x14ac:dyDescent="0.25">
      <c r="A118" s="290" t="str">
        <f t="shared" si="7"/>
        <v>AMP50:QJZ</v>
      </c>
      <c r="B118" s="284" t="s">
        <v>609</v>
      </c>
      <c r="C118" s="285" t="s">
        <v>635</v>
      </c>
      <c r="D118" s="15" t="s">
        <v>227</v>
      </c>
      <c r="E118" s="285" t="s">
        <v>528</v>
      </c>
      <c r="F118" s="286" t="s">
        <v>529</v>
      </c>
      <c r="G118" s="76">
        <f>800*0.5</f>
        <v>400</v>
      </c>
      <c r="H118" s="76">
        <f>800*0.5</f>
        <v>400</v>
      </c>
      <c r="I118" s="76">
        <f>800*0.97*0.5</f>
        <v>388</v>
      </c>
      <c r="J118" s="76"/>
      <c r="K118" s="287" t="s">
        <v>530</v>
      </c>
      <c r="L118" s="287"/>
      <c r="M118" s="288">
        <v>1</v>
      </c>
      <c r="N118" s="289"/>
    </row>
    <row r="119" spans="1:14" hidden="1" x14ac:dyDescent="0.25">
      <c r="A119" s="290" t="str">
        <f t="shared" si="7"/>
        <v>AMP45:QJZ</v>
      </c>
      <c r="B119" s="284" t="s">
        <v>610</v>
      </c>
      <c r="C119" s="285" t="s">
        <v>635</v>
      </c>
      <c r="D119" s="15" t="s">
        <v>227</v>
      </c>
      <c r="E119" s="285" t="s">
        <v>528</v>
      </c>
      <c r="F119" s="286" t="s">
        <v>529</v>
      </c>
      <c r="G119" s="76">
        <f>800*0.45</f>
        <v>360</v>
      </c>
      <c r="H119" s="76">
        <f>800*0.45</f>
        <v>360</v>
      </c>
      <c r="I119" s="76">
        <f>800*0.97*0.45</f>
        <v>349.2</v>
      </c>
      <c r="J119" s="76"/>
      <c r="K119" s="287" t="s">
        <v>530</v>
      </c>
      <c r="L119" s="287"/>
      <c r="M119" s="288">
        <v>1</v>
      </c>
      <c r="N119" s="289"/>
    </row>
    <row r="120" spans="1:14" hidden="1" x14ac:dyDescent="0.25">
      <c r="A120" s="290" t="str">
        <f t="shared" si="7"/>
        <v>AMP40:QJZ</v>
      </c>
      <c r="B120" s="284" t="s">
        <v>611</v>
      </c>
      <c r="C120" s="285" t="s">
        <v>635</v>
      </c>
      <c r="D120" s="15" t="s">
        <v>227</v>
      </c>
      <c r="E120" s="285" t="s">
        <v>528</v>
      </c>
      <c r="F120" s="286" t="s">
        <v>529</v>
      </c>
      <c r="G120" s="76">
        <f>800*0.4</f>
        <v>320</v>
      </c>
      <c r="H120" s="76">
        <f>800*0.4</f>
        <v>320</v>
      </c>
      <c r="I120" s="76">
        <f>800*0.97*0.4</f>
        <v>310.40000000000003</v>
      </c>
      <c r="J120" s="76"/>
      <c r="K120" s="287" t="s">
        <v>530</v>
      </c>
      <c r="L120" s="287"/>
      <c r="M120" s="288">
        <v>1</v>
      </c>
      <c r="N120" s="289"/>
    </row>
    <row r="121" spans="1:14" hidden="1" x14ac:dyDescent="0.25">
      <c r="A121" s="290" t="str">
        <f t="shared" si="7"/>
        <v>AMP50:KAI</v>
      </c>
      <c r="B121" s="284" t="s">
        <v>609</v>
      </c>
      <c r="C121" s="285" t="s">
        <v>472</v>
      </c>
      <c r="D121" s="15" t="s">
        <v>227</v>
      </c>
      <c r="E121" s="285" t="s">
        <v>612</v>
      </c>
      <c r="F121" s="286" t="s">
        <v>529</v>
      </c>
      <c r="G121" s="76">
        <f>800*0.5</f>
        <v>400</v>
      </c>
      <c r="H121" s="76">
        <f>800*0.5</f>
        <v>400</v>
      </c>
      <c r="I121" s="76">
        <f>800*0.97*0.5</f>
        <v>388</v>
      </c>
      <c r="J121" s="76"/>
      <c r="K121" s="287" t="s">
        <v>530</v>
      </c>
      <c r="L121" s="287"/>
      <c r="M121" s="288">
        <v>1</v>
      </c>
      <c r="N121" s="289"/>
    </row>
    <row r="122" spans="1:14" hidden="1" x14ac:dyDescent="0.25">
      <c r="A122" s="290" t="str">
        <f t="shared" si="7"/>
        <v>AMP45:KAI</v>
      </c>
      <c r="B122" s="284" t="s">
        <v>610</v>
      </c>
      <c r="C122" s="285" t="s">
        <v>472</v>
      </c>
      <c r="D122" s="15" t="s">
        <v>227</v>
      </c>
      <c r="E122" s="285" t="s">
        <v>612</v>
      </c>
      <c r="F122" s="286" t="s">
        <v>529</v>
      </c>
      <c r="G122" s="76">
        <f>800*0.45</f>
        <v>360</v>
      </c>
      <c r="H122" s="76">
        <f>800*0.45</f>
        <v>360</v>
      </c>
      <c r="I122" s="76">
        <f>800*0.97*0.45</f>
        <v>349.2</v>
      </c>
      <c r="J122" s="76"/>
      <c r="K122" s="287" t="s">
        <v>530</v>
      </c>
      <c r="L122" s="287"/>
      <c r="M122" s="288">
        <v>1</v>
      </c>
      <c r="N122" s="289"/>
    </row>
    <row r="123" spans="1:14" hidden="1" x14ac:dyDescent="0.25">
      <c r="A123" s="290" t="str">
        <f t="shared" si="7"/>
        <v>AMP40:KAI</v>
      </c>
      <c r="B123" s="284" t="s">
        <v>611</v>
      </c>
      <c r="C123" s="285" t="s">
        <v>472</v>
      </c>
      <c r="D123" s="15" t="s">
        <v>227</v>
      </c>
      <c r="E123" s="285" t="s">
        <v>612</v>
      </c>
      <c r="F123" s="286" t="s">
        <v>529</v>
      </c>
      <c r="G123" s="76">
        <f>800*0.4</f>
        <v>320</v>
      </c>
      <c r="H123" s="76">
        <f>800*0.4</f>
        <v>320</v>
      </c>
      <c r="I123" s="76">
        <f>800*0.97*0.4</f>
        <v>310.40000000000003</v>
      </c>
      <c r="J123" s="76"/>
      <c r="K123" s="287" t="s">
        <v>530</v>
      </c>
      <c r="L123" s="287"/>
      <c r="M123" s="288">
        <v>1</v>
      </c>
      <c r="N123" s="289"/>
    </row>
    <row r="124" spans="1:14" hidden="1" x14ac:dyDescent="0.25">
      <c r="A124" s="290" t="str">
        <f t="shared" si="7"/>
        <v>AMP35:KAI</v>
      </c>
      <c r="B124" s="284" t="s">
        <v>613</v>
      </c>
      <c r="C124" s="285" t="s">
        <v>472</v>
      </c>
      <c r="D124" s="15" t="s">
        <v>227</v>
      </c>
      <c r="E124" s="285" t="s">
        <v>612</v>
      </c>
      <c r="F124" s="286" t="s">
        <v>529</v>
      </c>
      <c r="G124" s="76">
        <f>800*0.35</f>
        <v>280</v>
      </c>
      <c r="H124" s="76">
        <f>800*0.35</f>
        <v>280</v>
      </c>
      <c r="I124" s="76">
        <f>800*0.97*0.35</f>
        <v>271.59999999999997</v>
      </c>
      <c r="J124" s="76"/>
      <c r="K124" s="287" t="s">
        <v>530</v>
      </c>
      <c r="L124" s="287"/>
      <c r="M124" s="288">
        <v>1</v>
      </c>
      <c r="N124" s="289"/>
    </row>
    <row r="125" spans="1:14" hidden="1" x14ac:dyDescent="0.25">
      <c r="A125" s="290" t="str">
        <f t="shared" ref="A125:A147" si="13">B125&amp;":"&amp;C125</f>
        <v>AMP15:YU</v>
      </c>
      <c r="B125" s="284" t="s">
        <v>614</v>
      </c>
      <c r="C125" s="285" t="s">
        <v>474</v>
      </c>
      <c r="D125" s="15" t="s">
        <v>227</v>
      </c>
      <c r="E125" s="285" t="s">
        <v>528</v>
      </c>
      <c r="F125" s="286" t="s">
        <v>529</v>
      </c>
      <c r="G125" s="76">
        <f>800*0.15</f>
        <v>120</v>
      </c>
      <c r="H125" s="76">
        <f>800*0.15</f>
        <v>120</v>
      </c>
      <c r="I125" s="76">
        <f>800*0.97*0.15</f>
        <v>116.39999999999999</v>
      </c>
      <c r="J125" s="76"/>
      <c r="K125" s="287" t="s">
        <v>530</v>
      </c>
      <c r="L125" s="287"/>
      <c r="M125" s="288">
        <v>1</v>
      </c>
      <c r="N125" s="289"/>
    </row>
    <row r="126" spans="1:14" hidden="1" x14ac:dyDescent="0.25">
      <c r="A126" s="290" t="str">
        <f t="shared" si="13"/>
        <v>AMP10:YU</v>
      </c>
      <c r="B126" s="284" t="s">
        <v>615</v>
      </c>
      <c r="C126" s="285" t="s">
        <v>474</v>
      </c>
      <c r="D126" s="15" t="s">
        <v>227</v>
      </c>
      <c r="E126" s="285" t="s">
        <v>528</v>
      </c>
      <c r="F126" s="286" t="s">
        <v>529</v>
      </c>
      <c r="G126" s="76">
        <f>800*0.1</f>
        <v>80</v>
      </c>
      <c r="H126" s="76">
        <f>800*0.1</f>
        <v>80</v>
      </c>
      <c r="I126" s="76">
        <f>800*0.97*0.1</f>
        <v>77.600000000000009</v>
      </c>
      <c r="J126" s="76"/>
      <c r="K126" s="287" t="s">
        <v>530</v>
      </c>
      <c r="L126" s="287"/>
      <c r="M126" s="288">
        <v>1</v>
      </c>
      <c r="N126" s="289"/>
    </row>
    <row r="127" spans="1:14" hidden="1" x14ac:dyDescent="0.25">
      <c r="A127" s="290" t="str">
        <f t="shared" si="13"/>
        <v>AMP05:YU</v>
      </c>
      <c r="B127" s="284" t="s">
        <v>616</v>
      </c>
      <c r="C127" s="285" t="s">
        <v>474</v>
      </c>
      <c r="D127" s="15" t="s">
        <v>227</v>
      </c>
      <c r="E127" s="285" t="s">
        <v>528</v>
      </c>
      <c r="F127" s="286" t="s">
        <v>529</v>
      </c>
      <c r="G127" s="76">
        <f>800*0.05</f>
        <v>40</v>
      </c>
      <c r="H127" s="76">
        <f>800*0.05</f>
        <v>40</v>
      </c>
      <c r="I127" s="76">
        <f>800*0.97*0.05</f>
        <v>38.800000000000004</v>
      </c>
      <c r="J127" s="76"/>
      <c r="K127" s="287" t="s">
        <v>530</v>
      </c>
      <c r="L127" s="287"/>
      <c r="M127" s="288">
        <v>1</v>
      </c>
      <c r="N127" s="289"/>
    </row>
    <row r="128" spans="1:14" hidden="1" x14ac:dyDescent="0.25">
      <c r="A128" s="290" t="str">
        <f t="shared" si="13"/>
        <v>IAG100:QJZ</v>
      </c>
      <c r="B128" s="284" t="s">
        <v>631</v>
      </c>
      <c r="C128" s="285" t="s">
        <v>635</v>
      </c>
      <c r="D128" s="15" t="s">
        <v>227</v>
      </c>
      <c r="E128" s="285" t="s">
        <v>528</v>
      </c>
      <c r="F128" s="286" t="s">
        <v>529</v>
      </c>
      <c r="G128" s="76">
        <f>800</f>
        <v>800</v>
      </c>
      <c r="H128" s="76">
        <f>800</f>
        <v>800</v>
      </c>
      <c r="I128" s="76">
        <f>800*0.97</f>
        <v>776</v>
      </c>
      <c r="J128" s="76"/>
      <c r="K128" s="287" t="s">
        <v>530</v>
      </c>
      <c r="L128" s="287"/>
      <c r="M128" s="288">
        <v>1</v>
      </c>
      <c r="N128" s="289"/>
    </row>
    <row r="129" spans="1:14" hidden="1" x14ac:dyDescent="0.25">
      <c r="A129" s="290" t="str">
        <f t="shared" ref="A129" si="14">B129&amp;":"&amp;C129</f>
        <v>IAG70:QJZ</v>
      </c>
      <c r="B129" s="284" t="s">
        <v>627</v>
      </c>
      <c r="C129" s="285" t="s">
        <v>635</v>
      </c>
      <c r="D129" s="15" t="s">
        <v>227</v>
      </c>
      <c r="E129" s="285" t="s">
        <v>528</v>
      </c>
      <c r="F129" s="286" t="s">
        <v>529</v>
      </c>
      <c r="G129" s="76">
        <f>800*0.7</f>
        <v>560</v>
      </c>
      <c r="H129" s="76">
        <f>800*0.7</f>
        <v>560</v>
      </c>
      <c r="I129" s="76">
        <f>800*0.97*0.7</f>
        <v>543.19999999999993</v>
      </c>
      <c r="J129" s="76"/>
      <c r="K129" s="287" t="s">
        <v>530</v>
      </c>
      <c r="L129" s="287"/>
      <c r="M129" s="288">
        <v>1</v>
      </c>
      <c r="N129" s="289"/>
    </row>
    <row r="130" spans="1:14" hidden="1" x14ac:dyDescent="0.25">
      <c r="A130" s="290" t="str">
        <f t="shared" si="13"/>
        <v>IAG55:QJZ</v>
      </c>
      <c r="B130" s="284" t="s">
        <v>506</v>
      </c>
      <c r="C130" s="285" t="s">
        <v>635</v>
      </c>
      <c r="D130" s="15" t="s">
        <v>227</v>
      </c>
      <c r="E130" s="285" t="s">
        <v>528</v>
      </c>
      <c r="F130" s="286" t="s">
        <v>529</v>
      </c>
      <c r="G130" s="76">
        <f>800*0.55</f>
        <v>440.00000000000006</v>
      </c>
      <c r="H130" s="76">
        <f>800*0.55</f>
        <v>440.00000000000006</v>
      </c>
      <c r="I130" s="76">
        <f>800*0.97*0.55</f>
        <v>426.8</v>
      </c>
      <c r="J130" s="76"/>
      <c r="K130" s="287" t="s">
        <v>530</v>
      </c>
      <c r="L130" s="287"/>
      <c r="M130" s="288">
        <v>1</v>
      </c>
      <c r="N130" s="289"/>
    </row>
    <row r="131" spans="1:14" hidden="1" x14ac:dyDescent="0.25">
      <c r="A131" s="290" t="str">
        <f t="shared" si="13"/>
        <v>IAG50:QJZ</v>
      </c>
      <c r="B131" s="284" t="s">
        <v>497</v>
      </c>
      <c r="C131" s="285" t="s">
        <v>635</v>
      </c>
      <c r="D131" s="15" t="s">
        <v>227</v>
      </c>
      <c r="E131" s="285" t="s">
        <v>528</v>
      </c>
      <c r="F131" s="286" t="s">
        <v>529</v>
      </c>
      <c r="G131" s="76">
        <f>800*0.5</f>
        <v>400</v>
      </c>
      <c r="H131" s="76">
        <f>800*0.5</f>
        <v>400</v>
      </c>
      <c r="I131" s="76">
        <f>800*0.97*0.5</f>
        <v>388</v>
      </c>
      <c r="J131" s="76"/>
      <c r="K131" s="287" t="s">
        <v>530</v>
      </c>
      <c r="L131" s="287"/>
      <c r="M131" s="288">
        <v>1</v>
      </c>
      <c r="N131" s="289"/>
    </row>
    <row r="132" spans="1:14" hidden="1" x14ac:dyDescent="0.25">
      <c r="A132" s="290" t="str">
        <f t="shared" si="13"/>
        <v>IAG45:QJZ</v>
      </c>
      <c r="B132" s="284" t="s">
        <v>505</v>
      </c>
      <c r="C132" s="285" t="s">
        <v>635</v>
      </c>
      <c r="D132" s="15" t="s">
        <v>227</v>
      </c>
      <c r="E132" s="285" t="s">
        <v>528</v>
      </c>
      <c r="F132" s="286" t="s">
        <v>529</v>
      </c>
      <c r="G132" s="76">
        <f>800*0.45</f>
        <v>360</v>
      </c>
      <c r="H132" s="76">
        <f>800*0.45</f>
        <v>360</v>
      </c>
      <c r="I132" s="76">
        <f>800*0.97*0.45</f>
        <v>349.2</v>
      </c>
      <c r="J132" s="76"/>
      <c r="K132" s="287" t="s">
        <v>530</v>
      </c>
      <c r="L132" s="287"/>
      <c r="M132" s="288">
        <v>1</v>
      </c>
      <c r="N132" s="289"/>
    </row>
    <row r="133" spans="1:14" hidden="1" x14ac:dyDescent="0.25">
      <c r="A133" s="290" t="str">
        <f>B133&amp;":"&amp;C133</f>
        <v>IAG40:QJZ</v>
      </c>
      <c r="B133" s="284" t="s">
        <v>496</v>
      </c>
      <c r="C133" s="285" t="s">
        <v>635</v>
      </c>
      <c r="D133" s="15" t="s">
        <v>227</v>
      </c>
      <c r="E133" s="285" t="s">
        <v>528</v>
      </c>
      <c r="F133" s="286" t="s">
        <v>529</v>
      </c>
      <c r="G133" s="76">
        <f>800*0.4</f>
        <v>320</v>
      </c>
      <c r="H133" s="76">
        <f>800*0.4</f>
        <v>320</v>
      </c>
      <c r="I133" s="76">
        <f>800*0.97*0.4</f>
        <v>310.40000000000003</v>
      </c>
      <c r="J133" s="76"/>
      <c r="K133" s="287" t="s">
        <v>530</v>
      </c>
      <c r="L133" s="287"/>
      <c r="M133" s="288">
        <v>1</v>
      </c>
      <c r="N133" s="289"/>
    </row>
    <row r="134" spans="1:14" s="328" customFormat="1" hidden="1" x14ac:dyDescent="0.25">
      <c r="A134" s="319" t="str">
        <f t="shared" si="13"/>
        <v>ANZ65:QJZ</v>
      </c>
      <c r="B134" s="319" t="s">
        <v>636</v>
      </c>
      <c r="C134" s="320" t="s">
        <v>635</v>
      </c>
      <c r="D134" s="321" t="s">
        <v>227</v>
      </c>
      <c r="E134" s="320" t="s">
        <v>528</v>
      </c>
      <c r="F134" s="322" t="s">
        <v>529</v>
      </c>
      <c r="G134" s="323">
        <f>1000*0.65</f>
        <v>650</v>
      </c>
      <c r="H134" s="323">
        <f>1000*0.65</f>
        <v>650</v>
      </c>
      <c r="I134" s="323">
        <f>1000*0.97*0.65</f>
        <v>630.5</v>
      </c>
      <c r="J134" s="323"/>
      <c r="K134" s="324" t="s">
        <v>530</v>
      </c>
      <c r="L134" s="325"/>
      <c r="M134" s="326">
        <v>1</v>
      </c>
      <c r="N134" s="327"/>
    </row>
    <row r="135" spans="1:14" s="328" customFormat="1" hidden="1" x14ac:dyDescent="0.25">
      <c r="A135" s="319" t="str">
        <f t="shared" ref="A135" si="15">B135&amp;":"&amp;C135</f>
        <v>ANZ75:QJZ</v>
      </c>
      <c r="B135" s="319" t="s">
        <v>639</v>
      </c>
      <c r="C135" s="320" t="s">
        <v>635</v>
      </c>
      <c r="D135" s="321" t="s">
        <v>227</v>
      </c>
      <c r="E135" s="320" t="s">
        <v>528</v>
      </c>
      <c r="F135" s="322" t="s">
        <v>529</v>
      </c>
      <c r="G135" s="323">
        <f>1000*0.75</f>
        <v>750</v>
      </c>
      <c r="H135" s="323">
        <f>1000*0.75</f>
        <v>750</v>
      </c>
      <c r="I135" s="323">
        <f>1000*0.97*0.75</f>
        <v>727.5</v>
      </c>
      <c r="J135" s="323"/>
      <c r="K135" s="324" t="s">
        <v>530</v>
      </c>
      <c r="L135" s="325"/>
      <c r="M135" s="326">
        <v>1</v>
      </c>
      <c r="N135" s="327"/>
    </row>
    <row r="136" spans="1:14" s="328" customFormat="1" hidden="1" x14ac:dyDescent="0.25">
      <c r="A136" s="319" t="str">
        <f t="shared" ref="A136" si="16">B136&amp;":"&amp;C136</f>
        <v>ANZ25:KAI</v>
      </c>
      <c r="B136" s="319" t="s">
        <v>637</v>
      </c>
      <c r="C136" s="320" t="s">
        <v>472</v>
      </c>
      <c r="D136" s="321" t="s">
        <v>227</v>
      </c>
      <c r="E136" s="320" t="s">
        <v>528</v>
      </c>
      <c r="F136" s="322" t="s">
        <v>529</v>
      </c>
      <c r="G136" s="323">
        <f>1000*0.25</f>
        <v>250</v>
      </c>
      <c r="H136" s="323">
        <f>1000*0.25</f>
        <v>250</v>
      </c>
      <c r="I136" s="323">
        <f>1000*0.97*0.25</f>
        <v>242.5</v>
      </c>
      <c r="J136" s="323"/>
      <c r="K136" s="324" t="s">
        <v>530</v>
      </c>
      <c r="L136" s="325"/>
      <c r="M136" s="326">
        <v>1</v>
      </c>
      <c r="N136" s="327"/>
    </row>
    <row r="137" spans="1:14" s="328" customFormat="1" hidden="1" x14ac:dyDescent="0.25">
      <c r="A137" s="319" t="str">
        <f t="shared" ref="A137:A138" si="17">B137&amp;":"&amp;C137</f>
        <v>ANZ20:KAI</v>
      </c>
      <c r="B137" s="319" t="s">
        <v>640</v>
      </c>
      <c r="C137" s="320" t="s">
        <v>472</v>
      </c>
      <c r="D137" s="321" t="s">
        <v>227</v>
      </c>
      <c r="E137" s="320" t="s">
        <v>528</v>
      </c>
      <c r="F137" s="322" t="s">
        <v>529</v>
      </c>
      <c r="G137" s="323">
        <f>1000*0.2</f>
        <v>200</v>
      </c>
      <c r="H137" s="323">
        <f>1000*0.2</f>
        <v>200</v>
      </c>
      <c r="I137" s="323">
        <f>1000*0.97*0.2</f>
        <v>194</v>
      </c>
      <c r="J137" s="323"/>
      <c r="K137" s="324" t="s">
        <v>530</v>
      </c>
      <c r="L137" s="325"/>
      <c r="M137" s="326">
        <v>1</v>
      </c>
      <c r="N137" s="327"/>
    </row>
    <row r="138" spans="1:14" s="328" customFormat="1" hidden="1" x14ac:dyDescent="0.25">
      <c r="A138" s="319" t="str">
        <f t="shared" si="17"/>
        <v>ANZ10:YU</v>
      </c>
      <c r="B138" s="319" t="s">
        <v>638</v>
      </c>
      <c r="C138" s="320" t="s">
        <v>474</v>
      </c>
      <c r="D138" s="321" t="s">
        <v>227</v>
      </c>
      <c r="E138" s="320" t="s">
        <v>528</v>
      </c>
      <c r="F138" s="322" t="s">
        <v>529</v>
      </c>
      <c r="G138" s="323">
        <f>1000*0.1</f>
        <v>100</v>
      </c>
      <c r="H138" s="323">
        <f>1000*0.1</f>
        <v>100</v>
      </c>
      <c r="I138" s="323">
        <f>1000*0.97*0.1</f>
        <v>97</v>
      </c>
      <c r="J138" s="323"/>
      <c r="K138" s="324" t="s">
        <v>530</v>
      </c>
      <c r="L138" s="325"/>
      <c r="M138" s="326">
        <v>1</v>
      </c>
      <c r="N138" s="327"/>
    </row>
    <row r="139" spans="1:14" s="328" customFormat="1" hidden="1" x14ac:dyDescent="0.25">
      <c r="A139" s="319" t="str">
        <f t="shared" ref="A139" si="18">B139&amp;":"&amp;C139</f>
        <v>ANZ05:YU</v>
      </c>
      <c r="B139" s="319" t="s">
        <v>641</v>
      </c>
      <c r="C139" s="320" t="s">
        <v>474</v>
      </c>
      <c r="D139" s="321" t="s">
        <v>227</v>
      </c>
      <c r="E139" s="320" t="s">
        <v>528</v>
      </c>
      <c r="F139" s="322" t="s">
        <v>529</v>
      </c>
      <c r="G139" s="323">
        <f>1000*0.05</f>
        <v>50</v>
      </c>
      <c r="H139" s="323">
        <f>1000*0.05</f>
        <v>50</v>
      </c>
      <c r="I139" s="323">
        <f>1000*0.97*0.05</f>
        <v>48.5</v>
      </c>
      <c r="J139" s="323"/>
      <c r="K139" s="324" t="s">
        <v>530</v>
      </c>
      <c r="L139" s="325"/>
      <c r="M139" s="326">
        <v>1</v>
      </c>
      <c r="N139" s="327"/>
    </row>
    <row r="140" spans="1:14" hidden="1" x14ac:dyDescent="0.25">
      <c r="A140" s="290" t="str">
        <f t="shared" si="13"/>
        <v>IAG51:KAI</v>
      </c>
      <c r="B140" s="284" t="s">
        <v>501</v>
      </c>
      <c r="C140" s="285" t="s">
        <v>472</v>
      </c>
      <c r="D140" s="15" t="s">
        <v>227</v>
      </c>
      <c r="E140" s="285" t="s">
        <v>612</v>
      </c>
      <c r="F140" s="286" t="s">
        <v>529</v>
      </c>
      <c r="G140" s="76">
        <f>800*0.51</f>
        <v>408</v>
      </c>
      <c r="H140" s="76">
        <f>800*0.51</f>
        <v>408</v>
      </c>
      <c r="I140" s="76">
        <f>800*0.97*0.51</f>
        <v>395.76</v>
      </c>
      <c r="J140" s="76"/>
      <c r="K140" s="287" t="s">
        <v>530</v>
      </c>
      <c r="L140" s="287"/>
      <c r="M140" s="288">
        <v>1</v>
      </c>
      <c r="N140" s="289"/>
    </row>
    <row r="141" spans="1:14" hidden="1" x14ac:dyDescent="0.25">
      <c r="A141" s="290" t="str">
        <f t="shared" si="13"/>
        <v>IAG50:KAI</v>
      </c>
      <c r="B141" s="284" t="s">
        <v>497</v>
      </c>
      <c r="C141" s="285" t="s">
        <v>472</v>
      </c>
      <c r="D141" s="15" t="s">
        <v>227</v>
      </c>
      <c r="E141" s="285" t="s">
        <v>612</v>
      </c>
      <c r="F141" s="286" t="s">
        <v>529</v>
      </c>
      <c r="G141" s="76">
        <f>800*0.5</f>
        <v>400</v>
      </c>
      <c r="H141" s="76">
        <f>800*0.5</f>
        <v>400</v>
      </c>
      <c r="I141" s="76">
        <f>800*0.97*0.5</f>
        <v>388</v>
      </c>
      <c r="J141" s="76"/>
      <c r="K141" s="287" t="s">
        <v>530</v>
      </c>
      <c r="L141" s="287"/>
      <c r="M141" s="288">
        <v>1</v>
      </c>
      <c r="N141" s="289"/>
    </row>
    <row r="142" spans="1:14" hidden="1" x14ac:dyDescent="0.25">
      <c r="A142" s="290" t="str">
        <f t="shared" si="13"/>
        <v>IAG55:KAI</v>
      </c>
      <c r="B142" s="284" t="s">
        <v>506</v>
      </c>
      <c r="C142" s="285" t="s">
        <v>472</v>
      </c>
      <c r="D142" s="15" t="s">
        <v>227</v>
      </c>
      <c r="E142" s="285" t="s">
        <v>612</v>
      </c>
      <c r="F142" s="286" t="s">
        <v>529</v>
      </c>
      <c r="G142" s="76">
        <f>800*0.55</f>
        <v>440.00000000000006</v>
      </c>
      <c r="H142" s="76">
        <f>800*0.55</f>
        <v>440.00000000000006</v>
      </c>
      <c r="I142" s="76">
        <f>800*0.97*0.55</f>
        <v>426.8</v>
      </c>
      <c r="J142" s="76"/>
      <c r="K142" s="287" t="s">
        <v>530</v>
      </c>
      <c r="L142" s="287"/>
      <c r="M142" s="288">
        <v>1</v>
      </c>
      <c r="N142" s="289"/>
    </row>
    <row r="143" spans="1:14" hidden="1" x14ac:dyDescent="0.25">
      <c r="A143" s="290" t="str">
        <f t="shared" ref="A143" si="19">B143&amp;":"&amp;C143</f>
        <v>IAG40:KAI</v>
      </c>
      <c r="B143" s="284" t="s">
        <v>496</v>
      </c>
      <c r="C143" s="285" t="s">
        <v>472</v>
      </c>
      <c r="D143" s="15" t="s">
        <v>227</v>
      </c>
      <c r="E143" s="285" t="s">
        <v>612</v>
      </c>
      <c r="F143" s="286" t="s">
        <v>529</v>
      </c>
      <c r="G143" s="76">
        <f>800*0.4</f>
        <v>320</v>
      </c>
      <c r="H143" s="76">
        <f>800*0.4</f>
        <v>320</v>
      </c>
      <c r="I143" s="76">
        <f>800*0.97*0.4</f>
        <v>310.40000000000003</v>
      </c>
      <c r="J143" s="76"/>
      <c r="K143" s="287" t="s">
        <v>530</v>
      </c>
      <c r="L143" s="287"/>
      <c r="M143" s="288">
        <v>1</v>
      </c>
      <c r="N143" s="289"/>
    </row>
    <row r="144" spans="1:14" hidden="1" x14ac:dyDescent="0.25">
      <c r="A144" s="290" t="str">
        <f t="shared" si="13"/>
        <v>IAG30:KAI</v>
      </c>
      <c r="B144" s="284" t="s">
        <v>628</v>
      </c>
      <c r="C144" s="285" t="s">
        <v>472</v>
      </c>
      <c r="D144" s="15" t="s">
        <v>227</v>
      </c>
      <c r="E144" s="285" t="s">
        <v>612</v>
      </c>
      <c r="F144" s="286" t="s">
        <v>529</v>
      </c>
      <c r="G144" s="76">
        <f>800*0.3</f>
        <v>240</v>
      </c>
      <c r="H144" s="76">
        <f>800*0.3</f>
        <v>240</v>
      </c>
      <c r="I144" s="76">
        <f>800*0.97*0.3</f>
        <v>232.79999999999998</v>
      </c>
      <c r="J144" s="76"/>
      <c r="K144" s="287" t="s">
        <v>530</v>
      </c>
      <c r="L144" s="287"/>
      <c r="M144" s="288">
        <v>1</v>
      </c>
      <c r="N144" s="289"/>
    </row>
    <row r="145" spans="1:16" hidden="1" x14ac:dyDescent="0.25">
      <c r="A145" s="290" t="str">
        <f t="shared" si="13"/>
        <v>IAG05:YU</v>
      </c>
      <c r="B145" s="284" t="s">
        <v>617</v>
      </c>
      <c r="C145" s="285" t="s">
        <v>474</v>
      </c>
      <c r="D145" s="15" t="s">
        <v>227</v>
      </c>
      <c r="E145" s="285" t="s">
        <v>528</v>
      </c>
      <c r="F145" s="286" t="s">
        <v>529</v>
      </c>
      <c r="G145" s="76">
        <f>800*0.05</f>
        <v>40</v>
      </c>
      <c r="H145" s="76">
        <f>800*0.05</f>
        <v>40</v>
      </c>
      <c r="I145" s="76">
        <f>800*0.97*0.05</f>
        <v>38.800000000000004</v>
      </c>
      <c r="J145" s="76"/>
      <c r="K145" s="287" t="s">
        <v>530</v>
      </c>
      <c r="L145" s="287"/>
      <c r="M145" s="288">
        <v>1</v>
      </c>
      <c r="N145" s="289"/>
    </row>
    <row r="146" spans="1:16" hidden="1" x14ac:dyDescent="0.25">
      <c r="A146" s="290" t="str">
        <f t="shared" si="13"/>
        <v>IAG09:YU</v>
      </c>
      <c r="B146" s="284" t="s">
        <v>502</v>
      </c>
      <c r="C146" s="285" t="s">
        <v>474</v>
      </c>
      <c r="D146" s="15" t="s">
        <v>227</v>
      </c>
      <c r="E146" s="285" t="s">
        <v>528</v>
      </c>
      <c r="F146" s="286" t="s">
        <v>529</v>
      </c>
      <c r="G146" s="76">
        <f>800*0.09</f>
        <v>72</v>
      </c>
      <c r="H146" s="76">
        <f>800*0.09</f>
        <v>72</v>
      </c>
      <c r="I146" s="76">
        <f>800*0.97*0.09</f>
        <v>69.84</v>
      </c>
      <c r="J146" s="76"/>
      <c r="K146" s="287" t="s">
        <v>530</v>
      </c>
      <c r="L146" s="287"/>
      <c r="M146" s="288">
        <v>1</v>
      </c>
      <c r="N146" s="289"/>
    </row>
    <row r="147" spans="1:16" hidden="1" x14ac:dyDescent="0.25">
      <c r="A147" s="290" t="str">
        <f t="shared" si="13"/>
        <v>IAG10:YU</v>
      </c>
      <c r="B147" s="284" t="s">
        <v>498</v>
      </c>
      <c r="C147" s="285" t="s">
        <v>474</v>
      </c>
      <c r="D147" s="15" t="s">
        <v>227</v>
      </c>
      <c r="E147" s="285" t="s">
        <v>528</v>
      </c>
      <c r="F147" s="286" t="s">
        <v>529</v>
      </c>
      <c r="G147" s="76">
        <f>800*0.1</f>
        <v>80</v>
      </c>
      <c r="H147" s="76">
        <f>800*0.1</f>
        <v>80</v>
      </c>
      <c r="I147" s="76">
        <f>800*0.97*0.1</f>
        <v>77.600000000000009</v>
      </c>
      <c r="J147" s="76"/>
      <c r="K147" s="287" t="s">
        <v>530</v>
      </c>
      <c r="L147" s="287"/>
      <c r="M147" s="288">
        <v>1</v>
      </c>
      <c r="N147" s="289"/>
    </row>
    <row r="148" spans="1:16" hidden="1" x14ac:dyDescent="0.25"/>
    <row r="149" spans="1:16" hidden="1" x14ac:dyDescent="0.25">
      <c r="G149" s="180" t="s">
        <v>526</v>
      </c>
      <c r="H149" s="180" t="s">
        <v>618</v>
      </c>
      <c r="I149" s="180" t="s">
        <v>619</v>
      </c>
      <c r="J149" s="180" t="s">
        <v>620</v>
      </c>
      <c r="K149" s="180" t="s">
        <v>480</v>
      </c>
      <c r="L149" s="180" t="s">
        <v>482</v>
      </c>
      <c r="M149" s="279" t="s">
        <v>483</v>
      </c>
    </row>
    <row r="150" spans="1:16" hidden="1" x14ac:dyDescent="0.25">
      <c r="G150" s="67" t="s">
        <v>621</v>
      </c>
      <c r="H150" s="67" t="s">
        <v>621</v>
      </c>
      <c r="I150" s="67" t="s">
        <v>621</v>
      </c>
      <c r="J150" s="67" t="s">
        <v>621</v>
      </c>
      <c r="K150" s="67" t="s">
        <v>128</v>
      </c>
      <c r="L150" s="67" t="s">
        <v>128</v>
      </c>
      <c r="M150" s="259" t="s">
        <v>128</v>
      </c>
      <c r="P150" s="62"/>
    </row>
    <row r="151" spans="1:16" hidden="1" x14ac:dyDescent="0.25">
      <c r="G151" s="291">
        <v>0.03</v>
      </c>
      <c r="H151" s="292">
        <v>0.05</v>
      </c>
      <c r="I151" s="292">
        <v>3.5000000000000003E-2</v>
      </c>
      <c r="J151" s="292">
        <v>0</v>
      </c>
      <c r="K151" s="292">
        <v>9.5000000000000001E-2</v>
      </c>
      <c r="L151" s="292">
        <v>0.01</v>
      </c>
      <c r="M151" s="293">
        <v>2.5000000000000001E-2</v>
      </c>
    </row>
    <row r="152" spans="1:16" hidden="1" x14ac:dyDescent="0.25">
      <c r="G152" s="291">
        <v>0.03</v>
      </c>
      <c r="H152" s="292">
        <v>0.05</v>
      </c>
      <c r="I152" s="292">
        <v>3.5000000000000003E-2</v>
      </c>
      <c r="J152" s="292">
        <v>0</v>
      </c>
      <c r="K152" s="292">
        <v>9.5000000000000001E-2</v>
      </c>
      <c r="L152" s="292">
        <v>9.4999999999999998E-3</v>
      </c>
      <c r="M152" s="293">
        <v>2.5000000000000001E-2</v>
      </c>
    </row>
    <row r="153" spans="1:16" hidden="1" x14ac:dyDescent="0.25"/>
    <row r="154" spans="1:16" hidden="1" x14ac:dyDescent="0.25"/>
    <row r="155" spans="1:16" hidden="1" x14ac:dyDescent="0.25"/>
    <row r="156" spans="1:16" hidden="1" x14ac:dyDescent="0.25"/>
    <row r="157" spans="1:16" hidden="1" x14ac:dyDescent="0.25"/>
    <row r="158" spans="1:16" hidden="1" x14ac:dyDescent="0.25"/>
  </sheetData>
  <autoFilter ref="B1:C158">
    <filterColumn colId="1">
      <filters>
        <filter val="GEO"/>
      </filters>
    </filterColumn>
  </autoFilter>
  <pageMargins left="0.75" right="0.75" top="1" bottom="1" header="0.51180555555555496" footer="0.51180555555555496"/>
  <pageSetup paperSize="9" firstPageNumber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64</vt:i4>
      </vt:variant>
    </vt:vector>
  </HeadingPairs>
  <TitlesOfParts>
    <vt:vector size="81" baseType="lpstr">
      <vt:lpstr>Rcpts</vt:lpstr>
      <vt:lpstr>Paid</vt:lpstr>
      <vt:lpstr>BAS</vt:lpstr>
      <vt:lpstr>Amex</vt:lpstr>
      <vt:lpstr>=1</vt:lpstr>
      <vt:lpstr>Invs</vt:lpstr>
      <vt:lpstr>Custs</vt:lpstr>
      <vt:lpstr>Pivot</vt:lpstr>
      <vt:lpstr>=2</vt:lpstr>
      <vt:lpstr>Totals</vt:lpstr>
      <vt:lpstr>Netbank</vt:lpstr>
      <vt:lpstr>=3</vt:lpstr>
      <vt:lpstr>PAYG</vt:lpstr>
      <vt:lpstr>Emps</vt:lpstr>
      <vt:lpstr>Emps2019</vt:lpstr>
      <vt:lpstr>Expenses</vt:lpstr>
      <vt:lpstr>Tables</vt:lpstr>
      <vt:lpstr>bankDirect</vt:lpstr>
      <vt:lpstr>basGstNet</vt:lpstr>
      <vt:lpstr>basPayG</vt:lpstr>
      <vt:lpstr>Customer</vt:lpstr>
      <vt:lpstr>Emps2019!EmpID</vt:lpstr>
      <vt:lpstr>Custs!Error</vt:lpstr>
      <vt:lpstr>InsureRate</vt:lpstr>
      <vt:lpstr>InsureRate2</vt:lpstr>
      <vt:lpstr>invCustomer</vt:lpstr>
      <vt:lpstr>invProject</vt:lpstr>
      <vt:lpstr>PaidApr</vt:lpstr>
      <vt:lpstr>PaidAug</vt:lpstr>
      <vt:lpstr>PaidDec</vt:lpstr>
      <vt:lpstr>PaidFeb</vt:lpstr>
      <vt:lpstr>PaidFed</vt:lpstr>
      <vt:lpstr>PaidJan</vt:lpstr>
      <vt:lpstr>PaidJul</vt:lpstr>
      <vt:lpstr>PaidJun</vt:lpstr>
      <vt:lpstr>PaidMar</vt:lpstr>
      <vt:lpstr>PaidMay</vt:lpstr>
      <vt:lpstr>PaidNov</vt:lpstr>
      <vt:lpstr>PaidOct</vt:lpstr>
      <vt:lpstr>PaidSep</vt:lpstr>
      <vt:lpstr>Emps2019!payAllow</vt:lpstr>
      <vt:lpstr>payCapGstQ1</vt:lpstr>
      <vt:lpstr>payCapGstQ2</vt:lpstr>
      <vt:lpstr>payCapGstQ3</vt:lpstr>
      <vt:lpstr>payCapGstQ4</vt:lpstr>
      <vt:lpstr>Emps2019!payDay</vt:lpstr>
      <vt:lpstr>Emps2019!payDet</vt:lpstr>
      <vt:lpstr>payDirRate</vt:lpstr>
      <vt:lpstr>Emps2019!payEmpIDs</vt:lpstr>
      <vt:lpstr>Emps2019!payEmpNames</vt:lpstr>
      <vt:lpstr>Emps2019!payEmpPay</vt:lpstr>
      <vt:lpstr>payMgmtRate</vt:lpstr>
      <vt:lpstr>payNonGstQ1</vt:lpstr>
      <vt:lpstr>payNonGstQ2</vt:lpstr>
      <vt:lpstr>payNonGstQ3</vt:lpstr>
      <vt:lpstr>payNonGstQ4</vt:lpstr>
      <vt:lpstr>Emps2019!payNonMonth</vt:lpstr>
      <vt:lpstr>PayRollRate</vt:lpstr>
      <vt:lpstr>Emps2019!payTot</vt:lpstr>
      <vt:lpstr>Project</vt:lpstr>
      <vt:lpstr>rcpApr</vt:lpstr>
      <vt:lpstr>rcpAug</vt:lpstr>
      <vt:lpstr>rcpDec</vt:lpstr>
      <vt:lpstr>rcpFeb</vt:lpstr>
      <vt:lpstr>rcpGstQ1</vt:lpstr>
      <vt:lpstr>rcpGstQ2</vt:lpstr>
      <vt:lpstr>rcpGstQ3</vt:lpstr>
      <vt:lpstr>rcpGstQ4</vt:lpstr>
      <vt:lpstr>rcpJan</vt:lpstr>
      <vt:lpstr>rcpJul</vt:lpstr>
      <vt:lpstr>rcpJun</vt:lpstr>
      <vt:lpstr>rcpMar</vt:lpstr>
      <vt:lpstr>rcpMay</vt:lpstr>
      <vt:lpstr>rcpNov</vt:lpstr>
      <vt:lpstr>rcpOct</vt:lpstr>
      <vt:lpstr>rcpRcptQ1</vt:lpstr>
      <vt:lpstr>rcpRcptQ2</vt:lpstr>
      <vt:lpstr>rcpRcptQ3</vt:lpstr>
      <vt:lpstr>rcpRcptQ4</vt:lpstr>
      <vt:lpstr>rcpSep</vt:lpstr>
      <vt:lpstr>tblPayRates</vt:lpstr>
    </vt:vector>
  </TitlesOfParts>
  <Company>Magma Computing Solutions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McRae</dc:creator>
  <cp:lastModifiedBy>Michael A McRae</cp:lastModifiedBy>
  <cp:revision>2</cp:revision>
  <cp:lastPrinted>2016-02-26T00:06:27Z</cp:lastPrinted>
  <dcterms:created xsi:type="dcterms:W3CDTF">1997-07-01T08:08:57Z</dcterms:created>
  <dcterms:modified xsi:type="dcterms:W3CDTF">2019-10-16T05:20:59Z</dcterms:modified>
  <dc:language>en-AU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Magma Computing Solutions Pty Ltd</vt:lpwstr>
  </property>
  <property fmtid="{D5CDD505-2E9C-101B-9397-08002B2CF9AE}" pid="4" name="DocSecurity">
    <vt:i4>0</vt:i4>
  </property>
  <property fmtid="{D5CDD505-2E9C-101B-9397-08002B2CF9AE}" pid="5" name="HyperlinksChanged">
    <vt:bool>true</vt:bool>
  </property>
  <property fmtid="{D5CDD505-2E9C-101B-9397-08002B2CF9AE}" pid="6" name="LinksUpToDate">
    <vt:bool>true</vt:bool>
  </property>
  <property fmtid="{D5CDD505-2E9C-101B-9397-08002B2CF9AE}" pid="7" name="ScaleCrop">
    <vt:bool>true</vt:bool>
  </property>
  <property fmtid="{D5CDD505-2E9C-101B-9397-08002B2CF9AE}" pid="8" name="ShareDoc">
    <vt:bool>true</vt:bool>
  </property>
</Properties>
</file>